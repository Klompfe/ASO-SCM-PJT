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태일무역공유\미도컴퍼니\미센스 메트리얼 리스트\"/>
    </mc:Choice>
  </mc:AlternateContent>
  <xr:revisionPtr revIDLastSave="0" documentId="13_ncr:1_{931B91F9-40D1-49AA-9F92-C9CAECD5046A}" xr6:coauthVersionLast="47" xr6:coauthVersionMax="47" xr10:uidLastSave="{00000000-0000-0000-0000-000000000000}"/>
  <bookViews>
    <workbookView xWindow="-120" yWindow="-120" windowWidth="29040" windowHeight="15720" tabRatio="916" firstSheet="33" activeTab="45" xr2:uid="{00000000-000D-0000-FFFF-FFFF00000000}"/>
  </bookViews>
  <sheets>
    <sheet name="MB62SLM103Z" sheetId="753" r:id="rId1"/>
    <sheet name="MB62SLM104Z" sheetId="754" r:id="rId2"/>
    <sheet name="MB62SLM105Z" sheetId="755" r:id="rId3"/>
    <sheet name="MB64SLP103Z" sheetId="756" r:id="rId4"/>
    <sheet name="Sheet11" sheetId="757" r:id="rId5"/>
    <sheet name="MB63JKM105Z" sheetId="758" r:id="rId6"/>
    <sheet name="MB65SLP102Z" sheetId="760" r:id="rId7"/>
    <sheet name="MB65SLP121Z" sheetId="759" r:id="rId8"/>
    <sheet name="Sheet13" sheetId="761" r:id="rId9"/>
    <sheet name="MB64SLM123Z" sheetId="765" r:id="rId10"/>
    <sheet name="MB64SKM101Z" sheetId="763" r:id="rId11"/>
    <sheet name="MB64SKM102Z" sheetId="762" r:id="rId12"/>
    <sheet name="MB64SKM103Z" sheetId="764" r:id="rId13"/>
    <sheet name="MB64SLM124Z" sheetId="766" r:id="rId14"/>
    <sheet name="Sheet1" sheetId="767" r:id="rId15"/>
    <sheet name="MB66BLM127Z" sheetId="768" r:id="rId16"/>
    <sheet name="MB66SLM127Z" sheetId="769" r:id="rId17"/>
    <sheet name="MB66SLM131Z" sheetId="770" r:id="rId18"/>
    <sheet name="Sheet2" sheetId="771" r:id="rId19"/>
    <sheet name="MB6YHMM101Z" sheetId="773" r:id="rId20"/>
    <sheet name="MB6YHMP104Z" sheetId="774" r:id="rId21"/>
    <sheet name="MB6YHMM106Z" sheetId="775" r:id="rId22"/>
    <sheet name="Sheet4" sheetId="777" r:id="rId23"/>
    <sheet name="MB6YHMS107A" sheetId="776" r:id="rId24"/>
    <sheet name="MB68SLM101A" sheetId="778" r:id="rId25"/>
    <sheet name="MB68SLM107A" sheetId="779" r:id="rId26"/>
    <sheet name="MB68SKM101Z" sheetId="780" r:id="rId27"/>
    <sheet name="MB68SKM102Z" sheetId="781" r:id="rId28"/>
    <sheet name="MB68SKM103Z" sheetId="782" r:id="rId29"/>
    <sheet name="Sheet3" sheetId="783" r:id="rId30"/>
    <sheet name="MB6YHMS181A(재원)" sheetId="784" r:id="rId31"/>
    <sheet name="Sheet5" sheetId="786" r:id="rId32"/>
    <sheet name="MB6YHMP102Z-1" sheetId="799" r:id="rId33"/>
    <sheet name="MB6YHMP103Z" sheetId="800" r:id="rId34"/>
    <sheet name="MB6YSLM106Z" sheetId="802" r:id="rId35"/>
    <sheet name="MB6YSLM111Z" sheetId="803" r:id="rId36"/>
    <sheet name="Sheet7" sheetId="805" r:id="rId37"/>
    <sheet name="MBS6YSLM113Z" sheetId="804" r:id="rId38"/>
    <sheet name="MB6YJKM112Z" sheetId="806" r:id="rId39"/>
    <sheet name="MB6YJKM182Z" sheetId="808" r:id="rId40"/>
    <sheet name="MB6YJKM106Z" sheetId="809" r:id="rId41"/>
    <sheet name="MB6YSLP112Z" sheetId="810" r:id="rId42"/>
    <sheet name="MB6YSLM107Z" sheetId="811" r:id="rId43"/>
    <sheet name="MB6YJKM181Z" sheetId="812" r:id="rId44"/>
    <sheet name="MB6YSLM114Z" sheetId="813" r:id="rId45"/>
    <sheet name="MB6YSLM115Z" sheetId="814" r:id="rId46"/>
    <sheet name="Sheet8" sheetId="815" r:id="rId47"/>
    <sheet name="MB6YHMM181A" sheetId="816" r:id="rId48"/>
  </sheets>
  <definedNames>
    <definedName name="_xlnm.Print_Area" localSheetId="0">MB62SLM103Z!$A$1:$AB$82</definedName>
    <definedName name="_xlnm.Print_Area" localSheetId="1">MB62SLM104Z!$A$1:$AB$82</definedName>
    <definedName name="_xlnm.Print_Area" localSheetId="2">MB62SLM105Z!$A$1:$AB$100</definedName>
    <definedName name="_xlnm.Print_Area" localSheetId="5">MB63JKM105Z!$A$1:$AB$78</definedName>
    <definedName name="_xlnm.Print_Area" localSheetId="10">MB64SKM101Z!$A$1:$AB$96</definedName>
    <definedName name="_xlnm.Print_Area" localSheetId="11">MB64SKM102Z!$A$1:$AB$94</definedName>
    <definedName name="_xlnm.Print_Area" localSheetId="12">MB64SKM103Z!$A$1:$AB$96</definedName>
    <definedName name="_xlnm.Print_Area" localSheetId="9">MB64SLM123Z!$A$1:$AB$100</definedName>
    <definedName name="_xlnm.Print_Area" localSheetId="13">MB64SLM124Z!$A$1:$AB$109</definedName>
    <definedName name="_xlnm.Print_Area" localSheetId="3">MB64SLP103Z!$A$1:$AB$110</definedName>
    <definedName name="_xlnm.Print_Area" localSheetId="6">MB65SLP102Z!$A$1:$AB$110</definedName>
    <definedName name="_xlnm.Print_Area" localSheetId="7">MB65SLP121Z!$A$1:$AB$110</definedName>
    <definedName name="_xlnm.Print_Area" localSheetId="15">MB66BLM127Z!$A$1:$AB$92</definedName>
    <definedName name="_xlnm.Print_Area" localSheetId="16">MB66SLM127Z!$A$1:$AB$106</definedName>
    <definedName name="_xlnm.Print_Area" localSheetId="17">MB66SLM131Z!$A$1:$AB$106</definedName>
    <definedName name="_xlnm.Print_Area" localSheetId="26">MB68SKM101Z!$A$1:$AB$100</definedName>
    <definedName name="_xlnm.Print_Area" localSheetId="27">MB68SKM102Z!$A$1:$AB$96</definedName>
    <definedName name="_xlnm.Print_Area" localSheetId="28">MB68SKM103Z!$A$1:$AB$96</definedName>
    <definedName name="_xlnm.Print_Area" localSheetId="24">MB68SLM101A!$A$1:$AB$106</definedName>
    <definedName name="_xlnm.Print_Area" localSheetId="25">MB68SLM107A!$A$1:$AB$109</definedName>
    <definedName name="_xlnm.Print_Area" localSheetId="19">MB6YHMM101Z!$A$1:$AB$93</definedName>
    <definedName name="_xlnm.Print_Area" localSheetId="21">MB6YHMM106Z!$A$1:$AB$93</definedName>
    <definedName name="_xlnm.Print_Area" localSheetId="47">MB6YHMM181A!$A$1:$AB$116</definedName>
    <definedName name="_xlnm.Print_Area" localSheetId="32">'MB6YHMP102Z-1'!$A$1:$AB$104</definedName>
    <definedName name="_xlnm.Print_Area" localSheetId="20">MB6YHMP104Z!$A$1:$AB$93</definedName>
    <definedName name="_xlnm.Print_Area" localSheetId="23">MB6YHMS107A!$A$1:$AB$116</definedName>
    <definedName name="_xlnm.Print_Area" localSheetId="30">'MB6YHMS181A(재원)'!$A$1:$AB$116</definedName>
    <definedName name="_xlnm.Print_Area" localSheetId="40">MB6YJKM106Z!$A$1:$AB$84</definedName>
    <definedName name="_xlnm.Print_Area" localSheetId="38">MB6YJKM112Z!$A$1:$AB$80</definedName>
    <definedName name="_xlnm.Print_Area" localSheetId="43">MB6YJKM181Z!$A$1:$AB$82</definedName>
    <definedName name="_xlnm.Print_Area" localSheetId="39">MB6YJKM182Z!$A$1:$AB$82</definedName>
    <definedName name="_xlnm.Print_Area" localSheetId="34">MB6YSLM106Z!$A$1:$AB$106</definedName>
    <definedName name="_xlnm.Print_Area" localSheetId="42">MB6YSLM107Z!$A$1:$AB$106</definedName>
    <definedName name="_xlnm.Print_Area" localSheetId="35">MB6YSLM111Z!$A$1:$AB$106</definedName>
    <definedName name="_xlnm.Print_Area" localSheetId="44">MB6YSLM114Z!$A$1:$AB$106</definedName>
    <definedName name="_xlnm.Print_Area" localSheetId="45">MB6YSLM115Z!$A$1:$AB$106</definedName>
    <definedName name="_xlnm.Print_Area" localSheetId="41">MB6YSLP112Z!$A$1:$AB$106</definedName>
    <definedName name="_xlnm.Print_Area" localSheetId="37">MBS6YSLM113Z!$A$1:$AB$106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9" i="816" l="1"/>
  <c r="M109" i="816" s="1"/>
  <c r="T109" i="816" s="1"/>
  <c r="B108" i="816"/>
  <c r="M108" i="816" s="1"/>
  <c r="T108" i="816" s="1"/>
  <c r="C107" i="816"/>
  <c r="B107" i="816"/>
  <c r="M107" i="816" s="1"/>
  <c r="T107" i="816" s="1"/>
  <c r="B106" i="816"/>
  <c r="M106" i="816" s="1"/>
  <c r="T106" i="816" s="1"/>
  <c r="B105" i="816"/>
  <c r="M105" i="816" s="1"/>
  <c r="T105" i="816" s="1"/>
  <c r="C104" i="816"/>
  <c r="B104" i="816"/>
  <c r="M104" i="816" s="1"/>
  <c r="T104" i="816" s="1"/>
  <c r="B103" i="816"/>
  <c r="M103" i="816" s="1"/>
  <c r="T103" i="816" s="1"/>
  <c r="M102" i="816"/>
  <c r="T102" i="816" s="1"/>
  <c r="B102" i="816"/>
  <c r="C101" i="816"/>
  <c r="B101" i="816"/>
  <c r="M101" i="816" s="1"/>
  <c r="T101" i="816" s="1"/>
  <c r="B100" i="816"/>
  <c r="M100" i="816" s="1"/>
  <c r="T100" i="816" s="1"/>
  <c r="B99" i="816"/>
  <c r="M99" i="816" s="1"/>
  <c r="T99" i="816" s="1"/>
  <c r="C98" i="816"/>
  <c r="B98" i="816"/>
  <c r="M98" i="816" s="1"/>
  <c r="T98" i="816" s="1"/>
  <c r="T97" i="816"/>
  <c r="B97" i="816"/>
  <c r="M97" i="816" s="1"/>
  <c r="B96" i="816"/>
  <c r="M96" i="816" s="1"/>
  <c r="T96" i="816" s="1"/>
  <c r="C95" i="816"/>
  <c r="B95" i="816"/>
  <c r="M95" i="816" s="1"/>
  <c r="T95" i="816" s="1"/>
  <c r="B94" i="816"/>
  <c r="M94" i="816" s="1"/>
  <c r="T94" i="816" s="1"/>
  <c r="B93" i="816"/>
  <c r="M93" i="816" s="1"/>
  <c r="T93" i="816" s="1"/>
  <c r="M92" i="816"/>
  <c r="T92" i="816" s="1"/>
  <c r="C92" i="816"/>
  <c r="B92" i="816"/>
  <c r="C87" i="816"/>
  <c r="C82" i="816"/>
  <c r="C81" i="816"/>
  <c r="C80" i="816"/>
  <c r="C79" i="816"/>
  <c r="C78" i="816"/>
  <c r="C77" i="816"/>
  <c r="C76" i="816"/>
  <c r="C75" i="816"/>
  <c r="C74" i="816"/>
  <c r="C73" i="816"/>
  <c r="C72" i="816"/>
  <c r="C71" i="816"/>
  <c r="C70" i="816"/>
  <c r="C69" i="816"/>
  <c r="C68" i="816"/>
  <c r="C67" i="816"/>
  <c r="C66" i="816"/>
  <c r="C65" i="816"/>
  <c r="C64" i="816"/>
  <c r="C63" i="816"/>
  <c r="C62" i="816"/>
  <c r="C61" i="816"/>
  <c r="C60" i="816"/>
  <c r="C59" i="816"/>
  <c r="C58" i="816"/>
  <c r="F57" i="816"/>
  <c r="C57" i="816"/>
  <c r="F56" i="816"/>
  <c r="C56" i="816"/>
  <c r="C55" i="816"/>
  <c r="C54" i="816"/>
  <c r="C53" i="816"/>
  <c r="C52" i="816"/>
  <c r="C51" i="816"/>
  <c r="C50" i="816"/>
  <c r="C49" i="816"/>
  <c r="C48" i="816"/>
  <c r="C47" i="816"/>
  <c r="C46" i="816"/>
  <c r="C45" i="816"/>
  <c r="C44" i="816"/>
  <c r="C43" i="816"/>
  <c r="C42" i="816"/>
  <c r="C41" i="816"/>
  <c r="C40" i="816"/>
  <c r="C39" i="816"/>
  <c r="C38" i="816"/>
  <c r="C37" i="816"/>
  <c r="C36" i="816"/>
  <c r="C35" i="816"/>
  <c r="C34" i="816"/>
  <c r="C33" i="816"/>
  <c r="C32" i="816"/>
  <c r="C31" i="816"/>
  <c r="C30" i="816"/>
  <c r="C29" i="816"/>
  <c r="C28" i="816"/>
  <c r="C27" i="816"/>
  <c r="C26" i="816"/>
  <c r="C25" i="816"/>
  <c r="C24" i="816"/>
  <c r="C23" i="816"/>
  <c r="C22" i="816"/>
  <c r="C21" i="816"/>
  <c r="C20" i="816"/>
  <c r="C19" i="816"/>
  <c r="C18" i="816"/>
  <c r="C17" i="816"/>
  <c r="C16" i="816"/>
  <c r="C15" i="816"/>
  <c r="G12" i="816"/>
  <c r="F12" i="816"/>
  <c r="G11" i="816"/>
  <c r="B91" i="816" s="1"/>
  <c r="M91" i="816" s="1"/>
  <c r="T91" i="816" s="1"/>
  <c r="F11" i="816"/>
  <c r="E11" i="816"/>
  <c r="B112" i="816" s="1"/>
  <c r="M112" i="816" s="1"/>
  <c r="T112" i="816" s="1"/>
  <c r="D11" i="816"/>
  <c r="B88" i="816" s="1"/>
  <c r="M88" i="816" s="1"/>
  <c r="T88" i="816" s="1"/>
  <c r="C11" i="816"/>
  <c r="C12" i="816" s="1"/>
  <c r="I10" i="816"/>
  <c r="I9" i="816"/>
  <c r="I8" i="816"/>
  <c r="I7" i="816"/>
  <c r="I6" i="816"/>
  <c r="B16" i="816" s="1"/>
  <c r="M16" i="816" s="1"/>
  <c r="T16" i="816" s="1"/>
  <c r="I5" i="816"/>
  <c r="B84" i="816" l="1"/>
  <c r="M84" i="816" s="1"/>
  <c r="T84" i="816" s="1"/>
  <c r="B89" i="816"/>
  <c r="M89" i="816" s="1"/>
  <c r="T89" i="816" s="1"/>
  <c r="I11" i="816"/>
  <c r="B83" i="816"/>
  <c r="M83" i="816" s="1"/>
  <c r="T83" i="816" s="1"/>
  <c r="B81" i="816"/>
  <c r="M81" i="816" s="1"/>
  <c r="T81" i="816" s="1"/>
  <c r="B79" i="816"/>
  <c r="M79" i="816" s="1"/>
  <c r="T79" i="816" s="1"/>
  <c r="B77" i="816"/>
  <c r="M77" i="816" s="1"/>
  <c r="T77" i="816" s="1"/>
  <c r="B75" i="816"/>
  <c r="M75" i="816" s="1"/>
  <c r="T75" i="816" s="1"/>
  <c r="B72" i="816"/>
  <c r="M72" i="816" s="1"/>
  <c r="T72" i="816" s="1"/>
  <c r="B69" i="816"/>
  <c r="M69" i="816" s="1"/>
  <c r="T69" i="816" s="1"/>
  <c r="B66" i="816"/>
  <c r="M66" i="816" s="1"/>
  <c r="T66" i="816" s="1"/>
  <c r="B64" i="816"/>
  <c r="M64" i="816" s="1"/>
  <c r="T64" i="816" s="1"/>
  <c r="B62" i="816"/>
  <c r="M62" i="816" s="1"/>
  <c r="T62" i="816" s="1"/>
  <c r="B60" i="816"/>
  <c r="M60" i="816" s="1"/>
  <c r="T60" i="816" s="1"/>
  <c r="B58" i="816"/>
  <c r="M58" i="816" s="1"/>
  <c r="T58" i="816" s="1"/>
  <c r="B56" i="816"/>
  <c r="M56" i="816" s="1"/>
  <c r="T56" i="816" s="1"/>
  <c r="B53" i="816"/>
  <c r="M53" i="816" s="1"/>
  <c r="T53" i="816" s="1"/>
  <c r="B50" i="816"/>
  <c r="M50" i="816" s="1"/>
  <c r="T50" i="816" s="1"/>
  <c r="B47" i="816"/>
  <c r="M47" i="816" s="1"/>
  <c r="T47" i="816" s="1"/>
  <c r="B45" i="816"/>
  <c r="M45" i="816" s="1"/>
  <c r="T45" i="816" s="1"/>
  <c r="B42" i="816"/>
  <c r="M42" i="816" s="1"/>
  <c r="T42" i="816" s="1"/>
  <c r="B39" i="816"/>
  <c r="M39" i="816" s="1"/>
  <c r="T39" i="816" s="1"/>
  <c r="B36" i="816"/>
  <c r="M36" i="816" s="1"/>
  <c r="T36" i="816" s="1"/>
  <c r="B34" i="816"/>
  <c r="M34" i="816" s="1"/>
  <c r="T34" i="816" s="1"/>
  <c r="B31" i="816"/>
  <c r="M31" i="816" s="1"/>
  <c r="T31" i="816" s="1"/>
  <c r="B29" i="816"/>
  <c r="M29" i="816" s="1"/>
  <c r="T29" i="816" s="1"/>
  <c r="B26" i="816"/>
  <c r="M26" i="816" s="1"/>
  <c r="T26" i="816" s="1"/>
  <c r="B23" i="816"/>
  <c r="M23" i="816" s="1"/>
  <c r="T23" i="816" s="1"/>
  <c r="B20" i="816"/>
  <c r="M20" i="816" s="1"/>
  <c r="T20" i="816" s="1"/>
  <c r="B18" i="816"/>
  <c r="M18" i="816" s="1"/>
  <c r="T18" i="816" s="1"/>
  <c r="B82" i="816"/>
  <c r="M82" i="816" s="1"/>
  <c r="T82" i="816" s="1"/>
  <c r="B80" i="816"/>
  <c r="M80" i="816" s="1"/>
  <c r="T80" i="816" s="1"/>
  <c r="B78" i="816"/>
  <c r="M78" i="816" s="1"/>
  <c r="T78" i="816" s="1"/>
  <c r="B76" i="816"/>
  <c r="M76" i="816" s="1"/>
  <c r="T76" i="816" s="1"/>
  <c r="B73" i="816"/>
  <c r="M73" i="816" s="1"/>
  <c r="T73" i="816" s="1"/>
  <c r="B70" i="816"/>
  <c r="M70" i="816" s="1"/>
  <c r="T70" i="816" s="1"/>
  <c r="B67" i="816"/>
  <c r="M67" i="816" s="1"/>
  <c r="T67" i="816" s="1"/>
  <c r="B65" i="816"/>
  <c r="M65" i="816" s="1"/>
  <c r="T65" i="816" s="1"/>
  <c r="B63" i="816"/>
  <c r="M63" i="816" s="1"/>
  <c r="T63" i="816" s="1"/>
  <c r="B61" i="816"/>
  <c r="M61" i="816" s="1"/>
  <c r="T61" i="816" s="1"/>
  <c r="B59" i="816"/>
  <c r="M59" i="816" s="1"/>
  <c r="T59" i="816" s="1"/>
  <c r="B54" i="816"/>
  <c r="M54" i="816" s="1"/>
  <c r="T54" i="816" s="1"/>
  <c r="B51" i="816"/>
  <c r="M51" i="816" s="1"/>
  <c r="T51" i="816" s="1"/>
  <c r="B48" i="816"/>
  <c r="M48" i="816" s="1"/>
  <c r="T48" i="816" s="1"/>
  <c r="B46" i="816"/>
  <c r="M46" i="816" s="1"/>
  <c r="T46" i="816" s="1"/>
  <c r="B43" i="816"/>
  <c r="M43" i="816" s="1"/>
  <c r="T43" i="816" s="1"/>
  <c r="B40" i="816"/>
  <c r="M40" i="816" s="1"/>
  <c r="T40" i="816" s="1"/>
  <c r="B37" i="816"/>
  <c r="M37" i="816" s="1"/>
  <c r="T37" i="816" s="1"/>
  <c r="B35" i="816"/>
  <c r="M35" i="816" s="1"/>
  <c r="T35" i="816" s="1"/>
  <c r="B32" i="816"/>
  <c r="M32" i="816" s="1"/>
  <c r="T32" i="816" s="1"/>
  <c r="B30" i="816"/>
  <c r="M30" i="816" s="1"/>
  <c r="T30" i="816" s="1"/>
  <c r="B27" i="816"/>
  <c r="M27" i="816" s="1"/>
  <c r="T27" i="816" s="1"/>
  <c r="B24" i="816"/>
  <c r="M24" i="816" s="1"/>
  <c r="T24" i="816" s="1"/>
  <c r="B21" i="816"/>
  <c r="M21" i="816" s="1"/>
  <c r="T21" i="816" s="1"/>
  <c r="B19" i="816"/>
  <c r="M19" i="816" s="1"/>
  <c r="T19" i="816" s="1"/>
  <c r="B90" i="816"/>
  <c r="M90" i="816" s="1"/>
  <c r="T90" i="816" s="1"/>
  <c r="B113" i="816"/>
  <c r="M113" i="816" s="1"/>
  <c r="T113" i="816" s="1"/>
  <c r="D12" i="816"/>
  <c r="B57" i="816"/>
  <c r="M57" i="816" s="1"/>
  <c r="T57" i="816" s="1"/>
  <c r="B74" i="816"/>
  <c r="M74" i="816" s="1"/>
  <c r="T74" i="816" s="1"/>
  <c r="B71" i="816"/>
  <c r="M71" i="816" s="1"/>
  <c r="T71" i="816" s="1"/>
  <c r="B68" i="816"/>
  <c r="M68" i="816" s="1"/>
  <c r="T68" i="816" s="1"/>
  <c r="B55" i="816"/>
  <c r="M55" i="816" s="1"/>
  <c r="T55" i="816" s="1"/>
  <c r="B52" i="816"/>
  <c r="M52" i="816" s="1"/>
  <c r="T52" i="816" s="1"/>
  <c r="B49" i="816"/>
  <c r="M49" i="816" s="1"/>
  <c r="T49" i="816" s="1"/>
  <c r="B44" i="816"/>
  <c r="M44" i="816" s="1"/>
  <c r="T44" i="816" s="1"/>
  <c r="B41" i="816"/>
  <c r="M41" i="816" s="1"/>
  <c r="T41" i="816" s="1"/>
  <c r="B38" i="816"/>
  <c r="M38" i="816" s="1"/>
  <c r="T38" i="816" s="1"/>
  <c r="B33" i="816"/>
  <c r="M33" i="816" s="1"/>
  <c r="T33" i="816" s="1"/>
  <c r="B28" i="816"/>
  <c r="M28" i="816" s="1"/>
  <c r="T28" i="816" s="1"/>
  <c r="B25" i="816"/>
  <c r="M25" i="816" s="1"/>
  <c r="T25" i="816" s="1"/>
  <c r="B22" i="816"/>
  <c r="M22" i="816" s="1"/>
  <c r="T22" i="816" s="1"/>
  <c r="B17" i="816"/>
  <c r="M17" i="816" s="1"/>
  <c r="T17" i="816" s="1"/>
  <c r="B110" i="816"/>
  <c r="M110" i="816" s="1"/>
  <c r="T110" i="816" s="1"/>
  <c r="B87" i="816"/>
  <c r="M87" i="816" s="1"/>
  <c r="T87" i="816" s="1"/>
  <c r="E12" i="816"/>
  <c r="B15" i="816"/>
  <c r="M15" i="816" s="1"/>
  <c r="T15" i="816" s="1"/>
  <c r="B111" i="816"/>
  <c r="M111" i="816" s="1"/>
  <c r="T111" i="816" s="1"/>
  <c r="B114" i="816" l="1"/>
  <c r="M114" i="816" s="1"/>
  <c r="T114" i="816" s="1"/>
  <c r="B116" i="816"/>
  <c r="M116" i="816" s="1"/>
  <c r="T116" i="816" s="1"/>
  <c r="B85" i="816"/>
  <c r="M85" i="816" s="1"/>
  <c r="T85" i="816" s="1"/>
  <c r="B86" i="816"/>
  <c r="M86" i="816" s="1"/>
  <c r="T86" i="816" s="1"/>
  <c r="B115" i="816"/>
  <c r="M115" i="816" s="1"/>
  <c r="T115" i="816" s="1"/>
  <c r="I12" i="816"/>
  <c r="I2" i="816"/>
  <c r="M48" i="804" l="1"/>
  <c r="C20" i="812" l="1"/>
  <c r="C19" i="812"/>
  <c r="M36" i="809" l="1"/>
  <c r="M37" i="809"/>
  <c r="M38" i="809"/>
  <c r="M35" i="809"/>
  <c r="B99" i="814" l="1"/>
  <c r="M99" i="814" s="1"/>
  <c r="T99" i="814" s="1"/>
  <c r="B98" i="814"/>
  <c r="M98" i="814" s="1"/>
  <c r="T98" i="814" s="1"/>
  <c r="C97" i="814"/>
  <c r="B97" i="814"/>
  <c r="M97" i="814" s="1"/>
  <c r="T97" i="814" s="1"/>
  <c r="B96" i="814"/>
  <c r="M96" i="814" s="1"/>
  <c r="T96" i="814" s="1"/>
  <c r="M95" i="814"/>
  <c r="T95" i="814" s="1"/>
  <c r="B95" i="814"/>
  <c r="C94" i="814"/>
  <c r="B94" i="814"/>
  <c r="M94" i="814" s="1"/>
  <c r="T94" i="814" s="1"/>
  <c r="B93" i="814"/>
  <c r="M93" i="814" s="1"/>
  <c r="T93" i="814" s="1"/>
  <c r="B92" i="814"/>
  <c r="M92" i="814" s="1"/>
  <c r="T92" i="814" s="1"/>
  <c r="C91" i="814"/>
  <c r="B91" i="814"/>
  <c r="M91" i="814" s="1"/>
  <c r="T91" i="814" s="1"/>
  <c r="B90" i="814"/>
  <c r="M90" i="814" s="1"/>
  <c r="T90" i="814" s="1"/>
  <c r="M89" i="814"/>
  <c r="T89" i="814" s="1"/>
  <c r="B89" i="814"/>
  <c r="C88" i="814"/>
  <c r="B88" i="814"/>
  <c r="M88" i="814" s="1"/>
  <c r="T88" i="814" s="1"/>
  <c r="B87" i="814"/>
  <c r="M87" i="814" s="1"/>
  <c r="T87" i="814" s="1"/>
  <c r="B86" i="814"/>
  <c r="M86" i="814" s="1"/>
  <c r="T86" i="814" s="1"/>
  <c r="C85" i="814"/>
  <c r="B85" i="814"/>
  <c r="M85" i="814" s="1"/>
  <c r="T85" i="814" s="1"/>
  <c r="B84" i="814"/>
  <c r="M84" i="814" s="1"/>
  <c r="T84" i="814" s="1"/>
  <c r="B83" i="814"/>
  <c r="M83" i="814" s="1"/>
  <c r="T83" i="814" s="1"/>
  <c r="C82" i="814"/>
  <c r="B82" i="814"/>
  <c r="M82" i="814" s="1"/>
  <c r="T82" i="814" s="1"/>
  <c r="B81" i="814"/>
  <c r="M81" i="814" s="1"/>
  <c r="T81" i="814" s="1"/>
  <c r="C76" i="814"/>
  <c r="C75" i="814"/>
  <c r="C74" i="814"/>
  <c r="C73" i="814"/>
  <c r="C72" i="814"/>
  <c r="C71" i="814"/>
  <c r="C70" i="814"/>
  <c r="C69" i="814"/>
  <c r="C68" i="814"/>
  <c r="C67" i="814"/>
  <c r="C66" i="814"/>
  <c r="C65" i="814"/>
  <c r="C64" i="814"/>
  <c r="C63" i="814"/>
  <c r="C62" i="814"/>
  <c r="C61" i="814"/>
  <c r="C60" i="814"/>
  <c r="C59" i="814"/>
  <c r="C58" i="814"/>
  <c r="C57" i="814"/>
  <c r="C56" i="814"/>
  <c r="C55" i="814"/>
  <c r="C54" i="814"/>
  <c r="C53" i="814"/>
  <c r="F52" i="814"/>
  <c r="C52" i="814"/>
  <c r="F51" i="814"/>
  <c r="C51" i="814"/>
  <c r="F50" i="814"/>
  <c r="C50" i="814"/>
  <c r="F49" i="814"/>
  <c r="C49" i="814"/>
  <c r="F48" i="814"/>
  <c r="C48" i="814"/>
  <c r="F47" i="814"/>
  <c r="C47" i="814"/>
  <c r="F46" i="814"/>
  <c r="C46" i="814"/>
  <c r="F45" i="814"/>
  <c r="C45" i="814"/>
  <c r="F44" i="814"/>
  <c r="C44" i="814"/>
  <c r="C43" i="814"/>
  <c r="C42" i="814"/>
  <c r="C41" i="814"/>
  <c r="C40" i="814"/>
  <c r="C39" i="814"/>
  <c r="C38" i="814"/>
  <c r="C37" i="814"/>
  <c r="C36" i="814"/>
  <c r="C35" i="814"/>
  <c r="C34" i="814"/>
  <c r="C33" i="814"/>
  <c r="C32" i="814"/>
  <c r="C31" i="814"/>
  <c r="C30" i="814"/>
  <c r="C29" i="814"/>
  <c r="C28" i="814"/>
  <c r="C27" i="814"/>
  <c r="C26" i="814"/>
  <c r="C25" i="814"/>
  <c r="C24" i="814"/>
  <c r="C23" i="814"/>
  <c r="C22" i="814"/>
  <c r="C21" i="814"/>
  <c r="C20" i="814"/>
  <c r="C19" i="814"/>
  <c r="C18" i="814"/>
  <c r="C17" i="814"/>
  <c r="C16" i="814"/>
  <c r="C15" i="814"/>
  <c r="G12" i="814"/>
  <c r="G11" i="814"/>
  <c r="F11" i="814"/>
  <c r="E11" i="814"/>
  <c r="D11" i="814"/>
  <c r="B78" i="814" s="1"/>
  <c r="M78" i="814" s="1"/>
  <c r="T78" i="814" s="1"/>
  <c r="C11" i="814"/>
  <c r="B100" i="814" s="1"/>
  <c r="M100" i="814" s="1"/>
  <c r="T100" i="814" s="1"/>
  <c r="I10" i="814"/>
  <c r="I9" i="814"/>
  <c r="I8" i="814"/>
  <c r="I7" i="814"/>
  <c r="B76" i="814" s="1"/>
  <c r="M76" i="814" s="1"/>
  <c r="T76" i="814" s="1"/>
  <c r="I6" i="814"/>
  <c r="B51" i="814" s="1"/>
  <c r="M51" i="814" s="1"/>
  <c r="T51" i="814" s="1"/>
  <c r="I5" i="814"/>
  <c r="B47" i="814" s="1"/>
  <c r="M47" i="814" s="1"/>
  <c r="T47" i="814" s="1"/>
  <c r="B99" i="813"/>
  <c r="M99" i="813" s="1"/>
  <c r="T99" i="813" s="1"/>
  <c r="B98" i="813"/>
  <c r="M98" i="813" s="1"/>
  <c r="T98" i="813" s="1"/>
  <c r="M97" i="813"/>
  <c r="T97" i="813" s="1"/>
  <c r="C97" i="813"/>
  <c r="B97" i="813"/>
  <c r="M96" i="813"/>
  <c r="T96" i="813" s="1"/>
  <c r="B96" i="813"/>
  <c r="B95" i="813"/>
  <c r="M95" i="813" s="1"/>
  <c r="T95" i="813" s="1"/>
  <c r="C94" i="813"/>
  <c r="B94" i="813"/>
  <c r="M94" i="813" s="1"/>
  <c r="T94" i="813" s="1"/>
  <c r="B93" i="813"/>
  <c r="M93" i="813" s="1"/>
  <c r="T93" i="813" s="1"/>
  <c r="B92" i="813"/>
  <c r="M92" i="813" s="1"/>
  <c r="T92" i="813" s="1"/>
  <c r="C91" i="813"/>
  <c r="B91" i="813"/>
  <c r="M91" i="813" s="1"/>
  <c r="T91" i="813" s="1"/>
  <c r="M90" i="813"/>
  <c r="T90" i="813" s="1"/>
  <c r="B90" i="813"/>
  <c r="B89" i="813"/>
  <c r="M89" i="813" s="1"/>
  <c r="T89" i="813" s="1"/>
  <c r="C88" i="813"/>
  <c r="B88" i="813"/>
  <c r="M88" i="813" s="1"/>
  <c r="T88" i="813" s="1"/>
  <c r="B87" i="813"/>
  <c r="M87" i="813" s="1"/>
  <c r="T87" i="813" s="1"/>
  <c r="B86" i="813"/>
  <c r="M86" i="813" s="1"/>
  <c r="T86" i="813" s="1"/>
  <c r="M85" i="813"/>
  <c r="T85" i="813" s="1"/>
  <c r="C85" i="813"/>
  <c r="B85" i="813"/>
  <c r="M84" i="813"/>
  <c r="T84" i="813" s="1"/>
  <c r="B84" i="813"/>
  <c r="B83" i="813"/>
  <c r="M83" i="813" s="1"/>
  <c r="T83" i="813" s="1"/>
  <c r="C82" i="813"/>
  <c r="B82" i="813"/>
  <c r="M82" i="813" s="1"/>
  <c r="T82" i="813" s="1"/>
  <c r="C77" i="813"/>
  <c r="C76" i="813"/>
  <c r="B76" i="813"/>
  <c r="M76" i="813" s="1"/>
  <c r="T76" i="813" s="1"/>
  <c r="C75" i="813"/>
  <c r="C74" i="813"/>
  <c r="C73" i="813"/>
  <c r="B73" i="813"/>
  <c r="M73" i="813" s="1"/>
  <c r="T73" i="813" s="1"/>
  <c r="C72" i="813"/>
  <c r="C71" i="813"/>
  <c r="C70" i="813"/>
  <c r="B70" i="813"/>
  <c r="M70" i="813" s="1"/>
  <c r="T70" i="813" s="1"/>
  <c r="C69" i="813"/>
  <c r="C68" i="813"/>
  <c r="C67" i="813"/>
  <c r="B67" i="813"/>
  <c r="M67" i="813" s="1"/>
  <c r="T67" i="813" s="1"/>
  <c r="C66" i="813"/>
  <c r="C65" i="813"/>
  <c r="C64" i="813"/>
  <c r="B64" i="813"/>
  <c r="M64" i="813" s="1"/>
  <c r="T64" i="813" s="1"/>
  <c r="C63" i="813"/>
  <c r="C62" i="813"/>
  <c r="C61" i="813"/>
  <c r="B61" i="813"/>
  <c r="M61" i="813" s="1"/>
  <c r="T61" i="813" s="1"/>
  <c r="C60" i="813"/>
  <c r="C59" i="813"/>
  <c r="C58" i="813"/>
  <c r="B58" i="813"/>
  <c r="M58" i="813" s="1"/>
  <c r="T58" i="813" s="1"/>
  <c r="C57" i="813"/>
  <c r="C56" i="813"/>
  <c r="C55" i="813"/>
  <c r="B55" i="813"/>
  <c r="M55" i="813" s="1"/>
  <c r="T55" i="813" s="1"/>
  <c r="C54" i="813"/>
  <c r="C53" i="813"/>
  <c r="F52" i="813"/>
  <c r="C52" i="813"/>
  <c r="F51" i="813"/>
  <c r="C51" i="813"/>
  <c r="F50" i="813"/>
  <c r="C50" i="813"/>
  <c r="T49" i="813"/>
  <c r="F49" i="813"/>
  <c r="C49" i="813"/>
  <c r="B49" i="813"/>
  <c r="M49" i="813" s="1"/>
  <c r="F48" i="813"/>
  <c r="C48" i="813"/>
  <c r="F47" i="813"/>
  <c r="C47" i="813"/>
  <c r="F46" i="813"/>
  <c r="C46" i="813"/>
  <c r="F45" i="813"/>
  <c r="C45" i="813"/>
  <c r="F44" i="813"/>
  <c r="C44" i="813"/>
  <c r="C43" i="813"/>
  <c r="C42" i="813"/>
  <c r="C41" i="813"/>
  <c r="C40" i="813"/>
  <c r="C39" i="813"/>
  <c r="C38" i="813"/>
  <c r="C37" i="813"/>
  <c r="C36" i="813"/>
  <c r="C35" i="813"/>
  <c r="C34" i="813"/>
  <c r="C33" i="813"/>
  <c r="C32" i="813"/>
  <c r="C31" i="813"/>
  <c r="C30" i="813"/>
  <c r="C29" i="813"/>
  <c r="C28" i="813"/>
  <c r="C27" i="813"/>
  <c r="C26" i="813"/>
  <c r="C25" i="813"/>
  <c r="C24" i="813"/>
  <c r="C23" i="813"/>
  <c r="C22" i="813"/>
  <c r="C21" i="813"/>
  <c r="C20" i="813"/>
  <c r="C19" i="813"/>
  <c r="C18" i="813"/>
  <c r="C17" i="813"/>
  <c r="C16" i="813"/>
  <c r="C15" i="813"/>
  <c r="G12" i="813"/>
  <c r="F12" i="813"/>
  <c r="G11" i="813"/>
  <c r="B81" i="813" s="1"/>
  <c r="M81" i="813" s="1"/>
  <c r="T81" i="813" s="1"/>
  <c r="F11" i="813"/>
  <c r="B80" i="813" s="1"/>
  <c r="M80" i="813" s="1"/>
  <c r="T80" i="813" s="1"/>
  <c r="E11" i="813"/>
  <c r="B79" i="813" s="1"/>
  <c r="M79" i="813" s="1"/>
  <c r="T79" i="813" s="1"/>
  <c r="D11" i="813"/>
  <c r="C11" i="813"/>
  <c r="C12" i="813" s="1"/>
  <c r="I10" i="813"/>
  <c r="I9" i="813"/>
  <c r="I8" i="813"/>
  <c r="I7" i="813"/>
  <c r="B52" i="813" s="1"/>
  <c r="M52" i="813" s="1"/>
  <c r="T52" i="813" s="1"/>
  <c r="I6" i="813"/>
  <c r="B48" i="813" s="1"/>
  <c r="M48" i="813" s="1"/>
  <c r="T48" i="813" s="1"/>
  <c r="I5" i="813"/>
  <c r="B44" i="813" s="1"/>
  <c r="M44" i="813" s="1"/>
  <c r="T44" i="813" s="1"/>
  <c r="B75" i="812"/>
  <c r="M75" i="812" s="1"/>
  <c r="T75" i="812" s="1"/>
  <c r="M74" i="812"/>
  <c r="T74" i="812" s="1"/>
  <c r="B74" i="812"/>
  <c r="C73" i="812"/>
  <c r="B73" i="812"/>
  <c r="M73" i="812" s="1"/>
  <c r="T73" i="812" s="1"/>
  <c r="B72" i="812"/>
  <c r="M72" i="812" s="1"/>
  <c r="T72" i="812" s="1"/>
  <c r="B71" i="812"/>
  <c r="M71" i="812" s="1"/>
  <c r="T71" i="812" s="1"/>
  <c r="C70" i="812"/>
  <c r="B70" i="812"/>
  <c r="M70" i="812" s="1"/>
  <c r="T70" i="812" s="1"/>
  <c r="B69" i="812"/>
  <c r="M69" i="812" s="1"/>
  <c r="T69" i="812" s="1"/>
  <c r="B68" i="812"/>
  <c r="M68" i="812" s="1"/>
  <c r="T68" i="812" s="1"/>
  <c r="C67" i="812"/>
  <c r="B67" i="812"/>
  <c r="M67" i="812" s="1"/>
  <c r="T67" i="812" s="1"/>
  <c r="B66" i="812"/>
  <c r="M66" i="812" s="1"/>
  <c r="T66" i="812" s="1"/>
  <c r="B65" i="812"/>
  <c r="M65" i="812" s="1"/>
  <c r="T65" i="812" s="1"/>
  <c r="C64" i="812"/>
  <c r="B64" i="812"/>
  <c r="M64" i="812" s="1"/>
  <c r="T64" i="812" s="1"/>
  <c r="B63" i="812"/>
  <c r="M63" i="812" s="1"/>
  <c r="T63" i="812" s="1"/>
  <c r="M62" i="812"/>
  <c r="T62" i="812" s="1"/>
  <c r="B62" i="812"/>
  <c r="C61" i="812"/>
  <c r="B61" i="812"/>
  <c r="M61" i="812" s="1"/>
  <c r="T61" i="812" s="1"/>
  <c r="B60" i="812"/>
  <c r="M60" i="812" s="1"/>
  <c r="T60" i="812" s="1"/>
  <c r="B59" i="812"/>
  <c r="M59" i="812" s="1"/>
  <c r="T59" i="812" s="1"/>
  <c r="C58" i="812"/>
  <c r="B58" i="812"/>
  <c r="M58" i="812" s="1"/>
  <c r="T58" i="812" s="1"/>
  <c r="C53" i="812"/>
  <c r="C52" i="812"/>
  <c r="C51" i="812"/>
  <c r="C50" i="812"/>
  <c r="C49" i="812"/>
  <c r="C48" i="812"/>
  <c r="C47" i="812"/>
  <c r="C46" i="812"/>
  <c r="C45" i="812"/>
  <c r="F44" i="812"/>
  <c r="C44" i="812"/>
  <c r="F43" i="812"/>
  <c r="C43" i="812"/>
  <c r="F42" i="812"/>
  <c r="C42" i="812"/>
  <c r="F41" i="812"/>
  <c r="C41" i="812"/>
  <c r="F40" i="812"/>
  <c r="C40" i="812"/>
  <c r="F39" i="812"/>
  <c r="C39" i="812"/>
  <c r="F38" i="812"/>
  <c r="C38" i="812"/>
  <c r="F37" i="812"/>
  <c r="C37" i="812"/>
  <c r="C36" i="812"/>
  <c r="C35" i="812"/>
  <c r="C34" i="812"/>
  <c r="C33" i="812"/>
  <c r="C32" i="812"/>
  <c r="C31" i="812"/>
  <c r="C30" i="812"/>
  <c r="C29" i="812"/>
  <c r="C28" i="812"/>
  <c r="C27" i="812"/>
  <c r="C26" i="812"/>
  <c r="C25" i="812"/>
  <c r="C24" i="812"/>
  <c r="C23" i="812"/>
  <c r="C22" i="812"/>
  <c r="C21" i="812"/>
  <c r="C18" i="812"/>
  <c r="C17" i="812"/>
  <c r="C16" i="812"/>
  <c r="C15" i="812"/>
  <c r="G11" i="812"/>
  <c r="G12" i="812" s="1"/>
  <c r="F11" i="812"/>
  <c r="E11" i="812"/>
  <c r="B78" i="812" s="1"/>
  <c r="M78" i="812" s="1"/>
  <c r="T78" i="812" s="1"/>
  <c r="D11" i="812"/>
  <c r="B77" i="812" s="1"/>
  <c r="M77" i="812" s="1"/>
  <c r="T77" i="812" s="1"/>
  <c r="C11" i="812"/>
  <c r="C12" i="812" s="1"/>
  <c r="I10" i="812"/>
  <c r="I9" i="812"/>
  <c r="I8" i="812"/>
  <c r="I7" i="812"/>
  <c r="I6" i="812"/>
  <c r="B20" i="812" s="1"/>
  <c r="M20" i="812" s="1"/>
  <c r="I5" i="812"/>
  <c r="B103" i="811"/>
  <c r="M103" i="811" s="1"/>
  <c r="T103" i="811" s="1"/>
  <c r="B99" i="811"/>
  <c r="M99" i="811" s="1"/>
  <c r="T99" i="811" s="1"/>
  <c r="B98" i="811"/>
  <c r="M98" i="811" s="1"/>
  <c r="T98" i="811" s="1"/>
  <c r="T97" i="811"/>
  <c r="C97" i="811"/>
  <c r="B97" i="811"/>
  <c r="M97" i="811" s="1"/>
  <c r="B96" i="811"/>
  <c r="M96" i="811" s="1"/>
  <c r="T96" i="811" s="1"/>
  <c r="M95" i="811"/>
  <c r="T95" i="811" s="1"/>
  <c r="B95" i="811"/>
  <c r="C94" i="811"/>
  <c r="B94" i="811"/>
  <c r="M94" i="811" s="1"/>
  <c r="T94" i="811" s="1"/>
  <c r="B93" i="811"/>
  <c r="M93" i="811" s="1"/>
  <c r="T93" i="811" s="1"/>
  <c r="B92" i="811"/>
  <c r="M92" i="811" s="1"/>
  <c r="T92" i="811" s="1"/>
  <c r="T91" i="811"/>
  <c r="C91" i="811"/>
  <c r="B91" i="811"/>
  <c r="M91" i="811" s="1"/>
  <c r="B90" i="811"/>
  <c r="M90" i="811" s="1"/>
  <c r="T90" i="811" s="1"/>
  <c r="B89" i="811"/>
  <c r="M89" i="811" s="1"/>
  <c r="T89" i="811" s="1"/>
  <c r="C88" i="811"/>
  <c r="B88" i="811"/>
  <c r="M88" i="811" s="1"/>
  <c r="T88" i="811" s="1"/>
  <c r="B87" i="811"/>
  <c r="M87" i="811" s="1"/>
  <c r="T87" i="811" s="1"/>
  <c r="B86" i="811"/>
  <c r="M86" i="811" s="1"/>
  <c r="T86" i="811" s="1"/>
  <c r="T85" i="811"/>
  <c r="C85" i="811"/>
  <c r="B85" i="811"/>
  <c r="M85" i="811" s="1"/>
  <c r="B84" i="811"/>
  <c r="M84" i="811" s="1"/>
  <c r="T84" i="811" s="1"/>
  <c r="B83" i="811"/>
  <c r="M83" i="811" s="1"/>
  <c r="T83" i="811" s="1"/>
  <c r="M82" i="811"/>
  <c r="T82" i="811" s="1"/>
  <c r="C82" i="811"/>
  <c r="B82" i="811"/>
  <c r="B81" i="811"/>
  <c r="M81" i="811" s="1"/>
  <c r="T81" i="811" s="1"/>
  <c r="C77" i="811"/>
  <c r="C76" i="811"/>
  <c r="C75" i="811"/>
  <c r="C74" i="811"/>
  <c r="C73" i="811"/>
  <c r="C72" i="811"/>
  <c r="C71" i="811"/>
  <c r="C70" i="811"/>
  <c r="C69" i="811"/>
  <c r="C68" i="811"/>
  <c r="C67" i="811"/>
  <c r="C66" i="811"/>
  <c r="C65" i="811"/>
  <c r="C64" i="811"/>
  <c r="C63" i="811"/>
  <c r="C62" i="811"/>
  <c r="C61" i="811"/>
  <c r="C60" i="811"/>
  <c r="C59" i="811"/>
  <c r="C58" i="811"/>
  <c r="C57" i="811"/>
  <c r="C56" i="811"/>
  <c r="C55" i="811"/>
  <c r="C54" i="811"/>
  <c r="C53" i="811"/>
  <c r="F52" i="811"/>
  <c r="C52" i="811"/>
  <c r="F51" i="811"/>
  <c r="C51" i="811"/>
  <c r="F50" i="811"/>
  <c r="C50" i="811"/>
  <c r="F49" i="811"/>
  <c r="C49" i="811"/>
  <c r="F48" i="811"/>
  <c r="C48" i="811"/>
  <c r="F47" i="811"/>
  <c r="C47" i="811"/>
  <c r="F46" i="811"/>
  <c r="C46" i="811"/>
  <c r="F45" i="811"/>
  <c r="C45" i="811"/>
  <c r="F44" i="811"/>
  <c r="C44" i="811"/>
  <c r="C43" i="811"/>
  <c r="C42" i="811"/>
  <c r="C41" i="811"/>
  <c r="C40" i="811"/>
  <c r="C39" i="811"/>
  <c r="C38" i="811"/>
  <c r="C37" i="811"/>
  <c r="C36" i="811"/>
  <c r="C35" i="811"/>
  <c r="C34" i="811"/>
  <c r="C33" i="811"/>
  <c r="C32" i="811"/>
  <c r="C31" i="811"/>
  <c r="C30" i="811"/>
  <c r="C29" i="811"/>
  <c r="C28" i="811"/>
  <c r="C27" i="811"/>
  <c r="C26" i="811"/>
  <c r="C25" i="811"/>
  <c r="C24" i="811"/>
  <c r="C23" i="811"/>
  <c r="C22" i="811"/>
  <c r="C21" i="811"/>
  <c r="C20" i="811"/>
  <c r="C19" i="811"/>
  <c r="C18" i="811"/>
  <c r="C17" i="811"/>
  <c r="C16" i="811"/>
  <c r="C15" i="811"/>
  <c r="G12" i="811"/>
  <c r="G11" i="811"/>
  <c r="F11" i="811"/>
  <c r="F12" i="811" s="1"/>
  <c r="E11" i="811"/>
  <c r="D11" i="811"/>
  <c r="B78" i="811" s="1"/>
  <c r="M78" i="811" s="1"/>
  <c r="T78" i="811" s="1"/>
  <c r="C11" i="811"/>
  <c r="B100" i="811" s="1"/>
  <c r="M100" i="811" s="1"/>
  <c r="T100" i="811" s="1"/>
  <c r="I10" i="811"/>
  <c r="I9" i="811"/>
  <c r="I8" i="811"/>
  <c r="I7" i="811"/>
  <c r="B76" i="811" s="1"/>
  <c r="M76" i="811" s="1"/>
  <c r="T76" i="811" s="1"/>
  <c r="I6" i="811"/>
  <c r="I5" i="811"/>
  <c r="B50" i="811" s="1"/>
  <c r="M50" i="811" s="1"/>
  <c r="T50" i="811" s="1"/>
  <c r="B99" i="810"/>
  <c r="M99" i="810" s="1"/>
  <c r="T99" i="810" s="1"/>
  <c r="B98" i="810"/>
  <c r="M98" i="810" s="1"/>
  <c r="T98" i="810" s="1"/>
  <c r="C97" i="810"/>
  <c r="B97" i="810"/>
  <c r="M97" i="810" s="1"/>
  <c r="T97" i="810" s="1"/>
  <c r="B96" i="810"/>
  <c r="M96" i="810" s="1"/>
  <c r="T96" i="810" s="1"/>
  <c r="B95" i="810"/>
  <c r="M95" i="810" s="1"/>
  <c r="T95" i="810" s="1"/>
  <c r="T94" i="810"/>
  <c r="C94" i="810"/>
  <c r="B94" i="810"/>
  <c r="M94" i="810" s="1"/>
  <c r="M93" i="810"/>
  <c r="T93" i="810" s="1"/>
  <c r="B93" i="810"/>
  <c r="B92" i="810"/>
  <c r="M92" i="810" s="1"/>
  <c r="T92" i="810" s="1"/>
  <c r="C91" i="810"/>
  <c r="B91" i="810"/>
  <c r="M91" i="810" s="1"/>
  <c r="T91" i="810" s="1"/>
  <c r="B90" i="810"/>
  <c r="M90" i="810" s="1"/>
  <c r="T90" i="810" s="1"/>
  <c r="B89" i="810"/>
  <c r="M89" i="810" s="1"/>
  <c r="T89" i="810" s="1"/>
  <c r="C88" i="810"/>
  <c r="B88" i="810"/>
  <c r="M88" i="810" s="1"/>
  <c r="T88" i="810" s="1"/>
  <c r="M87" i="810"/>
  <c r="T87" i="810" s="1"/>
  <c r="B87" i="810"/>
  <c r="M86" i="810"/>
  <c r="T86" i="810" s="1"/>
  <c r="B86" i="810"/>
  <c r="M85" i="810"/>
  <c r="T85" i="810" s="1"/>
  <c r="C85" i="810"/>
  <c r="B85" i="810"/>
  <c r="B84" i="810"/>
  <c r="M84" i="810" s="1"/>
  <c r="T84" i="810" s="1"/>
  <c r="B83" i="810"/>
  <c r="M83" i="810" s="1"/>
  <c r="T83" i="810" s="1"/>
  <c r="C82" i="810"/>
  <c r="B82" i="810"/>
  <c r="M82" i="810" s="1"/>
  <c r="T82" i="810" s="1"/>
  <c r="C77" i="810"/>
  <c r="C76" i="810"/>
  <c r="C75" i="810"/>
  <c r="B75" i="810"/>
  <c r="M75" i="810" s="1"/>
  <c r="T75" i="810" s="1"/>
  <c r="C74" i="810"/>
  <c r="C73" i="810"/>
  <c r="C72" i="810"/>
  <c r="C71" i="810"/>
  <c r="C70" i="810"/>
  <c r="C69" i="810"/>
  <c r="B69" i="810"/>
  <c r="M69" i="810" s="1"/>
  <c r="T69" i="810" s="1"/>
  <c r="C68" i="810"/>
  <c r="C67" i="810"/>
  <c r="C66" i="810"/>
  <c r="C65" i="810"/>
  <c r="C64" i="810"/>
  <c r="C63" i="810"/>
  <c r="B63" i="810"/>
  <c r="M63" i="810" s="1"/>
  <c r="T63" i="810" s="1"/>
  <c r="C62" i="810"/>
  <c r="C61" i="810"/>
  <c r="C60" i="810"/>
  <c r="C59" i="810"/>
  <c r="C58" i="810"/>
  <c r="C57" i="810"/>
  <c r="B57" i="810"/>
  <c r="M57" i="810" s="1"/>
  <c r="T57" i="810" s="1"/>
  <c r="C56" i="810"/>
  <c r="C55" i="810"/>
  <c r="C54" i="810"/>
  <c r="C53" i="810"/>
  <c r="F52" i="810"/>
  <c r="C52" i="810"/>
  <c r="F51" i="810"/>
  <c r="C51" i="810"/>
  <c r="F50" i="810"/>
  <c r="C50" i="810"/>
  <c r="F49" i="810"/>
  <c r="C49" i="810"/>
  <c r="F48" i="810"/>
  <c r="C48" i="810"/>
  <c r="B48" i="810"/>
  <c r="M48" i="810" s="1"/>
  <c r="T48" i="810" s="1"/>
  <c r="F47" i="810"/>
  <c r="C47" i="810"/>
  <c r="F46" i="810"/>
  <c r="C46" i="810"/>
  <c r="F45" i="810"/>
  <c r="C45" i="810"/>
  <c r="B45" i="810"/>
  <c r="M45" i="810" s="1"/>
  <c r="T45" i="810" s="1"/>
  <c r="F44" i="810"/>
  <c r="C44" i="810"/>
  <c r="C43" i="810"/>
  <c r="C42" i="810"/>
  <c r="C41" i="810"/>
  <c r="C40" i="810"/>
  <c r="C39" i="810"/>
  <c r="B39" i="810"/>
  <c r="M39" i="810" s="1"/>
  <c r="T39" i="810" s="1"/>
  <c r="C38" i="810"/>
  <c r="C37" i="810"/>
  <c r="C36" i="810"/>
  <c r="C35" i="810"/>
  <c r="C34" i="810"/>
  <c r="C33" i="810"/>
  <c r="C32" i="810"/>
  <c r="C31" i="810"/>
  <c r="C30" i="810"/>
  <c r="C29" i="810"/>
  <c r="C28" i="810"/>
  <c r="C27" i="810"/>
  <c r="B27" i="810"/>
  <c r="M27" i="810" s="1"/>
  <c r="T27" i="810" s="1"/>
  <c r="C26" i="810"/>
  <c r="C25" i="810"/>
  <c r="C24" i="810"/>
  <c r="C23" i="810"/>
  <c r="C22" i="810"/>
  <c r="C21" i="810"/>
  <c r="C20" i="810"/>
  <c r="C19" i="810"/>
  <c r="C18" i="810"/>
  <c r="C17" i="810"/>
  <c r="C16" i="810"/>
  <c r="C15" i="810"/>
  <c r="G11" i="810"/>
  <c r="F11" i="810"/>
  <c r="B80" i="810" s="1"/>
  <c r="M80" i="810" s="1"/>
  <c r="T80" i="810" s="1"/>
  <c r="E11" i="810"/>
  <c r="B102" i="810" s="1"/>
  <c r="M102" i="810" s="1"/>
  <c r="T102" i="810" s="1"/>
  <c r="D11" i="810"/>
  <c r="D12" i="810" s="1"/>
  <c r="C11" i="810"/>
  <c r="I10" i="810"/>
  <c r="I9" i="810"/>
  <c r="I8" i="810"/>
  <c r="I7" i="810"/>
  <c r="B46" i="810" s="1"/>
  <c r="M46" i="810" s="1"/>
  <c r="T46" i="810" s="1"/>
  <c r="I6" i="810"/>
  <c r="B51" i="810" s="1"/>
  <c r="M51" i="810" s="1"/>
  <c r="T51" i="810" s="1"/>
  <c r="I5" i="810"/>
  <c r="B47" i="810" s="1"/>
  <c r="M47" i="810" s="1"/>
  <c r="T47" i="810" s="1"/>
  <c r="T31" i="809"/>
  <c r="T32" i="809"/>
  <c r="M32" i="809"/>
  <c r="M31" i="809"/>
  <c r="C32" i="809"/>
  <c r="B32" i="809"/>
  <c r="C31" i="809"/>
  <c r="B31" i="809"/>
  <c r="B77" i="809"/>
  <c r="M77" i="809" s="1"/>
  <c r="T77" i="809" s="1"/>
  <c r="B76" i="809"/>
  <c r="M76" i="809" s="1"/>
  <c r="T76" i="809" s="1"/>
  <c r="C75" i="809"/>
  <c r="B75" i="809"/>
  <c r="M75" i="809" s="1"/>
  <c r="T75" i="809" s="1"/>
  <c r="B74" i="809"/>
  <c r="M74" i="809" s="1"/>
  <c r="T74" i="809" s="1"/>
  <c r="M73" i="809"/>
  <c r="T73" i="809" s="1"/>
  <c r="B73" i="809"/>
  <c r="C72" i="809"/>
  <c r="B72" i="809"/>
  <c r="M72" i="809" s="1"/>
  <c r="T72" i="809" s="1"/>
  <c r="B71" i="809"/>
  <c r="M71" i="809" s="1"/>
  <c r="T71" i="809" s="1"/>
  <c r="B70" i="809"/>
  <c r="M70" i="809" s="1"/>
  <c r="T70" i="809" s="1"/>
  <c r="C69" i="809"/>
  <c r="B69" i="809"/>
  <c r="M69" i="809" s="1"/>
  <c r="T69" i="809" s="1"/>
  <c r="B68" i="809"/>
  <c r="M68" i="809" s="1"/>
  <c r="T68" i="809" s="1"/>
  <c r="B67" i="809"/>
  <c r="M67" i="809" s="1"/>
  <c r="T67" i="809" s="1"/>
  <c r="C66" i="809"/>
  <c r="B66" i="809"/>
  <c r="M66" i="809" s="1"/>
  <c r="T66" i="809" s="1"/>
  <c r="B65" i="809"/>
  <c r="M65" i="809" s="1"/>
  <c r="T65" i="809" s="1"/>
  <c r="B64" i="809"/>
  <c r="M64" i="809" s="1"/>
  <c r="T64" i="809" s="1"/>
  <c r="C63" i="809"/>
  <c r="B63" i="809"/>
  <c r="M63" i="809" s="1"/>
  <c r="T63" i="809" s="1"/>
  <c r="B62" i="809"/>
  <c r="M62" i="809" s="1"/>
  <c r="T62" i="809" s="1"/>
  <c r="B61" i="809"/>
  <c r="M61" i="809" s="1"/>
  <c r="T61" i="809" s="1"/>
  <c r="C60" i="809"/>
  <c r="B60" i="809"/>
  <c r="M60" i="809" s="1"/>
  <c r="T60" i="809" s="1"/>
  <c r="B59" i="809"/>
  <c r="M59" i="809" s="1"/>
  <c r="T59" i="809" s="1"/>
  <c r="C55" i="809"/>
  <c r="C54" i="809"/>
  <c r="C53" i="809"/>
  <c r="C52" i="809"/>
  <c r="C51" i="809"/>
  <c r="C50" i="809"/>
  <c r="C49" i="809"/>
  <c r="C48" i="809"/>
  <c r="C47" i="809"/>
  <c r="F46" i="809"/>
  <c r="C46" i="809"/>
  <c r="F45" i="809"/>
  <c r="C45" i="809"/>
  <c r="F44" i="809"/>
  <c r="C44" i="809"/>
  <c r="F43" i="809"/>
  <c r="C43" i="809"/>
  <c r="F42" i="809"/>
  <c r="C42" i="809"/>
  <c r="F41" i="809"/>
  <c r="C41" i="809"/>
  <c r="F40" i="809"/>
  <c r="C40" i="809"/>
  <c r="F39" i="809"/>
  <c r="C39" i="809"/>
  <c r="C38" i="809"/>
  <c r="C37" i="809"/>
  <c r="C36" i="809"/>
  <c r="C35" i="809"/>
  <c r="C34" i="809"/>
  <c r="C33" i="809"/>
  <c r="C30" i="809"/>
  <c r="C29" i="809"/>
  <c r="C28" i="809"/>
  <c r="C27" i="809"/>
  <c r="C26" i="809"/>
  <c r="C25" i="809"/>
  <c r="C24" i="809"/>
  <c r="C23" i="809"/>
  <c r="C22" i="809"/>
  <c r="C21" i="809"/>
  <c r="C20" i="809"/>
  <c r="C19" i="809"/>
  <c r="C18" i="809"/>
  <c r="C17" i="809"/>
  <c r="C16" i="809"/>
  <c r="C15" i="809"/>
  <c r="G12" i="809"/>
  <c r="G11" i="809"/>
  <c r="F11" i="809"/>
  <c r="B81" i="809" s="1"/>
  <c r="M81" i="809" s="1"/>
  <c r="T81" i="809" s="1"/>
  <c r="E11" i="809"/>
  <c r="E12" i="809" s="1"/>
  <c r="D11" i="809"/>
  <c r="C11" i="809"/>
  <c r="B78" i="809" s="1"/>
  <c r="M78" i="809" s="1"/>
  <c r="T78" i="809" s="1"/>
  <c r="I10" i="809"/>
  <c r="I9" i="809"/>
  <c r="I8" i="809"/>
  <c r="I7" i="809"/>
  <c r="I6" i="809"/>
  <c r="B54" i="809" s="1"/>
  <c r="M54" i="809" s="1"/>
  <c r="T54" i="809" s="1"/>
  <c r="I5" i="809"/>
  <c r="B53" i="809" s="1"/>
  <c r="M53" i="809" s="1"/>
  <c r="T53" i="809" s="1"/>
  <c r="B75" i="808"/>
  <c r="M75" i="808" s="1"/>
  <c r="T75" i="808" s="1"/>
  <c r="M74" i="808"/>
  <c r="T74" i="808" s="1"/>
  <c r="B74" i="808"/>
  <c r="M73" i="808"/>
  <c r="T73" i="808" s="1"/>
  <c r="C73" i="808"/>
  <c r="B73" i="808"/>
  <c r="B72" i="808"/>
  <c r="M72" i="808" s="1"/>
  <c r="T72" i="808" s="1"/>
  <c r="B71" i="808"/>
  <c r="M71" i="808" s="1"/>
  <c r="T71" i="808" s="1"/>
  <c r="C70" i="808"/>
  <c r="B70" i="808"/>
  <c r="M70" i="808" s="1"/>
  <c r="T70" i="808" s="1"/>
  <c r="B69" i="808"/>
  <c r="M69" i="808" s="1"/>
  <c r="T69" i="808" s="1"/>
  <c r="B68" i="808"/>
  <c r="M68" i="808" s="1"/>
  <c r="T68" i="808" s="1"/>
  <c r="C67" i="808"/>
  <c r="B67" i="808"/>
  <c r="M67" i="808" s="1"/>
  <c r="T67" i="808" s="1"/>
  <c r="B66" i="808"/>
  <c r="M66" i="808" s="1"/>
  <c r="T66" i="808" s="1"/>
  <c r="B65" i="808"/>
  <c r="M65" i="808" s="1"/>
  <c r="T65" i="808" s="1"/>
  <c r="C64" i="808"/>
  <c r="B64" i="808"/>
  <c r="M64" i="808" s="1"/>
  <c r="T64" i="808" s="1"/>
  <c r="B63" i="808"/>
  <c r="M63" i="808" s="1"/>
  <c r="T63" i="808" s="1"/>
  <c r="M62" i="808"/>
  <c r="T62" i="808" s="1"/>
  <c r="B62" i="808"/>
  <c r="M61" i="808"/>
  <c r="T61" i="808" s="1"/>
  <c r="C61" i="808"/>
  <c r="B61" i="808"/>
  <c r="B60" i="808"/>
  <c r="M60" i="808" s="1"/>
  <c r="T60" i="808" s="1"/>
  <c r="B59" i="808"/>
  <c r="M59" i="808" s="1"/>
  <c r="T59" i="808" s="1"/>
  <c r="C58" i="808"/>
  <c r="B58" i="808"/>
  <c r="M58" i="808" s="1"/>
  <c r="T58" i="808" s="1"/>
  <c r="B54" i="808"/>
  <c r="M54" i="808" s="1"/>
  <c r="T54" i="808" s="1"/>
  <c r="C53" i="808"/>
  <c r="C52" i="808"/>
  <c r="C51" i="808"/>
  <c r="C50" i="808"/>
  <c r="C49" i="808"/>
  <c r="C48" i="808"/>
  <c r="C47" i="808"/>
  <c r="C46" i="808"/>
  <c r="C45" i="808"/>
  <c r="F44" i="808"/>
  <c r="C44" i="808"/>
  <c r="F43" i="808"/>
  <c r="C43" i="808"/>
  <c r="F42" i="808"/>
  <c r="C42" i="808"/>
  <c r="F41" i="808"/>
  <c r="C41" i="808"/>
  <c r="F40" i="808"/>
  <c r="C40" i="808"/>
  <c r="F39" i="808"/>
  <c r="C39" i="808"/>
  <c r="F38" i="808"/>
  <c r="C38" i="808"/>
  <c r="F37" i="808"/>
  <c r="C37" i="808"/>
  <c r="C36" i="808"/>
  <c r="C35" i="808"/>
  <c r="C34" i="808"/>
  <c r="C33" i="808"/>
  <c r="C32" i="808"/>
  <c r="C31" i="808"/>
  <c r="C30" i="808"/>
  <c r="C29" i="808"/>
  <c r="C28" i="808"/>
  <c r="C27" i="808"/>
  <c r="C26" i="808"/>
  <c r="C25" i="808"/>
  <c r="C24" i="808"/>
  <c r="C23" i="808"/>
  <c r="C22" i="808"/>
  <c r="C21" i="808"/>
  <c r="C20" i="808"/>
  <c r="C19" i="808"/>
  <c r="C18" i="808"/>
  <c r="C17" i="808"/>
  <c r="C16" i="808"/>
  <c r="C15" i="808"/>
  <c r="G11" i="808"/>
  <c r="G12" i="808" s="1"/>
  <c r="F11" i="808"/>
  <c r="E11" i="808"/>
  <c r="B78" i="808" s="1"/>
  <c r="M78" i="808" s="1"/>
  <c r="T78" i="808" s="1"/>
  <c r="D11" i="808"/>
  <c r="B77" i="808" s="1"/>
  <c r="M77" i="808" s="1"/>
  <c r="T77" i="808" s="1"/>
  <c r="C11" i="808"/>
  <c r="C12" i="808" s="1"/>
  <c r="I10" i="808"/>
  <c r="I9" i="808"/>
  <c r="I8" i="808"/>
  <c r="I7" i="808"/>
  <c r="I6" i="808"/>
  <c r="I5" i="808"/>
  <c r="B43" i="808" s="1"/>
  <c r="M43" i="808" s="1"/>
  <c r="T43" i="808" s="1"/>
  <c r="C36" i="806"/>
  <c r="C35" i="806"/>
  <c r="B43" i="812" l="1"/>
  <c r="M43" i="812" s="1"/>
  <c r="T43" i="812" s="1"/>
  <c r="B19" i="812"/>
  <c r="M19" i="812" s="1"/>
  <c r="E12" i="812"/>
  <c r="D12" i="814"/>
  <c r="B46" i="814"/>
  <c r="M46" i="814" s="1"/>
  <c r="T46" i="814" s="1"/>
  <c r="B50" i="814"/>
  <c r="M50" i="814" s="1"/>
  <c r="T50" i="814" s="1"/>
  <c r="C12" i="814"/>
  <c r="F12" i="814"/>
  <c r="B80" i="814"/>
  <c r="M80" i="814" s="1"/>
  <c r="T80" i="814" s="1"/>
  <c r="B103" i="814"/>
  <c r="M103" i="814" s="1"/>
  <c r="T103" i="814" s="1"/>
  <c r="B75" i="814"/>
  <c r="M75" i="814" s="1"/>
  <c r="T75" i="814" s="1"/>
  <c r="B72" i="814"/>
  <c r="M72" i="814" s="1"/>
  <c r="T72" i="814" s="1"/>
  <c r="B69" i="814"/>
  <c r="M69" i="814" s="1"/>
  <c r="T69" i="814" s="1"/>
  <c r="B66" i="814"/>
  <c r="M66" i="814" s="1"/>
  <c r="T66" i="814" s="1"/>
  <c r="B63" i="814"/>
  <c r="M63" i="814" s="1"/>
  <c r="T63" i="814" s="1"/>
  <c r="B60" i="814"/>
  <c r="M60" i="814" s="1"/>
  <c r="T60" i="814" s="1"/>
  <c r="B57" i="814"/>
  <c r="M57" i="814" s="1"/>
  <c r="T57" i="814" s="1"/>
  <c r="B54" i="814"/>
  <c r="M54" i="814" s="1"/>
  <c r="T54" i="814" s="1"/>
  <c r="B45" i="814"/>
  <c r="M45" i="814" s="1"/>
  <c r="T45" i="814" s="1"/>
  <c r="B48" i="814"/>
  <c r="M48" i="814" s="1"/>
  <c r="T48" i="814" s="1"/>
  <c r="B42" i="814"/>
  <c r="M42" i="814" s="1"/>
  <c r="T42" i="814" s="1"/>
  <c r="B39" i="814"/>
  <c r="M39" i="814" s="1"/>
  <c r="T39" i="814" s="1"/>
  <c r="B36" i="814"/>
  <c r="M36" i="814" s="1"/>
  <c r="T36" i="814" s="1"/>
  <c r="B33" i="814"/>
  <c r="M33" i="814" s="1"/>
  <c r="T33" i="814" s="1"/>
  <c r="B30" i="814"/>
  <c r="M30" i="814" s="1"/>
  <c r="T30" i="814" s="1"/>
  <c r="B27" i="814"/>
  <c r="M27" i="814" s="1"/>
  <c r="T27" i="814" s="1"/>
  <c r="B24" i="814"/>
  <c r="M24" i="814" s="1"/>
  <c r="T24" i="814" s="1"/>
  <c r="B21" i="814"/>
  <c r="M21" i="814" s="1"/>
  <c r="T21" i="814" s="1"/>
  <c r="B19" i="814"/>
  <c r="M19" i="814" s="1"/>
  <c r="T19" i="814" s="1"/>
  <c r="B16" i="814"/>
  <c r="M16" i="814" s="1"/>
  <c r="T16" i="814" s="1"/>
  <c r="B74" i="814"/>
  <c r="M74" i="814" s="1"/>
  <c r="T74" i="814" s="1"/>
  <c r="B71" i="814"/>
  <c r="M71" i="814" s="1"/>
  <c r="T71" i="814" s="1"/>
  <c r="B68" i="814"/>
  <c r="M68" i="814" s="1"/>
  <c r="T68" i="814" s="1"/>
  <c r="B65" i="814"/>
  <c r="M65" i="814" s="1"/>
  <c r="T65" i="814" s="1"/>
  <c r="B62" i="814"/>
  <c r="M62" i="814" s="1"/>
  <c r="T62" i="814" s="1"/>
  <c r="B59" i="814"/>
  <c r="M59" i="814" s="1"/>
  <c r="T59" i="814" s="1"/>
  <c r="B56" i="814"/>
  <c r="M56" i="814" s="1"/>
  <c r="T56" i="814" s="1"/>
  <c r="B53" i="814"/>
  <c r="M53" i="814" s="1"/>
  <c r="T53" i="814" s="1"/>
  <c r="B44" i="814"/>
  <c r="M44" i="814" s="1"/>
  <c r="T44" i="814" s="1"/>
  <c r="B41" i="814"/>
  <c r="M41" i="814" s="1"/>
  <c r="T41" i="814" s="1"/>
  <c r="B38" i="814"/>
  <c r="M38" i="814" s="1"/>
  <c r="T38" i="814" s="1"/>
  <c r="B35" i="814"/>
  <c r="M35" i="814" s="1"/>
  <c r="T35" i="814" s="1"/>
  <c r="B32" i="814"/>
  <c r="M32" i="814" s="1"/>
  <c r="T32" i="814" s="1"/>
  <c r="B29" i="814"/>
  <c r="M29" i="814" s="1"/>
  <c r="T29" i="814" s="1"/>
  <c r="B26" i="814"/>
  <c r="M26" i="814" s="1"/>
  <c r="T26" i="814" s="1"/>
  <c r="B23" i="814"/>
  <c r="M23" i="814" s="1"/>
  <c r="T23" i="814" s="1"/>
  <c r="B20" i="814"/>
  <c r="M20" i="814" s="1"/>
  <c r="T20" i="814" s="1"/>
  <c r="B18" i="814"/>
  <c r="M18" i="814" s="1"/>
  <c r="T18" i="814" s="1"/>
  <c r="B15" i="814"/>
  <c r="M15" i="814" s="1"/>
  <c r="T15" i="814" s="1"/>
  <c r="B102" i="814"/>
  <c r="M102" i="814" s="1"/>
  <c r="T102" i="814" s="1"/>
  <c r="B79" i="814"/>
  <c r="M79" i="814" s="1"/>
  <c r="T79" i="814" s="1"/>
  <c r="E12" i="814"/>
  <c r="B17" i="814"/>
  <c r="M17" i="814" s="1"/>
  <c r="T17" i="814" s="1"/>
  <c r="B22" i="814"/>
  <c r="M22" i="814" s="1"/>
  <c r="T22" i="814" s="1"/>
  <c r="B25" i="814"/>
  <c r="M25" i="814" s="1"/>
  <c r="T25" i="814" s="1"/>
  <c r="B28" i="814"/>
  <c r="M28" i="814" s="1"/>
  <c r="T28" i="814" s="1"/>
  <c r="B31" i="814"/>
  <c r="M31" i="814" s="1"/>
  <c r="T31" i="814" s="1"/>
  <c r="B34" i="814"/>
  <c r="M34" i="814" s="1"/>
  <c r="T34" i="814" s="1"/>
  <c r="B37" i="814"/>
  <c r="M37" i="814" s="1"/>
  <c r="T37" i="814" s="1"/>
  <c r="B40" i="814"/>
  <c r="M40" i="814" s="1"/>
  <c r="T40" i="814" s="1"/>
  <c r="B43" i="814"/>
  <c r="M43" i="814" s="1"/>
  <c r="T43" i="814" s="1"/>
  <c r="B52" i="814"/>
  <c r="M52" i="814" s="1"/>
  <c r="T52" i="814" s="1"/>
  <c r="B101" i="814"/>
  <c r="M101" i="814" s="1"/>
  <c r="T101" i="814" s="1"/>
  <c r="I11" i="814"/>
  <c r="B49" i="814"/>
  <c r="M49" i="814" s="1"/>
  <c r="T49" i="814" s="1"/>
  <c r="B55" i="814"/>
  <c r="M55" i="814" s="1"/>
  <c r="T55" i="814" s="1"/>
  <c r="B58" i="814"/>
  <c r="M58" i="814" s="1"/>
  <c r="T58" i="814" s="1"/>
  <c r="B61" i="814"/>
  <c r="M61" i="814" s="1"/>
  <c r="T61" i="814" s="1"/>
  <c r="B64" i="814"/>
  <c r="M64" i="814" s="1"/>
  <c r="T64" i="814" s="1"/>
  <c r="B67" i="814"/>
  <c r="M67" i="814" s="1"/>
  <c r="T67" i="814" s="1"/>
  <c r="B70" i="814"/>
  <c r="M70" i="814" s="1"/>
  <c r="T70" i="814" s="1"/>
  <c r="B73" i="814"/>
  <c r="M73" i="814" s="1"/>
  <c r="T73" i="814" s="1"/>
  <c r="B77" i="814"/>
  <c r="M77" i="814" s="1"/>
  <c r="T77" i="814" s="1"/>
  <c r="B75" i="813"/>
  <c r="M75" i="813" s="1"/>
  <c r="T75" i="813" s="1"/>
  <c r="B57" i="813"/>
  <c r="M57" i="813" s="1"/>
  <c r="T57" i="813" s="1"/>
  <c r="B63" i="813"/>
  <c r="M63" i="813" s="1"/>
  <c r="T63" i="813" s="1"/>
  <c r="B45" i="813"/>
  <c r="M45" i="813" s="1"/>
  <c r="T45" i="813" s="1"/>
  <c r="B54" i="813"/>
  <c r="M54" i="813" s="1"/>
  <c r="T54" i="813" s="1"/>
  <c r="B66" i="813"/>
  <c r="M66" i="813" s="1"/>
  <c r="T66" i="813" s="1"/>
  <c r="B69" i="813"/>
  <c r="M69" i="813" s="1"/>
  <c r="T69" i="813" s="1"/>
  <c r="I11" i="813"/>
  <c r="I2" i="813" s="1"/>
  <c r="B60" i="813"/>
  <c r="M60" i="813" s="1"/>
  <c r="T60" i="813" s="1"/>
  <c r="B72" i="813"/>
  <c r="M72" i="813" s="1"/>
  <c r="T72" i="813" s="1"/>
  <c r="B53" i="813"/>
  <c r="M53" i="813" s="1"/>
  <c r="T53" i="813" s="1"/>
  <c r="B59" i="813"/>
  <c r="M59" i="813" s="1"/>
  <c r="T59" i="813" s="1"/>
  <c r="B65" i="813"/>
  <c r="M65" i="813" s="1"/>
  <c r="T65" i="813" s="1"/>
  <c r="B71" i="813"/>
  <c r="M71" i="813" s="1"/>
  <c r="T71" i="813" s="1"/>
  <c r="B77" i="813"/>
  <c r="M77" i="813" s="1"/>
  <c r="T77" i="813" s="1"/>
  <c r="B56" i="813"/>
  <c r="M56" i="813" s="1"/>
  <c r="T56" i="813" s="1"/>
  <c r="B62" i="813"/>
  <c r="M62" i="813" s="1"/>
  <c r="T62" i="813" s="1"/>
  <c r="B68" i="813"/>
  <c r="M68" i="813" s="1"/>
  <c r="T68" i="813" s="1"/>
  <c r="B74" i="813"/>
  <c r="M74" i="813" s="1"/>
  <c r="T74" i="813" s="1"/>
  <c r="B100" i="813"/>
  <c r="M100" i="813" s="1"/>
  <c r="T100" i="813" s="1"/>
  <c r="B101" i="813"/>
  <c r="M101" i="813" s="1"/>
  <c r="T101" i="813" s="1"/>
  <c r="B78" i="813"/>
  <c r="M78" i="813" s="1"/>
  <c r="T78" i="813" s="1"/>
  <c r="D12" i="813"/>
  <c r="B46" i="813"/>
  <c r="M46" i="813" s="1"/>
  <c r="T46" i="813" s="1"/>
  <c r="B50" i="813"/>
  <c r="M50" i="813" s="1"/>
  <c r="T50" i="813" s="1"/>
  <c r="B103" i="813"/>
  <c r="M103" i="813" s="1"/>
  <c r="T103" i="813" s="1"/>
  <c r="B47" i="813"/>
  <c r="M47" i="813" s="1"/>
  <c r="T47" i="813" s="1"/>
  <c r="B51" i="813"/>
  <c r="M51" i="813" s="1"/>
  <c r="T51" i="813" s="1"/>
  <c r="B102" i="813"/>
  <c r="M102" i="813" s="1"/>
  <c r="T102" i="813" s="1"/>
  <c r="E12" i="813"/>
  <c r="B15" i="813"/>
  <c r="M15" i="813" s="1"/>
  <c r="T15" i="813" s="1"/>
  <c r="B16" i="813"/>
  <c r="M16" i="813" s="1"/>
  <c r="T16" i="813" s="1"/>
  <c r="B17" i="813"/>
  <c r="M17" i="813" s="1"/>
  <c r="T17" i="813" s="1"/>
  <c r="B18" i="813"/>
  <c r="M18" i="813" s="1"/>
  <c r="T18" i="813" s="1"/>
  <c r="B19" i="813"/>
  <c r="M19" i="813" s="1"/>
  <c r="T19" i="813" s="1"/>
  <c r="B20" i="813"/>
  <c r="M20" i="813" s="1"/>
  <c r="T20" i="813" s="1"/>
  <c r="B21" i="813"/>
  <c r="M21" i="813" s="1"/>
  <c r="T21" i="813" s="1"/>
  <c r="B22" i="813"/>
  <c r="M22" i="813" s="1"/>
  <c r="T22" i="813" s="1"/>
  <c r="B23" i="813"/>
  <c r="M23" i="813" s="1"/>
  <c r="T23" i="813" s="1"/>
  <c r="B24" i="813"/>
  <c r="M24" i="813" s="1"/>
  <c r="T24" i="813" s="1"/>
  <c r="B25" i="813"/>
  <c r="M25" i="813" s="1"/>
  <c r="T25" i="813" s="1"/>
  <c r="B26" i="813"/>
  <c r="M26" i="813" s="1"/>
  <c r="T26" i="813" s="1"/>
  <c r="B27" i="813"/>
  <c r="M27" i="813" s="1"/>
  <c r="T27" i="813" s="1"/>
  <c r="B28" i="813"/>
  <c r="M28" i="813" s="1"/>
  <c r="T28" i="813" s="1"/>
  <c r="B29" i="813"/>
  <c r="M29" i="813" s="1"/>
  <c r="T29" i="813" s="1"/>
  <c r="B30" i="813"/>
  <c r="M30" i="813" s="1"/>
  <c r="T30" i="813" s="1"/>
  <c r="B31" i="813"/>
  <c r="M31" i="813" s="1"/>
  <c r="T31" i="813" s="1"/>
  <c r="B32" i="813"/>
  <c r="M32" i="813" s="1"/>
  <c r="T32" i="813" s="1"/>
  <c r="B33" i="813"/>
  <c r="M33" i="813" s="1"/>
  <c r="T33" i="813" s="1"/>
  <c r="B34" i="813"/>
  <c r="M34" i="813" s="1"/>
  <c r="T34" i="813" s="1"/>
  <c r="B35" i="813"/>
  <c r="M35" i="813" s="1"/>
  <c r="T35" i="813" s="1"/>
  <c r="B36" i="813"/>
  <c r="M36" i="813" s="1"/>
  <c r="T36" i="813" s="1"/>
  <c r="B37" i="813"/>
  <c r="M37" i="813" s="1"/>
  <c r="T37" i="813" s="1"/>
  <c r="B38" i="813"/>
  <c r="M38" i="813" s="1"/>
  <c r="T38" i="813" s="1"/>
  <c r="B39" i="813"/>
  <c r="M39" i="813" s="1"/>
  <c r="T39" i="813" s="1"/>
  <c r="B40" i="813"/>
  <c r="M40" i="813" s="1"/>
  <c r="T40" i="813" s="1"/>
  <c r="B41" i="813"/>
  <c r="M41" i="813" s="1"/>
  <c r="T41" i="813" s="1"/>
  <c r="B42" i="813"/>
  <c r="M42" i="813" s="1"/>
  <c r="T42" i="813" s="1"/>
  <c r="B43" i="813"/>
  <c r="M43" i="813" s="1"/>
  <c r="T43" i="813" s="1"/>
  <c r="B35" i="812"/>
  <c r="B55" i="812"/>
  <c r="M55" i="812" s="1"/>
  <c r="T55" i="812" s="1"/>
  <c r="B27" i="812"/>
  <c r="M27" i="812" s="1"/>
  <c r="T27" i="812" s="1"/>
  <c r="D12" i="812"/>
  <c r="B54" i="812"/>
  <c r="M54" i="812" s="1"/>
  <c r="T54" i="812" s="1"/>
  <c r="B15" i="812"/>
  <c r="M15" i="812" s="1"/>
  <c r="T15" i="812" s="1"/>
  <c r="B17" i="812"/>
  <c r="M17" i="812" s="1"/>
  <c r="T17" i="812" s="1"/>
  <c r="B21" i="812"/>
  <c r="M21" i="812" s="1"/>
  <c r="T21" i="812" s="1"/>
  <c r="B29" i="812"/>
  <c r="M29" i="812" s="1"/>
  <c r="T29" i="812" s="1"/>
  <c r="B37" i="812"/>
  <c r="M37" i="812" s="1"/>
  <c r="T37" i="812" s="1"/>
  <c r="B45" i="812"/>
  <c r="M45" i="812" s="1"/>
  <c r="T45" i="812" s="1"/>
  <c r="B51" i="812"/>
  <c r="M51" i="812" s="1"/>
  <c r="T51" i="812" s="1"/>
  <c r="B25" i="812"/>
  <c r="M25" i="812" s="1"/>
  <c r="T25" i="812" s="1"/>
  <c r="B33" i="812"/>
  <c r="B41" i="812"/>
  <c r="M41" i="812" s="1"/>
  <c r="T41" i="812" s="1"/>
  <c r="B49" i="812"/>
  <c r="M49" i="812" s="1"/>
  <c r="T49" i="812" s="1"/>
  <c r="B23" i="812"/>
  <c r="M23" i="812" s="1"/>
  <c r="T23" i="812" s="1"/>
  <c r="B31" i="812"/>
  <c r="M31" i="812" s="1"/>
  <c r="T31" i="812" s="1"/>
  <c r="B47" i="812"/>
  <c r="M47" i="812" s="1"/>
  <c r="T47" i="812" s="1"/>
  <c r="B36" i="812"/>
  <c r="B28" i="812"/>
  <c r="M28" i="812" s="1"/>
  <c r="T28" i="812" s="1"/>
  <c r="B16" i="812"/>
  <c r="M16" i="812" s="1"/>
  <c r="T16" i="812" s="1"/>
  <c r="B44" i="812"/>
  <c r="M44" i="812" s="1"/>
  <c r="T44" i="812" s="1"/>
  <c r="B40" i="812"/>
  <c r="M40" i="812" s="1"/>
  <c r="T40" i="812" s="1"/>
  <c r="B42" i="812"/>
  <c r="M42" i="812" s="1"/>
  <c r="T42" i="812" s="1"/>
  <c r="B38" i="812"/>
  <c r="M38" i="812" s="1"/>
  <c r="T38" i="812" s="1"/>
  <c r="B52" i="812"/>
  <c r="M52" i="812" s="1"/>
  <c r="T52" i="812" s="1"/>
  <c r="B50" i="812"/>
  <c r="M50" i="812" s="1"/>
  <c r="T50" i="812" s="1"/>
  <c r="B48" i="812"/>
  <c r="M48" i="812" s="1"/>
  <c r="T48" i="812" s="1"/>
  <c r="B46" i="812"/>
  <c r="M46" i="812" s="1"/>
  <c r="T46" i="812" s="1"/>
  <c r="B34" i="812"/>
  <c r="B32" i="812"/>
  <c r="M32" i="812" s="1"/>
  <c r="T32" i="812" s="1"/>
  <c r="B30" i="812"/>
  <c r="M30" i="812" s="1"/>
  <c r="T30" i="812" s="1"/>
  <c r="B26" i="812"/>
  <c r="M26" i="812" s="1"/>
  <c r="T26" i="812" s="1"/>
  <c r="B24" i="812"/>
  <c r="M24" i="812" s="1"/>
  <c r="T24" i="812" s="1"/>
  <c r="B22" i="812"/>
  <c r="M22" i="812" s="1"/>
  <c r="T22" i="812" s="1"/>
  <c r="B18" i="812"/>
  <c r="M18" i="812" s="1"/>
  <c r="T18" i="812" s="1"/>
  <c r="B56" i="812"/>
  <c r="M56" i="812" s="1"/>
  <c r="T56" i="812" s="1"/>
  <c r="B79" i="812"/>
  <c r="M79" i="812" s="1"/>
  <c r="T79" i="812" s="1"/>
  <c r="F12" i="812"/>
  <c r="I11" i="812"/>
  <c r="B57" i="812"/>
  <c r="M57" i="812" s="1"/>
  <c r="T57" i="812" s="1"/>
  <c r="B53" i="812"/>
  <c r="M53" i="812" s="1"/>
  <c r="T53" i="812" s="1"/>
  <c r="B76" i="812"/>
  <c r="M76" i="812" s="1"/>
  <c r="T76" i="812" s="1"/>
  <c r="B39" i="812"/>
  <c r="M39" i="812" s="1"/>
  <c r="T39" i="812" s="1"/>
  <c r="B47" i="811"/>
  <c r="M47" i="811" s="1"/>
  <c r="T47" i="811" s="1"/>
  <c r="C12" i="811"/>
  <c r="B46" i="811"/>
  <c r="M46" i="811" s="1"/>
  <c r="T46" i="811" s="1"/>
  <c r="D12" i="811"/>
  <c r="B75" i="811"/>
  <c r="M75" i="811" s="1"/>
  <c r="T75" i="811" s="1"/>
  <c r="B72" i="811"/>
  <c r="M72" i="811" s="1"/>
  <c r="T72" i="811" s="1"/>
  <c r="B69" i="811"/>
  <c r="M69" i="811" s="1"/>
  <c r="T69" i="811" s="1"/>
  <c r="B66" i="811"/>
  <c r="M66" i="811" s="1"/>
  <c r="T66" i="811" s="1"/>
  <c r="B63" i="811"/>
  <c r="M63" i="811" s="1"/>
  <c r="T63" i="811" s="1"/>
  <c r="B60" i="811"/>
  <c r="M60" i="811" s="1"/>
  <c r="T60" i="811" s="1"/>
  <c r="B57" i="811"/>
  <c r="M57" i="811" s="1"/>
  <c r="T57" i="811" s="1"/>
  <c r="B54" i="811"/>
  <c r="M54" i="811" s="1"/>
  <c r="T54" i="811" s="1"/>
  <c r="B45" i="811"/>
  <c r="M45" i="811" s="1"/>
  <c r="T45" i="811" s="1"/>
  <c r="B48" i="811"/>
  <c r="M48" i="811" s="1"/>
  <c r="T48" i="811" s="1"/>
  <c r="B42" i="811"/>
  <c r="M42" i="811" s="1"/>
  <c r="T42" i="811" s="1"/>
  <c r="B39" i="811"/>
  <c r="M39" i="811" s="1"/>
  <c r="T39" i="811" s="1"/>
  <c r="B36" i="811"/>
  <c r="M36" i="811" s="1"/>
  <c r="T36" i="811" s="1"/>
  <c r="B33" i="811"/>
  <c r="M33" i="811" s="1"/>
  <c r="T33" i="811" s="1"/>
  <c r="B30" i="811"/>
  <c r="M30" i="811" s="1"/>
  <c r="T30" i="811" s="1"/>
  <c r="B27" i="811"/>
  <c r="M27" i="811" s="1"/>
  <c r="T27" i="811" s="1"/>
  <c r="B24" i="811"/>
  <c r="M24" i="811" s="1"/>
  <c r="T24" i="811" s="1"/>
  <c r="B21" i="811"/>
  <c r="M21" i="811" s="1"/>
  <c r="T21" i="811" s="1"/>
  <c r="B19" i="811"/>
  <c r="M19" i="811" s="1"/>
  <c r="T19" i="811" s="1"/>
  <c r="B16" i="811"/>
  <c r="M16" i="811" s="1"/>
  <c r="T16" i="811" s="1"/>
  <c r="B51" i="811"/>
  <c r="M51" i="811" s="1"/>
  <c r="T51" i="811" s="1"/>
  <c r="B74" i="811"/>
  <c r="M74" i="811" s="1"/>
  <c r="T74" i="811" s="1"/>
  <c r="B71" i="811"/>
  <c r="M71" i="811" s="1"/>
  <c r="T71" i="811" s="1"/>
  <c r="B68" i="811"/>
  <c r="M68" i="811" s="1"/>
  <c r="T68" i="811" s="1"/>
  <c r="B65" i="811"/>
  <c r="M65" i="811" s="1"/>
  <c r="T65" i="811" s="1"/>
  <c r="B62" i="811"/>
  <c r="M62" i="811" s="1"/>
  <c r="T62" i="811" s="1"/>
  <c r="B59" i="811"/>
  <c r="M59" i="811" s="1"/>
  <c r="T59" i="811" s="1"/>
  <c r="B56" i="811"/>
  <c r="M56" i="811" s="1"/>
  <c r="T56" i="811" s="1"/>
  <c r="B53" i="811"/>
  <c r="M53" i="811" s="1"/>
  <c r="T53" i="811" s="1"/>
  <c r="B44" i="811"/>
  <c r="M44" i="811" s="1"/>
  <c r="T44" i="811" s="1"/>
  <c r="B41" i="811"/>
  <c r="M41" i="811" s="1"/>
  <c r="T41" i="811" s="1"/>
  <c r="B38" i="811"/>
  <c r="M38" i="811" s="1"/>
  <c r="T38" i="811" s="1"/>
  <c r="B35" i="811"/>
  <c r="M35" i="811" s="1"/>
  <c r="T35" i="811" s="1"/>
  <c r="B32" i="811"/>
  <c r="M32" i="811" s="1"/>
  <c r="T32" i="811" s="1"/>
  <c r="B29" i="811"/>
  <c r="M29" i="811" s="1"/>
  <c r="T29" i="811" s="1"/>
  <c r="B26" i="811"/>
  <c r="M26" i="811" s="1"/>
  <c r="T26" i="811" s="1"/>
  <c r="B23" i="811"/>
  <c r="M23" i="811" s="1"/>
  <c r="T23" i="811" s="1"/>
  <c r="B20" i="811"/>
  <c r="M20" i="811" s="1"/>
  <c r="T20" i="811" s="1"/>
  <c r="B18" i="811"/>
  <c r="M18" i="811" s="1"/>
  <c r="T18" i="811" s="1"/>
  <c r="B15" i="811"/>
  <c r="M15" i="811" s="1"/>
  <c r="T15" i="811" s="1"/>
  <c r="B102" i="811"/>
  <c r="M102" i="811" s="1"/>
  <c r="T102" i="811" s="1"/>
  <c r="B79" i="811"/>
  <c r="M79" i="811" s="1"/>
  <c r="T79" i="811" s="1"/>
  <c r="E12" i="811"/>
  <c r="B80" i="811"/>
  <c r="M80" i="811" s="1"/>
  <c r="T80" i="811" s="1"/>
  <c r="B17" i="811"/>
  <c r="M17" i="811" s="1"/>
  <c r="T17" i="811" s="1"/>
  <c r="B22" i="811"/>
  <c r="M22" i="811" s="1"/>
  <c r="T22" i="811" s="1"/>
  <c r="B25" i="811"/>
  <c r="M25" i="811" s="1"/>
  <c r="T25" i="811" s="1"/>
  <c r="B28" i="811"/>
  <c r="M28" i="811" s="1"/>
  <c r="T28" i="811" s="1"/>
  <c r="B31" i="811"/>
  <c r="M31" i="811" s="1"/>
  <c r="T31" i="811" s="1"/>
  <c r="B34" i="811"/>
  <c r="M34" i="811" s="1"/>
  <c r="T34" i="811" s="1"/>
  <c r="B37" i="811"/>
  <c r="M37" i="811" s="1"/>
  <c r="T37" i="811" s="1"/>
  <c r="B40" i="811"/>
  <c r="M40" i="811" s="1"/>
  <c r="T40" i="811" s="1"/>
  <c r="B43" i="811"/>
  <c r="M43" i="811" s="1"/>
  <c r="T43" i="811" s="1"/>
  <c r="B52" i="811"/>
  <c r="M52" i="811" s="1"/>
  <c r="T52" i="811" s="1"/>
  <c r="B101" i="811"/>
  <c r="M101" i="811" s="1"/>
  <c r="T101" i="811" s="1"/>
  <c r="I11" i="811"/>
  <c r="B49" i="811"/>
  <c r="M49" i="811" s="1"/>
  <c r="T49" i="811" s="1"/>
  <c r="B55" i="811"/>
  <c r="M55" i="811" s="1"/>
  <c r="T55" i="811" s="1"/>
  <c r="B58" i="811"/>
  <c r="M58" i="811" s="1"/>
  <c r="T58" i="811" s="1"/>
  <c r="B61" i="811"/>
  <c r="M61" i="811" s="1"/>
  <c r="T61" i="811" s="1"/>
  <c r="B64" i="811"/>
  <c r="M64" i="811" s="1"/>
  <c r="T64" i="811" s="1"/>
  <c r="B67" i="811"/>
  <c r="M67" i="811" s="1"/>
  <c r="T67" i="811" s="1"/>
  <c r="B70" i="811"/>
  <c r="M70" i="811" s="1"/>
  <c r="T70" i="811" s="1"/>
  <c r="B73" i="811"/>
  <c r="M73" i="811" s="1"/>
  <c r="T73" i="811" s="1"/>
  <c r="B77" i="811"/>
  <c r="M77" i="811" s="1"/>
  <c r="T77" i="811" s="1"/>
  <c r="B78" i="810"/>
  <c r="M78" i="810" s="1"/>
  <c r="T78" i="810" s="1"/>
  <c r="B44" i="810"/>
  <c r="M44" i="810" s="1"/>
  <c r="T44" i="810" s="1"/>
  <c r="B59" i="810"/>
  <c r="M59" i="810" s="1"/>
  <c r="T59" i="810" s="1"/>
  <c r="B62" i="810"/>
  <c r="M62" i="810" s="1"/>
  <c r="T62" i="810" s="1"/>
  <c r="B71" i="810"/>
  <c r="M71" i="810" s="1"/>
  <c r="T71" i="810" s="1"/>
  <c r="B74" i="810"/>
  <c r="M74" i="810" s="1"/>
  <c r="T74" i="810" s="1"/>
  <c r="B41" i="810"/>
  <c r="M41" i="810" s="1"/>
  <c r="T41" i="810" s="1"/>
  <c r="B20" i="810"/>
  <c r="M20" i="810" s="1"/>
  <c r="T20" i="810" s="1"/>
  <c r="B23" i="810"/>
  <c r="M23" i="810" s="1"/>
  <c r="T23" i="810" s="1"/>
  <c r="B26" i="810"/>
  <c r="M26" i="810" s="1"/>
  <c r="T26" i="810" s="1"/>
  <c r="B53" i="810"/>
  <c r="M53" i="810" s="1"/>
  <c r="T53" i="810" s="1"/>
  <c r="B65" i="810"/>
  <c r="M65" i="810" s="1"/>
  <c r="T65" i="810" s="1"/>
  <c r="B15" i="810"/>
  <c r="M15" i="810" s="1"/>
  <c r="T15" i="810" s="1"/>
  <c r="B18" i="810"/>
  <c r="M18" i="810" s="1"/>
  <c r="T18" i="810" s="1"/>
  <c r="B29" i="810"/>
  <c r="M29" i="810" s="1"/>
  <c r="T29" i="810" s="1"/>
  <c r="B32" i="810"/>
  <c r="M32" i="810" s="1"/>
  <c r="T32" i="810" s="1"/>
  <c r="B35" i="810"/>
  <c r="M35" i="810" s="1"/>
  <c r="T35" i="810" s="1"/>
  <c r="B38" i="810"/>
  <c r="M38" i="810" s="1"/>
  <c r="T38" i="810" s="1"/>
  <c r="B56" i="810"/>
  <c r="M56" i="810" s="1"/>
  <c r="T56" i="810" s="1"/>
  <c r="B68" i="810"/>
  <c r="M68" i="810" s="1"/>
  <c r="T68" i="810" s="1"/>
  <c r="E12" i="810"/>
  <c r="B16" i="810"/>
  <c r="M16" i="810" s="1"/>
  <c r="T16" i="810" s="1"/>
  <c r="B30" i="810"/>
  <c r="M30" i="810" s="1"/>
  <c r="T30" i="810" s="1"/>
  <c r="B42" i="810"/>
  <c r="M42" i="810" s="1"/>
  <c r="T42" i="810" s="1"/>
  <c r="B79" i="810"/>
  <c r="M79" i="810" s="1"/>
  <c r="T79" i="810" s="1"/>
  <c r="F12" i="810"/>
  <c r="B19" i="810"/>
  <c r="M19" i="810" s="1"/>
  <c r="T19" i="810" s="1"/>
  <c r="B21" i="810"/>
  <c r="M21" i="810" s="1"/>
  <c r="T21" i="810" s="1"/>
  <c r="B33" i="810"/>
  <c r="M33" i="810" s="1"/>
  <c r="T33" i="810" s="1"/>
  <c r="B54" i="810"/>
  <c r="M54" i="810" s="1"/>
  <c r="T54" i="810" s="1"/>
  <c r="B60" i="810"/>
  <c r="M60" i="810" s="1"/>
  <c r="T60" i="810" s="1"/>
  <c r="B66" i="810"/>
  <c r="M66" i="810" s="1"/>
  <c r="T66" i="810" s="1"/>
  <c r="B72" i="810"/>
  <c r="M72" i="810" s="1"/>
  <c r="T72" i="810" s="1"/>
  <c r="B24" i="810"/>
  <c r="M24" i="810" s="1"/>
  <c r="T24" i="810" s="1"/>
  <c r="B36" i="810"/>
  <c r="M36" i="810" s="1"/>
  <c r="T36" i="810" s="1"/>
  <c r="B100" i="810"/>
  <c r="M100" i="810" s="1"/>
  <c r="T100" i="810" s="1"/>
  <c r="C12" i="810"/>
  <c r="B77" i="810"/>
  <c r="M77" i="810" s="1"/>
  <c r="T77" i="810" s="1"/>
  <c r="B81" i="810"/>
  <c r="M81" i="810" s="1"/>
  <c r="T81" i="810" s="1"/>
  <c r="G12" i="810"/>
  <c r="B17" i="810"/>
  <c r="M17" i="810" s="1"/>
  <c r="T17" i="810" s="1"/>
  <c r="B25" i="810"/>
  <c r="M25" i="810" s="1"/>
  <c r="T25" i="810" s="1"/>
  <c r="B31" i="810"/>
  <c r="M31" i="810" s="1"/>
  <c r="T31" i="810" s="1"/>
  <c r="B37" i="810"/>
  <c r="M37" i="810" s="1"/>
  <c r="T37" i="810" s="1"/>
  <c r="B43" i="810"/>
  <c r="M43" i="810" s="1"/>
  <c r="T43" i="810" s="1"/>
  <c r="B49" i="810"/>
  <c r="M49" i="810" s="1"/>
  <c r="T49" i="810" s="1"/>
  <c r="B55" i="810"/>
  <c r="M55" i="810" s="1"/>
  <c r="T55" i="810" s="1"/>
  <c r="B67" i="810"/>
  <c r="M67" i="810" s="1"/>
  <c r="T67" i="810" s="1"/>
  <c r="I11" i="810"/>
  <c r="B58" i="810"/>
  <c r="M58" i="810" s="1"/>
  <c r="T58" i="810" s="1"/>
  <c r="B70" i="810"/>
  <c r="M70" i="810" s="1"/>
  <c r="T70" i="810" s="1"/>
  <c r="B22" i="810"/>
  <c r="M22" i="810" s="1"/>
  <c r="T22" i="810" s="1"/>
  <c r="B28" i="810"/>
  <c r="M28" i="810" s="1"/>
  <c r="T28" i="810" s="1"/>
  <c r="B34" i="810"/>
  <c r="M34" i="810" s="1"/>
  <c r="T34" i="810" s="1"/>
  <c r="B40" i="810"/>
  <c r="M40" i="810" s="1"/>
  <c r="T40" i="810" s="1"/>
  <c r="B52" i="810"/>
  <c r="M52" i="810" s="1"/>
  <c r="T52" i="810" s="1"/>
  <c r="B61" i="810"/>
  <c r="M61" i="810" s="1"/>
  <c r="T61" i="810" s="1"/>
  <c r="B73" i="810"/>
  <c r="M73" i="810" s="1"/>
  <c r="T73" i="810" s="1"/>
  <c r="B64" i="810"/>
  <c r="M64" i="810" s="1"/>
  <c r="T64" i="810" s="1"/>
  <c r="B76" i="810"/>
  <c r="M76" i="810" s="1"/>
  <c r="T76" i="810" s="1"/>
  <c r="B101" i="810"/>
  <c r="M101" i="810" s="1"/>
  <c r="T101" i="810" s="1"/>
  <c r="B50" i="810"/>
  <c r="M50" i="810" s="1"/>
  <c r="T50" i="810" s="1"/>
  <c r="B103" i="810"/>
  <c r="M103" i="810" s="1"/>
  <c r="T103" i="810" s="1"/>
  <c r="B40" i="809"/>
  <c r="M40" i="809" s="1"/>
  <c r="T40" i="809" s="1"/>
  <c r="F12" i="809"/>
  <c r="B44" i="809"/>
  <c r="M44" i="809" s="1"/>
  <c r="T44" i="809" s="1"/>
  <c r="B58" i="809"/>
  <c r="M58" i="809" s="1"/>
  <c r="T58" i="809" s="1"/>
  <c r="C12" i="809"/>
  <c r="B56" i="809"/>
  <c r="M56" i="809" s="1"/>
  <c r="T56" i="809" s="1"/>
  <c r="B79" i="809"/>
  <c r="M79" i="809" s="1"/>
  <c r="T79" i="809" s="1"/>
  <c r="D12" i="809"/>
  <c r="I11" i="809"/>
  <c r="B41" i="809"/>
  <c r="M41" i="809" s="1"/>
  <c r="T41" i="809" s="1"/>
  <c r="B45" i="809"/>
  <c r="M45" i="809" s="1"/>
  <c r="T45" i="809" s="1"/>
  <c r="B80" i="809"/>
  <c r="M80" i="809" s="1"/>
  <c r="T80" i="809" s="1"/>
  <c r="B42" i="809"/>
  <c r="M42" i="809" s="1"/>
  <c r="T42" i="809" s="1"/>
  <c r="B46" i="809"/>
  <c r="M46" i="809" s="1"/>
  <c r="T46" i="809" s="1"/>
  <c r="B57" i="809"/>
  <c r="M57" i="809" s="1"/>
  <c r="T57" i="809" s="1"/>
  <c r="B15" i="809"/>
  <c r="M15" i="809" s="1"/>
  <c r="T15" i="809" s="1"/>
  <c r="B16" i="809"/>
  <c r="M16" i="809" s="1"/>
  <c r="T16" i="809" s="1"/>
  <c r="B17" i="809"/>
  <c r="M17" i="809" s="1"/>
  <c r="T17" i="809" s="1"/>
  <c r="B18" i="809"/>
  <c r="M18" i="809" s="1"/>
  <c r="T18" i="809" s="1"/>
  <c r="B19" i="809"/>
  <c r="M19" i="809" s="1"/>
  <c r="T19" i="809" s="1"/>
  <c r="B20" i="809"/>
  <c r="M20" i="809" s="1"/>
  <c r="T20" i="809" s="1"/>
  <c r="B21" i="809"/>
  <c r="M21" i="809" s="1"/>
  <c r="T21" i="809" s="1"/>
  <c r="B22" i="809"/>
  <c r="M22" i="809" s="1"/>
  <c r="T22" i="809" s="1"/>
  <c r="B23" i="809"/>
  <c r="M23" i="809" s="1"/>
  <c r="T23" i="809" s="1"/>
  <c r="B24" i="809"/>
  <c r="M24" i="809" s="1"/>
  <c r="T24" i="809" s="1"/>
  <c r="B25" i="809"/>
  <c r="M25" i="809" s="1"/>
  <c r="T25" i="809" s="1"/>
  <c r="B26" i="809"/>
  <c r="M26" i="809" s="1"/>
  <c r="T26" i="809" s="1"/>
  <c r="B27" i="809"/>
  <c r="M27" i="809" s="1"/>
  <c r="T27" i="809" s="1"/>
  <c r="B28" i="809"/>
  <c r="M28" i="809" s="1"/>
  <c r="T28" i="809" s="1"/>
  <c r="B29" i="809"/>
  <c r="M29" i="809" s="1"/>
  <c r="T29" i="809" s="1"/>
  <c r="B30" i="809"/>
  <c r="M30" i="809" s="1"/>
  <c r="T30" i="809" s="1"/>
  <c r="B33" i="809"/>
  <c r="M33" i="809" s="1"/>
  <c r="T33" i="809" s="1"/>
  <c r="B34" i="809"/>
  <c r="M34" i="809" s="1"/>
  <c r="T34" i="809" s="1"/>
  <c r="B35" i="809"/>
  <c r="T35" i="809" s="1"/>
  <c r="B36" i="809"/>
  <c r="T36" i="809" s="1"/>
  <c r="B37" i="809"/>
  <c r="T37" i="809" s="1"/>
  <c r="B38" i="809"/>
  <c r="T38" i="809" s="1"/>
  <c r="B39" i="809"/>
  <c r="M39" i="809" s="1"/>
  <c r="T39" i="809" s="1"/>
  <c r="B43" i="809"/>
  <c r="M43" i="809" s="1"/>
  <c r="T43" i="809" s="1"/>
  <c r="B47" i="809"/>
  <c r="M47" i="809" s="1"/>
  <c r="T47" i="809" s="1"/>
  <c r="B48" i="809"/>
  <c r="M48" i="809" s="1"/>
  <c r="T48" i="809" s="1"/>
  <c r="B49" i="809"/>
  <c r="M49" i="809" s="1"/>
  <c r="T49" i="809" s="1"/>
  <c r="B50" i="809"/>
  <c r="M50" i="809" s="1"/>
  <c r="T50" i="809" s="1"/>
  <c r="B51" i="809"/>
  <c r="M51" i="809" s="1"/>
  <c r="T51" i="809" s="1"/>
  <c r="B52" i="809"/>
  <c r="M52" i="809" s="1"/>
  <c r="T52" i="809" s="1"/>
  <c r="B55" i="809"/>
  <c r="M55" i="809" s="1"/>
  <c r="T55" i="809" s="1"/>
  <c r="B55" i="808"/>
  <c r="M55" i="808" s="1"/>
  <c r="T55" i="808" s="1"/>
  <c r="E12" i="808"/>
  <c r="D12" i="808"/>
  <c r="B25" i="808"/>
  <c r="M25" i="808" s="1"/>
  <c r="T25" i="808" s="1"/>
  <c r="B27" i="808"/>
  <c r="M27" i="808" s="1"/>
  <c r="T27" i="808" s="1"/>
  <c r="B29" i="808"/>
  <c r="M29" i="808" s="1"/>
  <c r="T29" i="808" s="1"/>
  <c r="B41" i="808"/>
  <c r="M41" i="808" s="1"/>
  <c r="T41" i="808" s="1"/>
  <c r="B49" i="808"/>
  <c r="M49" i="808" s="1"/>
  <c r="T49" i="808" s="1"/>
  <c r="B23" i="808"/>
  <c r="M23" i="808" s="1"/>
  <c r="T23" i="808" s="1"/>
  <c r="B47" i="808"/>
  <c r="M47" i="808" s="1"/>
  <c r="T47" i="808" s="1"/>
  <c r="B17" i="808"/>
  <c r="M17" i="808" s="1"/>
  <c r="T17" i="808" s="1"/>
  <c r="B19" i="808"/>
  <c r="M19" i="808" s="1"/>
  <c r="T19" i="808" s="1"/>
  <c r="B21" i="808"/>
  <c r="M21" i="808" s="1"/>
  <c r="T21" i="808" s="1"/>
  <c r="B33" i="808"/>
  <c r="M33" i="808" s="1"/>
  <c r="T33" i="808" s="1"/>
  <c r="B35" i="808"/>
  <c r="M35" i="808" s="1"/>
  <c r="T35" i="808" s="1"/>
  <c r="B37" i="808"/>
  <c r="M37" i="808" s="1"/>
  <c r="T37" i="808" s="1"/>
  <c r="B45" i="808"/>
  <c r="M45" i="808" s="1"/>
  <c r="T45" i="808" s="1"/>
  <c r="B15" i="808"/>
  <c r="M15" i="808" s="1"/>
  <c r="T15" i="808" s="1"/>
  <c r="B31" i="808"/>
  <c r="M31" i="808" s="1"/>
  <c r="T31" i="808" s="1"/>
  <c r="B51" i="808"/>
  <c r="M51" i="808" s="1"/>
  <c r="T51" i="808" s="1"/>
  <c r="B48" i="808"/>
  <c r="M48" i="808" s="1"/>
  <c r="T48" i="808" s="1"/>
  <c r="B46" i="808"/>
  <c r="M46" i="808" s="1"/>
  <c r="T46" i="808" s="1"/>
  <c r="B34" i="808"/>
  <c r="M34" i="808" s="1"/>
  <c r="T34" i="808" s="1"/>
  <c r="B22" i="808"/>
  <c r="M22" i="808" s="1"/>
  <c r="T22" i="808" s="1"/>
  <c r="B16" i="808"/>
  <c r="M16" i="808" s="1"/>
  <c r="T16" i="808" s="1"/>
  <c r="B42" i="808"/>
  <c r="M42" i="808" s="1"/>
  <c r="T42" i="808" s="1"/>
  <c r="B38" i="808"/>
  <c r="M38" i="808" s="1"/>
  <c r="T38" i="808" s="1"/>
  <c r="B52" i="808"/>
  <c r="M52" i="808" s="1"/>
  <c r="T52" i="808" s="1"/>
  <c r="B50" i="808"/>
  <c r="M50" i="808" s="1"/>
  <c r="T50" i="808" s="1"/>
  <c r="B36" i="808"/>
  <c r="M36" i="808" s="1"/>
  <c r="T36" i="808" s="1"/>
  <c r="B32" i="808"/>
  <c r="M32" i="808" s="1"/>
  <c r="T32" i="808" s="1"/>
  <c r="B30" i="808"/>
  <c r="M30" i="808" s="1"/>
  <c r="T30" i="808" s="1"/>
  <c r="B28" i="808"/>
  <c r="M28" i="808" s="1"/>
  <c r="T28" i="808" s="1"/>
  <c r="B26" i="808"/>
  <c r="M26" i="808" s="1"/>
  <c r="T26" i="808" s="1"/>
  <c r="B24" i="808"/>
  <c r="M24" i="808" s="1"/>
  <c r="T24" i="808" s="1"/>
  <c r="B20" i="808"/>
  <c r="M20" i="808" s="1"/>
  <c r="T20" i="808" s="1"/>
  <c r="B18" i="808"/>
  <c r="M18" i="808" s="1"/>
  <c r="T18" i="808" s="1"/>
  <c r="B44" i="808"/>
  <c r="M44" i="808" s="1"/>
  <c r="T44" i="808" s="1"/>
  <c r="B56" i="808"/>
  <c r="M56" i="808" s="1"/>
  <c r="T56" i="808" s="1"/>
  <c r="B79" i="808"/>
  <c r="M79" i="808" s="1"/>
  <c r="T79" i="808" s="1"/>
  <c r="F12" i="808"/>
  <c r="B40" i="808"/>
  <c r="M40" i="808" s="1"/>
  <c r="T40" i="808" s="1"/>
  <c r="B53" i="808"/>
  <c r="M53" i="808" s="1"/>
  <c r="T53" i="808" s="1"/>
  <c r="B76" i="808"/>
  <c r="M76" i="808" s="1"/>
  <c r="T76" i="808" s="1"/>
  <c r="I11" i="808"/>
  <c r="B57" i="808"/>
  <c r="M57" i="808" s="1"/>
  <c r="T57" i="808" s="1"/>
  <c r="B39" i="808"/>
  <c r="M39" i="808" s="1"/>
  <c r="T39" i="808" s="1"/>
  <c r="M36" i="812" l="1"/>
  <c r="T36" i="812" s="1"/>
  <c r="M35" i="812"/>
  <c r="T35" i="812" s="1"/>
  <c r="M34" i="812"/>
  <c r="T34" i="812" s="1"/>
  <c r="M33" i="812"/>
  <c r="T33" i="812" s="1"/>
  <c r="B104" i="814"/>
  <c r="M104" i="814" s="1"/>
  <c r="T104" i="814" s="1"/>
  <c r="I2" i="814"/>
  <c r="B105" i="814"/>
  <c r="M105" i="814" s="1"/>
  <c r="T105" i="814" s="1"/>
  <c r="B106" i="814"/>
  <c r="M106" i="814" s="1"/>
  <c r="T106" i="814" s="1"/>
  <c r="I12" i="814"/>
  <c r="B104" i="813"/>
  <c r="M104" i="813" s="1"/>
  <c r="T104" i="813" s="1"/>
  <c r="B106" i="813"/>
  <c r="M106" i="813" s="1"/>
  <c r="T106" i="813" s="1"/>
  <c r="I12" i="813"/>
  <c r="B105" i="813"/>
  <c r="M105" i="813" s="1"/>
  <c r="T105" i="813" s="1"/>
  <c r="B82" i="812"/>
  <c r="M82" i="812" s="1"/>
  <c r="T82" i="812" s="1"/>
  <c r="I2" i="812"/>
  <c r="B80" i="812"/>
  <c r="M80" i="812" s="1"/>
  <c r="T80" i="812" s="1"/>
  <c r="B81" i="812"/>
  <c r="M81" i="812" s="1"/>
  <c r="T81" i="812" s="1"/>
  <c r="I12" i="812"/>
  <c r="B104" i="811"/>
  <c r="M104" i="811" s="1"/>
  <c r="T104" i="811" s="1"/>
  <c r="I2" i="811"/>
  <c r="B105" i="811"/>
  <c r="M105" i="811" s="1"/>
  <c r="T105" i="811" s="1"/>
  <c r="B106" i="811"/>
  <c r="M106" i="811" s="1"/>
  <c r="T106" i="811" s="1"/>
  <c r="I12" i="811"/>
  <c r="B106" i="810"/>
  <c r="M106" i="810" s="1"/>
  <c r="T106" i="810" s="1"/>
  <c r="I12" i="810"/>
  <c r="B104" i="810"/>
  <c r="M104" i="810" s="1"/>
  <c r="T104" i="810" s="1"/>
  <c r="B105" i="810"/>
  <c r="M105" i="810" s="1"/>
  <c r="T105" i="810" s="1"/>
  <c r="I2" i="810"/>
  <c r="B82" i="809"/>
  <c r="M82" i="809" s="1"/>
  <c r="T82" i="809" s="1"/>
  <c r="B83" i="809"/>
  <c r="M83" i="809" s="1"/>
  <c r="T83" i="809" s="1"/>
  <c r="I12" i="809"/>
  <c r="B84" i="809"/>
  <c r="M84" i="809" s="1"/>
  <c r="T84" i="809" s="1"/>
  <c r="I2" i="809"/>
  <c r="B82" i="808"/>
  <c r="M82" i="808" s="1"/>
  <c r="T82" i="808" s="1"/>
  <c r="B80" i="808"/>
  <c r="M80" i="808" s="1"/>
  <c r="T80" i="808" s="1"/>
  <c r="B81" i="808"/>
  <c r="M81" i="808" s="1"/>
  <c r="T81" i="808" s="1"/>
  <c r="I2" i="808"/>
  <c r="I12" i="808"/>
  <c r="B73" i="806" l="1"/>
  <c r="M73" i="806" s="1"/>
  <c r="T73" i="806" s="1"/>
  <c r="B72" i="806"/>
  <c r="M72" i="806" s="1"/>
  <c r="T72" i="806" s="1"/>
  <c r="M71" i="806"/>
  <c r="T71" i="806" s="1"/>
  <c r="C71" i="806"/>
  <c r="B71" i="806"/>
  <c r="B70" i="806"/>
  <c r="M70" i="806" s="1"/>
  <c r="T70" i="806" s="1"/>
  <c r="B69" i="806"/>
  <c r="M69" i="806" s="1"/>
  <c r="T69" i="806" s="1"/>
  <c r="C68" i="806"/>
  <c r="B68" i="806"/>
  <c r="M68" i="806" s="1"/>
  <c r="T68" i="806" s="1"/>
  <c r="B67" i="806"/>
  <c r="M67" i="806" s="1"/>
  <c r="T67" i="806" s="1"/>
  <c r="B66" i="806"/>
  <c r="M66" i="806" s="1"/>
  <c r="T66" i="806" s="1"/>
  <c r="C65" i="806"/>
  <c r="B65" i="806"/>
  <c r="M65" i="806" s="1"/>
  <c r="T65" i="806" s="1"/>
  <c r="B64" i="806"/>
  <c r="M64" i="806" s="1"/>
  <c r="T64" i="806" s="1"/>
  <c r="B63" i="806"/>
  <c r="M63" i="806" s="1"/>
  <c r="T63" i="806" s="1"/>
  <c r="C62" i="806"/>
  <c r="B62" i="806"/>
  <c r="M62" i="806" s="1"/>
  <c r="T62" i="806" s="1"/>
  <c r="B61" i="806"/>
  <c r="M61" i="806" s="1"/>
  <c r="T61" i="806" s="1"/>
  <c r="B60" i="806"/>
  <c r="M60" i="806" s="1"/>
  <c r="T60" i="806" s="1"/>
  <c r="C59" i="806"/>
  <c r="B59" i="806"/>
  <c r="M59" i="806" s="1"/>
  <c r="T59" i="806" s="1"/>
  <c r="B58" i="806"/>
  <c r="M58" i="806" s="1"/>
  <c r="T58" i="806" s="1"/>
  <c r="B57" i="806"/>
  <c r="M57" i="806" s="1"/>
  <c r="T57" i="806" s="1"/>
  <c r="C56" i="806"/>
  <c r="B56" i="806"/>
  <c r="M56" i="806" s="1"/>
  <c r="T56" i="806" s="1"/>
  <c r="C51" i="806"/>
  <c r="C50" i="806"/>
  <c r="C49" i="806"/>
  <c r="C48" i="806"/>
  <c r="C47" i="806"/>
  <c r="C46" i="806"/>
  <c r="C45" i="806"/>
  <c r="F44" i="806"/>
  <c r="C44" i="806"/>
  <c r="F43" i="806"/>
  <c r="C43" i="806"/>
  <c r="F42" i="806"/>
  <c r="C42" i="806"/>
  <c r="F41" i="806"/>
  <c r="C41" i="806"/>
  <c r="F40" i="806"/>
  <c r="C40" i="806"/>
  <c r="F39" i="806"/>
  <c r="C39" i="806"/>
  <c r="F38" i="806"/>
  <c r="C38" i="806"/>
  <c r="F37" i="806"/>
  <c r="C37" i="806"/>
  <c r="C34" i="806"/>
  <c r="C33" i="806"/>
  <c r="C32" i="806"/>
  <c r="C31" i="806"/>
  <c r="C30" i="806"/>
  <c r="C29" i="806"/>
  <c r="C28" i="806"/>
  <c r="C27" i="806"/>
  <c r="C26" i="806"/>
  <c r="C25" i="806"/>
  <c r="C24" i="806"/>
  <c r="C23" i="806"/>
  <c r="C22" i="806"/>
  <c r="C21" i="806"/>
  <c r="C20" i="806"/>
  <c r="C19" i="806"/>
  <c r="C18" i="806"/>
  <c r="C17" i="806"/>
  <c r="C16" i="806"/>
  <c r="C15" i="806"/>
  <c r="G11" i="806"/>
  <c r="G12" i="806" s="1"/>
  <c r="F11" i="806"/>
  <c r="E11" i="806"/>
  <c r="B76" i="806" s="1"/>
  <c r="M76" i="806" s="1"/>
  <c r="T76" i="806" s="1"/>
  <c r="D11" i="806"/>
  <c r="B75" i="806" s="1"/>
  <c r="M75" i="806" s="1"/>
  <c r="T75" i="806" s="1"/>
  <c r="C11" i="806"/>
  <c r="C12" i="806" s="1"/>
  <c r="I10" i="806"/>
  <c r="I9" i="806"/>
  <c r="I8" i="806"/>
  <c r="I7" i="806"/>
  <c r="I6" i="806"/>
  <c r="B48" i="806" s="1"/>
  <c r="I5" i="806"/>
  <c r="B23" i="806" s="1"/>
  <c r="M23" i="806" s="1"/>
  <c r="T23" i="806" s="1"/>
  <c r="B99" i="804"/>
  <c r="M99" i="804" s="1"/>
  <c r="T99" i="804" s="1"/>
  <c r="B98" i="804"/>
  <c r="M98" i="804" s="1"/>
  <c r="T98" i="804" s="1"/>
  <c r="C97" i="804"/>
  <c r="B97" i="804"/>
  <c r="M97" i="804" s="1"/>
  <c r="T97" i="804" s="1"/>
  <c r="B96" i="804"/>
  <c r="M96" i="804" s="1"/>
  <c r="T96" i="804" s="1"/>
  <c r="B95" i="804"/>
  <c r="M95" i="804" s="1"/>
  <c r="T95" i="804" s="1"/>
  <c r="C94" i="804"/>
  <c r="B94" i="804"/>
  <c r="M94" i="804" s="1"/>
  <c r="T94" i="804" s="1"/>
  <c r="B93" i="804"/>
  <c r="M93" i="804" s="1"/>
  <c r="T93" i="804" s="1"/>
  <c r="T92" i="804"/>
  <c r="M92" i="804"/>
  <c r="B92" i="804"/>
  <c r="M91" i="804"/>
  <c r="T91" i="804" s="1"/>
  <c r="C91" i="804"/>
  <c r="B91" i="804"/>
  <c r="B90" i="804"/>
  <c r="M90" i="804" s="1"/>
  <c r="T90" i="804" s="1"/>
  <c r="B89" i="804"/>
  <c r="M89" i="804" s="1"/>
  <c r="T89" i="804" s="1"/>
  <c r="C88" i="804"/>
  <c r="B88" i="804"/>
  <c r="M88" i="804" s="1"/>
  <c r="T88" i="804" s="1"/>
  <c r="B87" i="804"/>
  <c r="M87" i="804" s="1"/>
  <c r="T87" i="804" s="1"/>
  <c r="B86" i="804"/>
  <c r="M86" i="804" s="1"/>
  <c r="T86" i="804" s="1"/>
  <c r="C85" i="804"/>
  <c r="B85" i="804"/>
  <c r="M85" i="804" s="1"/>
  <c r="T85" i="804" s="1"/>
  <c r="M84" i="804"/>
  <c r="T84" i="804" s="1"/>
  <c r="B84" i="804"/>
  <c r="B83" i="804"/>
  <c r="M83" i="804" s="1"/>
  <c r="T83" i="804" s="1"/>
  <c r="T82" i="804"/>
  <c r="C82" i="804"/>
  <c r="B82" i="804"/>
  <c r="M82" i="804" s="1"/>
  <c r="T81" i="804"/>
  <c r="M80" i="804"/>
  <c r="T80" i="804" s="1"/>
  <c r="C77" i="804"/>
  <c r="C76" i="804"/>
  <c r="C75" i="804"/>
  <c r="C74" i="804"/>
  <c r="C73" i="804"/>
  <c r="C72" i="804"/>
  <c r="C71" i="804"/>
  <c r="C70" i="804"/>
  <c r="C69" i="804"/>
  <c r="C68" i="804"/>
  <c r="C67" i="804"/>
  <c r="C66" i="804"/>
  <c r="C65" i="804"/>
  <c r="C64" i="804"/>
  <c r="C63" i="804"/>
  <c r="C62" i="804"/>
  <c r="C61" i="804"/>
  <c r="C60" i="804"/>
  <c r="C59" i="804"/>
  <c r="C58" i="804"/>
  <c r="C57" i="804"/>
  <c r="C56" i="804"/>
  <c r="C55" i="804"/>
  <c r="C54" i="804"/>
  <c r="C53" i="804"/>
  <c r="F52" i="804"/>
  <c r="C52" i="804"/>
  <c r="F51" i="804"/>
  <c r="C51" i="804"/>
  <c r="F50" i="804"/>
  <c r="C50" i="804"/>
  <c r="F49" i="804"/>
  <c r="C49" i="804"/>
  <c r="F48" i="804"/>
  <c r="C48" i="804"/>
  <c r="M47" i="804"/>
  <c r="T47" i="804" s="1"/>
  <c r="F47" i="804"/>
  <c r="C47" i="804"/>
  <c r="F46" i="804"/>
  <c r="C46" i="804"/>
  <c r="F45" i="804"/>
  <c r="C45" i="804"/>
  <c r="F44" i="804"/>
  <c r="C44" i="804"/>
  <c r="C43" i="804"/>
  <c r="C42" i="804"/>
  <c r="C41" i="804"/>
  <c r="C40" i="804"/>
  <c r="C39" i="804"/>
  <c r="C38" i="804"/>
  <c r="C37" i="804"/>
  <c r="C36" i="804"/>
  <c r="C35" i="804"/>
  <c r="C34" i="804"/>
  <c r="C33" i="804"/>
  <c r="C32" i="804"/>
  <c r="C31" i="804"/>
  <c r="C30" i="804"/>
  <c r="C29" i="804"/>
  <c r="C28" i="804"/>
  <c r="C27" i="804"/>
  <c r="C26" i="804"/>
  <c r="C25" i="804"/>
  <c r="C24" i="804"/>
  <c r="C23" i="804"/>
  <c r="C22" i="804"/>
  <c r="C21" i="804"/>
  <c r="C20" i="804"/>
  <c r="C19" i="804"/>
  <c r="C18" i="804"/>
  <c r="C17" i="804"/>
  <c r="C16" i="804"/>
  <c r="C15" i="804"/>
  <c r="G12" i="804"/>
  <c r="F12" i="804"/>
  <c r="G11" i="804"/>
  <c r="B81" i="804" s="1"/>
  <c r="M81" i="804" s="1"/>
  <c r="F11" i="804"/>
  <c r="B80" i="804" s="1"/>
  <c r="E11" i="804"/>
  <c r="B102" i="804" s="1"/>
  <c r="M102" i="804" s="1"/>
  <c r="T102" i="804" s="1"/>
  <c r="D11" i="804"/>
  <c r="D12" i="804" s="1"/>
  <c r="C11" i="804"/>
  <c r="B100" i="804" s="1"/>
  <c r="M100" i="804" s="1"/>
  <c r="T100" i="804" s="1"/>
  <c r="I10" i="804"/>
  <c r="I9" i="804"/>
  <c r="I8" i="804"/>
  <c r="I7" i="804"/>
  <c r="B76" i="804" s="1"/>
  <c r="M76" i="804" s="1"/>
  <c r="T76" i="804" s="1"/>
  <c r="I6" i="804"/>
  <c r="B51" i="804" s="1"/>
  <c r="M51" i="804" s="1"/>
  <c r="T51" i="804" s="1"/>
  <c r="I5" i="804"/>
  <c r="B47" i="804" s="1"/>
  <c r="B43" i="806" l="1"/>
  <c r="B35" i="806"/>
  <c r="M35" i="806" s="1"/>
  <c r="T35" i="806" s="1"/>
  <c r="B44" i="806"/>
  <c r="M44" i="806" s="1"/>
  <c r="T44" i="806" s="1"/>
  <c r="B36" i="806"/>
  <c r="M36" i="806" s="1"/>
  <c r="T36" i="806" s="1"/>
  <c r="B49" i="806"/>
  <c r="M49" i="806" s="1"/>
  <c r="T49" i="806" s="1"/>
  <c r="D12" i="806"/>
  <c r="B52" i="806"/>
  <c r="M52" i="806" s="1"/>
  <c r="T52" i="806" s="1"/>
  <c r="E12" i="806"/>
  <c r="B21" i="806"/>
  <c r="M21" i="806" s="1"/>
  <c r="T21" i="806" s="1"/>
  <c r="B37" i="806"/>
  <c r="M37" i="806" s="1"/>
  <c r="T37" i="806" s="1"/>
  <c r="B47" i="806"/>
  <c r="M47" i="806" s="1"/>
  <c r="T47" i="806" s="1"/>
  <c r="B53" i="806"/>
  <c r="M53" i="806" s="1"/>
  <c r="T53" i="806" s="1"/>
  <c r="B19" i="806"/>
  <c r="M19" i="806" s="1"/>
  <c r="T19" i="806" s="1"/>
  <c r="B45" i="806"/>
  <c r="M45" i="806" s="1"/>
  <c r="T45" i="806" s="1"/>
  <c r="B17" i="806"/>
  <c r="M17" i="806" s="1"/>
  <c r="T17" i="806" s="1"/>
  <c r="B33" i="806"/>
  <c r="M33" i="806" s="1"/>
  <c r="T33" i="806" s="1"/>
  <c r="B15" i="806"/>
  <c r="M15" i="806" s="1"/>
  <c r="T15" i="806" s="1"/>
  <c r="B27" i="806"/>
  <c r="M27" i="806" s="1"/>
  <c r="T27" i="806" s="1"/>
  <c r="B29" i="806"/>
  <c r="M29" i="806" s="1"/>
  <c r="T29" i="806" s="1"/>
  <c r="B31" i="806"/>
  <c r="M31" i="806" s="1"/>
  <c r="T31" i="806" s="1"/>
  <c r="B25" i="806"/>
  <c r="B41" i="806"/>
  <c r="M41" i="806" s="1"/>
  <c r="T41" i="806" s="1"/>
  <c r="B40" i="806"/>
  <c r="M40" i="806" s="1"/>
  <c r="T40" i="806" s="1"/>
  <c r="B50" i="806"/>
  <c r="M50" i="806" s="1"/>
  <c r="T50" i="806" s="1"/>
  <c r="M48" i="806"/>
  <c r="T48" i="806" s="1"/>
  <c r="B46" i="806"/>
  <c r="M46" i="806" s="1"/>
  <c r="T46" i="806" s="1"/>
  <c r="B34" i="806"/>
  <c r="M34" i="806" s="1"/>
  <c r="T34" i="806" s="1"/>
  <c r="B32" i="806"/>
  <c r="M32" i="806" s="1"/>
  <c r="T32" i="806" s="1"/>
  <c r="B30" i="806"/>
  <c r="M30" i="806" s="1"/>
  <c r="T30" i="806" s="1"/>
  <c r="B28" i="806"/>
  <c r="M28" i="806" s="1"/>
  <c r="T28" i="806" s="1"/>
  <c r="B26" i="806"/>
  <c r="M26" i="806" s="1"/>
  <c r="T26" i="806" s="1"/>
  <c r="B24" i="806"/>
  <c r="M24" i="806" s="1"/>
  <c r="T24" i="806" s="1"/>
  <c r="B22" i="806"/>
  <c r="M22" i="806" s="1"/>
  <c r="T22" i="806" s="1"/>
  <c r="B20" i="806"/>
  <c r="M20" i="806" s="1"/>
  <c r="T20" i="806" s="1"/>
  <c r="B18" i="806"/>
  <c r="M18" i="806" s="1"/>
  <c r="T18" i="806" s="1"/>
  <c r="B16" i="806"/>
  <c r="M16" i="806" s="1"/>
  <c r="T16" i="806" s="1"/>
  <c r="B42" i="806"/>
  <c r="M42" i="806" s="1"/>
  <c r="T42" i="806" s="1"/>
  <c r="B38" i="806"/>
  <c r="M38" i="806" s="1"/>
  <c r="T38" i="806" s="1"/>
  <c r="B54" i="806"/>
  <c r="M54" i="806" s="1"/>
  <c r="T54" i="806" s="1"/>
  <c r="B77" i="806"/>
  <c r="M77" i="806" s="1"/>
  <c r="T77" i="806" s="1"/>
  <c r="F12" i="806"/>
  <c r="B74" i="806"/>
  <c r="M74" i="806" s="1"/>
  <c r="T74" i="806" s="1"/>
  <c r="I11" i="806"/>
  <c r="B55" i="806"/>
  <c r="M55" i="806" s="1"/>
  <c r="T55" i="806" s="1"/>
  <c r="B51" i="806"/>
  <c r="M51" i="806" s="1"/>
  <c r="T51" i="806" s="1"/>
  <c r="B39" i="806"/>
  <c r="M39" i="806" s="1"/>
  <c r="T39" i="806" s="1"/>
  <c r="B49" i="804"/>
  <c r="M49" i="804" s="1"/>
  <c r="T49" i="804" s="1"/>
  <c r="B52" i="804"/>
  <c r="M52" i="804" s="1"/>
  <c r="T52" i="804" s="1"/>
  <c r="B22" i="804"/>
  <c r="M22" i="804" s="1"/>
  <c r="T22" i="804" s="1"/>
  <c r="B28" i="804"/>
  <c r="M28" i="804" s="1"/>
  <c r="T28" i="804" s="1"/>
  <c r="B31" i="804"/>
  <c r="M31" i="804" s="1"/>
  <c r="T31" i="804" s="1"/>
  <c r="B34" i="804"/>
  <c r="M34" i="804" s="1"/>
  <c r="T34" i="804" s="1"/>
  <c r="B40" i="804"/>
  <c r="M40" i="804" s="1"/>
  <c r="T40" i="804" s="1"/>
  <c r="B55" i="804"/>
  <c r="M55" i="804" s="1"/>
  <c r="T55" i="804" s="1"/>
  <c r="B58" i="804"/>
  <c r="M58" i="804" s="1"/>
  <c r="T58" i="804" s="1"/>
  <c r="B61" i="804"/>
  <c r="M61" i="804" s="1"/>
  <c r="T61" i="804" s="1"/>
  <c r="B67" i="804"/>
  <c r="M67" i="804" s="1"/>
  <c r="T67" i="804" s="1"/>
  <c r="B70" i="804"/>
  <c r="M70" i="804" s="1"/>
  <c r="T70" i="804" s="1"/>
  <c r="B73" i="804"/>
  <c r="M73" i="804" s="1"/>
  <c r="T73" i="804" s="1"/>
  <c r="B46" i="804"/>
  <c r="M46" i="804" s="1"/>
  <c r="T46" i="804" s="1"/>
  <c r="B43" i="804"/>
  <c r="M43" i="804" s="1"/>
  <c r="T43" i="804" s="1"/>
  <c r="B33" i="804"/>
  <c r="M33" i="804" s="1"/>
  <c r="T33" i="804" s="1"/>
  <c r="B72" i="804"/>
  <c r="M72" i="804" s="1"/>
  <c r="T72" i="804" s="1"/>
  <c r="B24" i="804"/>
  <c r="M24" i="804" s="1"/>
  <c r="T24" i="804" s="1"/>
  <c r="B27" i="804"/>
  <c r="M27" i="804" s="1"/>
  <c r="T27" i="804" s="1"/>
  <c r="B48" i="804"/>
  <c r="T48" i="804" s="1"/>
  <c r="B63" i="804"/>
  <c r="M63" i="804" s="1"/>
  <c r="T63" i="804" s="1"/>
  <c r="B21" i="804"/>
  <c r="M21" i="804" s="1"/>
  <c r="T21" i="804" s="1"/>
  <c r="B30" i="804"/>
  <c r="M30" i="804" s="1"/>
  <c r="T30" i="804" s="1"/>
  <c r="B60" i="804"/>
  <c r="M60" i="804" s="1"/>
  <c r="T60" i="804" s="1"/>
  <c r="B77" i="804"/>
  <c r="M77" i="804" s="1"/>
  <c r="T77" i="804" s="1"/>
  <c r="C12" i="804"/>
  <c r="B16" i="804"/>
  <c r="M16" i="804" s="1"/>
  <c r="T16" i="804" s="1"/>
  <c r="B19" i="804"/>
  <c r="M19" i="804" s="1"/>
  <c r="T19" i="804" s="1"/>
  <c r="B36" i="804"/>
  <c r="M36" i="804" s="1"/>
  <c r="T36" i="804" s="1"/>
  <c r="B39" i="804"/>
  <c r="M39" i="804" s="1"/>
  <c r="T39" i="804" s="1"/>
  <c r="B45" i="804"/>
  <c r="M45" i="804" s="1"/>
  <c r="T45" i="804" s="1"/>
  <c r="B54" i="804"/>
  <c r="M54" i="804" s="1"/>
  <c r="T54" i="804" s="1"/>
  <c r="B75" i="804"/>
  <c r="M75" i="804" s="1"/>
  <c r="T75" i="804" s="1"/>
  <c r="B57" i="804"/>
  <c r="M57" i="804" s="1"/>
  <c r="T57" i="804" s="1"/>
  <c r="B66" i="804"/>
  <c r="M66" i="804" s="1"/>
  <c r="T66" i="804" s="1"/>
  <c r="B42" i="804"/>
  <c r="M42" i="804" s="1"/>
  <c r="T42" i="804" s="1"/>
  <c r="I11" i="804"/>
  <c r="B104" i="804" s="1"/>
  <c r="M104" i="804" s="1"/>
  <c r="T104" i="804" s="1"/>
  <c r="B69" i="804"/>
  <c r="M69" i="804" s="1"/>
  <c r="T69" i="804" s="1"/>
  <c r="B44" i="804"/>
  <c r="M44" i="804" s="1"/>
  <c r="T44" i="804" s="1"/>
  <c r="B32" i="804"/>
  <c r="M32" i="804" s="1"/>
  <c r="T32" i="804" s="1"/>
  <c r="B59" i="804"/>
  <c r="M59" i="804" s="1"/>
  <c r="T59" i="804" s="1"/>
  <c r="B20" i="804"/>
  <c r="M20" i="804" s="1"/>
  <c r="T20" i="804" s="1"/>
  <c r="B71" i="804"/>
  <c r="M71" i="804" s="1"/>
  <c r="T71" i="804" s="1"/>
  <c r="I12" i="804"/>
  <c r="B15" i="804"/>
  <c r="M15" i="804" s="1"/>
  <c r="T15" i="804" s="1"/>
  <c r="B23" i="804"/>
  <c r="M23" i="804" s="1"/>
  <c r="T23" i="804" s="1"/>
  <c r="B74" i="804"/>
  <c r="M74" i="804" s="1"/>
  <c r="T74" i="804" s="1"/>
  <c r="B78" i="804"/>
  <c r="M78" i="804" s="1"/>
  <c r="T78" i="804" s="1"/>
  <c r="B105" i="804"/>
  <c r="M105" i="804" s="1"/>
  <c r="T105" i="804" s="1"/>
  <c r="B50" i="804"/>
  <c r="M50" i="804" s="1"/>
  <c r="T50" i="804" s="1"/>
  <c r="B53" i="804"/>
  <c r="M53" i="804" s="1"/>
  <c r="T53" i="804" s="1"/>
  <c r="B65" i="804"/>
  <c r="M65" i="804" s="1"/>
  <c r="T65" i="804" s="1"/>
  <c r="I2" i="804"/>
  <c r="B35" i="804"/>
  <c r="M35" i="804" s="1"/>
  <c r="T35" i="804" s="1"/>
  <c r="B62" i="804"/>
  <c r="M62" i="804" s="1"/>
  <c r="T62" i="804" s="1"/>
  <c r="E12" i="804"/>
  <c r="B18" i="804"/>
  <c r="M18" i="804" s="1"/>
  <c r="T18" i="804" s="1"/>
  <c r="B26" i="804"/>
  <c r="M26" i="804" s="1"/>
  <c r="T26" i="804" s="1"/>
  <c r="B38" i="804"/>
  <c r="M38" i="804" s="1"/>
  <c r="T38" i="804" s="1"/>
  <c r="B79" i="804"/>
  <c r="M79" i="804" s="1"/>
  <c r="T79" i="804" s="1"/>
  <c r="B17" i="804"/>
  <c r="M17" i="804" s="1"/>
  <c r="T17" i="804" s="1"/>
  <c r="B25" i="804"/>
  <c r="M25" i="804" s="1"/>
  <c r="T25" i="804" s="1"/>
  <c r="B29" i="804"/>
  <c r="M29" i="804" s="1"/>
  <c r="T29" i="804" s="1"/>
  <c r="B37" i="804"/>
  <c r="M37" i="804" s="1"/>
  <c r="T37" i="804" s="1"/>
  <c r="B41" i="804"/>
  <c r="M41" i="804" s="1"/>
  <c r="T41" i="804" s="1"/>
  <c r="B56" i="804"/>
  <c r="M56" i="804" s="1"/>
  <c r="T56" i="804" s="1"/>
  <c r="B64" i="804"/>
  <c r="M64" i="804" s="1"/>
  <c r="T64" i="804" s="1"/>
  <c r="B68" i="804"/>
  <c r="M68" i="804" s="1"/>
  <c r="T68" i="804" s="1"/>
  <c r="B101" i="804"/>
  <c r="M101" i="804" s="1"/>
  <c r="T101" i="804" s="1"/>
  <c r="B103" i="804"/>
  <c r="M103" i="804" s="1"/>
  <c r="T103" i="804" s="1"/>
  <c r="T25" i="806" l="1"/>
  <c r="M25" i="806"/>
  <c r="M43" i="806"/>
  <c r="T43" i="806" s="1"/>
  <c r="B80" i="806"/>
  <c r="M80" i="806" s="1"/>
  <c r="T80" i="806" s="1"/>
  <c r="B78" i="806"/>
  <c r="M78" i="806" s="1"/>
  <c r="T78" i="806" s="1"/>
  <c r="B79" i="806"/>
  <c r="M79" i="806" s="1"/>
  <c r="T79" i="806" s="1"/>
  <c r="I2" i="806"/>
  <c r="I12" i="806"/>
  <c r="B106" i="804"/>
  <c r="M106" i="804" s="1"/>
  <c r="T106" i="804" s="1"/>
  <c r="B99" i="803"/>
  <c r="M99" i="803" s="1"/>
  <c r="T99" i="803" s="1"/>
  <c r="B98" i="803"/>
  <c r="M98" i="803" s="1"/>
  <c r="T98" i="803" s="1"/>
  <c r="C97" i="803"/>
  <c r="B97" i="803"/>
  <c r="M97" i="803" s="1"/>
  <c r="T97" i="803" s="1"/>
  <c r="M96" i="803"/>
  <c r="T96" i="803" s="1"/>
  <c r="B96" i="803"/>
  <c r="B95" i="803"/>
  <c r="M95" i="803" s="1"/>
  <c r="T95" i="803" s="1"/>
  <c r="C94" i="803"/>
  <c r="B94" i="803"/>
  <c r="M94" i="803" s="1"/>
  <c r="T94" i="803" s="1"/>
  <c r="B93" i="803"/>
  <c r="M93" i="803" s="1"/>
  <c r="T93" i="803" s="1"/>
  <c r="B92" i="803"/>
  <c r="M92" i="803" s="1"/>
  <c r="T92" i="803" s="1"/>
  <c r="C91" i="803"/>
  <c r="B91" i="803"/>
  <c r="M91" i="803" s="1"/>
  <c r="T91" i="803" s="1"/>
  <c r="M90" i="803"/>
  <c r="T90" i="803" s="1"/>
  <c r="B90" i="803"/>
  <c r="B89" i="803"/>
  <c r="M89" i="803" s="1"/>
  <c r="T89" i="803" s="1"/>
  <c r="C88" i="803"/>
  <c r="B88" i="803"/>
  <c r="M88" i="803" s="1"/>
  <c r="T88" i="803" s="1"/>
  <c r="B87" i="803"/>
  <c r="M87" i="803" s="1"/>
  <c r="T87" i="803" s="1"/>
  <c r="M86" i="803"/>
  <c r="T86" i="803" s="1"/>
  <c r="B86" i="803"/>
  <c r="C85" i="803"/>
  <c r="B85" i="803"/>
  <c r="M85" i="803" s="1"/>
  <c r="T85" i="803" s="1"/>
  <c r="M84" i="803"/>
  <c r="T84" i="803" s="1"/>
  <c r="B84" i="803"/>
  <c r="B83" i="803"/>
  <c r="M83" i="803" s="1"/>
  <c r="T83" i="803" s="1"/>
  <c r="C82" i="803"/>
  <c r="B82" i="803"/>
  <c r="M82" i="803" s="1"/>
  <c r="T82" i="803" s="1"/>
  <c r="B81" i="803"/>
  <c r="M81" i="803" s="1"/>
  <c r="T81" i="803" s="1"/>
  <c r="C77" i="803"/>
  <c r="C76" i="803"/>
  <c r="C75" i="803"/>
  <c r="B75" i="803"/>
  <c r="M75" i="803" s="1"/>
  <c r="T75" i="803" s="1"/>
  <c r="C74" i="803"/>
  <c r="C73" i="803"/>
  <c r="C72" i="803"/>
  <c r="B72" i="803"/>
  <c r="M72" i="803" s="1"/>
  <c r="T72" i="803" s="1"/>
  <c r="C71" i="803"/>
  <c r="C70" i="803"/>
  <c r="B70" i="803"/>
  <c r="M70" i="803" s="1"/>
  <c r="T70" i="803" s="1"/>
  <c r="C69" i="803"/>
  <c r="C68" i="803"/>
  <c r="C67" i="803"/>
  <c r="B67" i="803"/>
  <c r="M67" i="803" s="1"/>
  <c r="T67" i="803" s="1"/>
  <c r="C66" i="803"/>
  <c r="C65" i="803"/>
  <c r="C64" i="803"/>
  <c r="C63" i="803"/>
  <c r="B63" i="803"/>
  <c r="M63" i="803" s="1"/>
  <c r="T63" i="803" s="1"/>
  <c r="C62" i="803"/>
  <c r="C61" i="803"/>
  <c r="C60" i="803"/>
  <c r="B60" i="803"/>
  <c r="M60" i="803" s="1"/>
  <c r="T60" i="803" s="1"/>
  <c r="C59" i="803"/>
  <c r="C58" i="803"/>
  <c r="B58" i="803"/>
  <c r="M58" i="803" s="1"/>
  <c r="T58" i="803" s="1"/>
  <c r="C57" i="803"/>
  <c r="C56" i="803"/>
  <c r="C55" i="803"/>
  <c r="B55" i="803"/>
  <c r="M55" i="803" s="1"/>
  <c r="T55" i="803" s="1"/>
  <c r="C54" i="803"/>
  <c r="C53" i="803"/>
  <c r="F52" i="803"/>
  <c r="C52" i="803"/>
  <c r="F51" i="803"/>
  <c r="C51" i="803"/>
  <c r="F50" i="803"/>
  <c r="C50" i="803"/>
  <c r="F49" i="803"/>
  <c r="C49" i="803"/>
  <c r="F48" i="803"/>
  <c r="C48" i="803"/>
  <c r="F47" i="803"/>
  <c r="C47" i="803"/>
  <c r="F46" i="803"/>
  <c r="C46" i="803"/>
  <c r="B46" i="803"/>
  <c r="M46" i="803" s="1"/>
  <c r="T46" i="803" s="1"/>
  <c r="F45" i="803"/>
  <c r="C45" i="803"/>
  <c r="B45" i="803"/>
  <c r="M45" i="803" s="1"/>
  <c r="T45" i="803" s="1"/>
  <c r="F44" i="803"/>
  <c r="C44" i="803"/>
  <c r="C43" i="803"/>
  <c r="C42" i="803"/>
  <c r="C41" i="803"/>
  <c r="C40" i="803"/>
  <c r="C39" i="803"/>
  <c r="C38" i="803"/>
  <c r="C37" i="803"/>
  <c r="C36" i="803"/>
  <c r="C35" i="803"/>
  <c r="C34" i="803"/>
  <c r="C33" i="803"/>
  <c r="C32" i="803"/>
  <c r="C31" i="803"/>
  <c r="C30" i="803"/>
  <c r="C29" i="803"/>
  <c r="C28" i="803"/>
  <c r="C27" i="803"/>
  <c r="C26" i="803"/>
  <c r="C25" i="803"/>
  <c r="C24" i="803"/>
  <c r="C23" i="803"/>
  <c r="C22" i="803"/>
  <c r="C21" i="803"/>
  <c r="C20" i="803"/>
  <c r="C19" i="803"/>
  <c r="C18" i="803"/>
  <c r="C17" i="803"/>
  <c r="C16" i="803"/>
  <c r="C15" i="803"/>
  <c r="G12" i="803"/>
  <c r="F12" i="803"/>
  <c r="G11" i="803"/>
  <c r="F11" i="803"/>
  <c r="B80" i="803" s="1"/>
  <c r="M80" i="803" s="1"/>
  <c r="T80" i="803" s="1"/>
  <c r="E11" i="803"/>
  <c r="D11" i="803"/>
  <c r="B78" i="803" s="1"/>
  <c r="M78" i="803" s="1"/>
  <c r="T78" i="803" s="1"/>
  <c r="C11" i="803"/>
  <c r="B100" i="803" s="1"/>
  <c r="M100" i="803" s="1"/>
  <c r="T100" i="803" s="1"/>
  <c r="I10" i="803"/>
  <c r="I9" i="803"/>
  <c r="I8" i="803"/>
  <c r="I7" i="803"/>
  <c r="B52" i="803" s="1"/>
  <c r="M52" i="803" s="1"/>
  <c r="T52" i="803" s="1"/>
  <c r="I6" i="803"/>
  <c r="B48" i="803" s="1"/>
  <c r="M48" i="803" s="1"/>
  <c r="T48" i="803" s="1"/>
  <c r="I5" i="803"/>
  <c r="B59" i="803" s="1"/>
  <c r="M59" i="803" s="1"/>
  <c r="T59" i="803" s="1"/>
  <c r="T99" i="802"/>
  <c r="M99" i="802"/>
  <c r="B99" i="802"/>
  <c r="M98" i="802"/>
  <c r="T98" i="802" s="1"/>
  <c r="B98" i="802"/>
  <c r="M97" i="802"/>
  <c r="T97" i="802" s="1"/>
  <c r="C97" i="802"/>
  <c r="B97" i="802"/>
  <c r="B96" i="802"/>
  <c r="M96" i="802" s="1"/>
  <c r="T96" i="802" s="1"/>
  <c r="B95" i="802"/>
  <c r="M95" i="802" s="1"/>
  <c r="T95" i="802" s="1"/>
  <c r="T94" i="802"/>
  <c r="C94" i="802"/>
  <c r="B94" i="802"/>
  <c r="M94" i="802" s="1"/>
  <c r="B93" i="802"/>
  <c r="M93" i="802" s="1"/>
  <c r="T93" i="802" s="1"/>
  <c r="M92" i="802"/>
  <c r="T92" i="802" s="1"/>
  <c r="B92" i="802"/>
  <c r="M91" i="802"/>
  <c r="T91" i="802" s="1"/>
  <c r="C91" i="802"/>
  <c r="B91" i="802"/>
  <c r="B90" i="802"/>
  <c r="M90" i="802" s="1"/>
  <c r="T90" i="802" s="1"/>
  <c r="B89" i="802"/>
  <c r="M89" i="802" s="1"/>
  <c r="T89" i="802" s="1"/>
  <c r="C88" i="802"/>
  <c r="B88" i="802"/>
  <c r="M88" i="802" s="1"/>
  <c r="T88" i="802" s="1"/>
  <c r="T87" i="802"/>
  <c r="M87" i="802"/>
  <c r="B87" i="802"/>
  <c r="B86" i="802"/>
  <c r="M86" i="802" s="1"/>
  <c r="T86" i="802" s="1"/>
  <c r="M85" i="802"/>
  <c r="T85" i="802" s="1"/>
  <c r="C85" i="802"/>
  <c r="B85" i="802"/>
  <c r="B84" i="802"/>
  <c r="M84" i="802" s="1"/>
  <c r="T84" i="802" s="1"/>
  <c r="B83" i="802"/>
  <c r="M83" i="802" s="1"/>
  <c r="T83" i="802" s="1"/>
  <c r="C82" i="802"/>
  <c r="B82" i="802"/>
  <c r="M82" i="802" s="1"/>
  <c r="T82" i="802" s="1"/>
  <c r="C77" i="802"/>
  <c r="C76" i="802"/>
  <c r="B76" i="802"/>
  <c r="M76" i="802" s="1"/>
  <c r="T76" i="802" s="1"/>
  <c r="C75" i="802"/>
  <c r="C74" i="802"/>
  <c r="B74" i="802"/>
  <c r="M74" i="802" s="1"/>
  <c r="T74" i="802" s="1"/>
  <c r="C73" i="802"/>
  <c r="C72" i="802"/>
  <c r="C71" i="802"/>
  <c r="C70" i="802"/>
  <c r="C69" i="802"/>
  <c r="C68" i="802"/>
  <c r="C67" i="802"/>
  <c r="C66" i="802"/>
  <c r="C65" i="802"/>
  <c r="C64" i="802"/>
  <c r="B64" i="802"/>
  <c r="M64" i="802" s="1"/>
  <c r="T64" i="802" s="1"/>
  <c r="C63" i="802"/>
  <c r="C62" i="802"/>
  <c r="C61" i="802"/>
  <c r="C60" i="802"/>
  <c r="C59" i="802"/>
  <c r="C58" i="802"/>
  <c r="C57" i="802"/>
  <c r="C56" i="802"/>
  <c r="C55" i="802"/>
  <c r="C54" i="802"/>
  <c r="C53" i="802"/>
  <c r="F52" i="802"/>
  <c r="C52" i="802"/>
  <c r="F51" i="802"/>
  <c r="C51" i="802"/>
  <c r="F50" i="802"/>
  <c r="C50" i="802"/>
  <c r="F49" i="802"/>
  <c r="C49" i="802"/>
  <c r="F48" i="802"/>
  <c r="C48" i="802"/>
  <c r="F47" i="802"/>
  <c r="C47" i="802"/>
  <c r="F46" i="802"/>
  <c r="C46" i="802"/>
  <c r="F45" i="802"/>
  <c r="C45" i="802"/>
  <c r="F44" i="802"/>
  <c r="C44" i="802"/>
  <c r="C43" i="802"/>
  <c r="C42" i="802"/>
  <c r="C41" i="802"/>
  <c r="B41" i="802"/>
  <c r="M41" i="802" s="1"/>
  <c r="T41" i="802" s="1"/>
  <c r="C40" i="802"/>
  <c r="C39" i="802"/>
  <c r="C38" i="802"/>
  <c r="C37" i="802"/>
  <c r="C36" i="802"/>
  <c r="C35" i="802"/>
  <c r="C34" i="802"/>
  <c r="C33" i="802"/>
  <c r="C32" i="802"/>
  <c r="C31" i="802"/>
  <c r="C30" i="802"/>
  <c r="C29" i="802"/>
  <c r="B29" i="802"/>
  <c r="M29" i="802" s="1"/>
  <c r="T29" i="802" s="1"/>
  <c r="C28" i="802"/>
  <c r="C27" i="802"/>
  <c r="C26" i="802"/>
  <c r="C25" i="802"/>
  <c r="C24" i="802"/>
  <c r="C23" i="802"/>
  <c r="B23" i="802"/>
  <c r="M23" i="802" s="1"/>
  <c r="T23" i="802" s="1"/>
  <c r="C22" i="802"/>
  <c r="C21" i="802"/>
  <c r="C20" i="802"/>
  <c r="C19" i="802"/>
  <c r="C18" i="802"/>
  <c r="C17" i="802"/>
  <c r="C16" i="802"/>
  <c r="C15" i="802"/>
  <c r="B15" i="802"/>
  <c r="M15" i="802" s="1"/>
  <c r="T15" i="802" s="1"/>
  <c r="F12" i="802"/>
  <c r="G11" i="802"/>
  <c r="F11" i="802"/>
  <c r="B80" i="802" s="1"/>
  <c r="M80" i="802" s="1"/>
  <c r="T80" i="802" s="1"/>
  <c r="E11" i="802"/>
  <c r="B102" i="802" s="1"/>
  <c r="M102" i="802" s="1"/>
  <c r="T102" i="802" s="1"/>
  <c r="D11" i="802"/>
  <c r="D12" i="802" s="1"/>
  <c r="C11" i="802"/>
  <c r="I10" i="802"/>
  <c r="I9" i="802"/>
  <c r="I8" i="802"/>
  <c r="I7" i="802"/>
  <c r="B46" i="802" s="1"/>
  <c r="M46" i="802" s="1"/>
  <c r="T46" i="802" s="1"/>
  <c r="I6" i="802"/>
  <c r="B51" i="802" s="1"/>
  <c r="M51" i="802" s="1"/>
  <c r="T51" i="802" s="1"/>
  <c r="I5" i="802"/>
  <c r="B47" i="802" s="1"/>
  <c r="M47" i="802" s="1"/>
  <c r="T47" i="802" s="1"/>
  <c r="B100" i="800"/>
  <c r="M100" i="800" s="1"/>
  <c r="T100" i="800" s="1"/>
  <c r="B97" i="800"/>
  <c r="M97" i="800" s="1"/>
  <c r="T97" i="800" s="1"/>
  <c r="B96" i="800"/>
  <c r="M96" i="800" s="1"/>
  <c r="T96" i="800" s="1"/>
  <c r="C95" i="800"/>
  <c r="B95" i="800"/>
  <c r="M95" i="800" s="1"/>
  <c r="T95" i="800" s="1"/>
  <c r="B94" i="800"/>
  <c r="M94" i="800" s="1"/>
  <c r="T94" i="800" s="1"/>
  <c r="B93" i="800"/>
  <c r="M93" i="800" s="1"/>
  <c r="T93" i="800" s="1"/>
  <c r="C92" i="800"/>
  <c r="B92" i="800"/>
  <c r="M92" i="800" s="1"/>
  <c r="T92" i="800" s="1"/>
  <c r="B91" i="800"/>
  <c r="M91" i="800" s="1"/>
  <c r="T91" i="800" s="1"/>
  <c r="B90" i="800"/>
  <c r="M90" i="800" s="1"/>
  <c r="T90" i="800" s="1"/>
  <c r="C89" i="800"/>
  <c r="B89" i="800"/>
  <c r="M89" i="800" s="1"/>
  <c r="T89" i="800" s="1"/>
  <c r="B88" i="800"/>
  <c r="M88" i="800" s="1"/>
  <c r="T88" i="800" s="1"/>
  <c r="B87" i="800"/>
  <c r="M87" i="800" s="1"/>
  <c r="T87" i="800" s="1"/>
  <c r="M86" i="800"/>
  <c r="T86" i="800" s="1"/>
  <c r="C86" i="800"/>
  <c r="B86" i="800"/>
  <c r="B85" i="800"/>
  <c r="M85" i="800" s="1"/>
  <c r="T85" i="800" s="1"/>
  <c r="B84" i="800"/>
  <c r="M84" i="800" s="1"/>
  <c r="T84" i="800" s="1"/>
  <c r="C83" i="800"/>
  <c r="B83" i="800"/>
  <c r="M83" i="800" s="1"/>
  <c r="T83" i="800" s="1"/>
  <c r="T82" i="800"/>
  <c r="B82" i="800"/>
  <c r="M82" i="800" s="1"/>
  <c r="B81" i="800"/>
  <c r="M81" i="800" s="1"/>
  <c r="T81" i="800" s="1"/>
  <c r="M80" i="800"/>
  <c r="T80" i="800" s="1"/>
  <c r="C80" i="800"/>
  <c r="B80" i="800"/>
  <c r="T77" i="800"/>
  <c r="B77" i="800"/>
  <c r="M77" i="800" s="1"/>
  <c r="C75" i="800"/>
  <c r="B72" i="800"/>
  <c r="M72" i="800" s="1"/>
  <c r="T72" i="800" s="1"/>
  <c r="C71" i="800"/>
  <c r="C70" i="800"/>
  <c r="B70" i="800"/>
  <c r="M70" i="800" s="1"/>
  <c r="T70" i="800" s="1"/>
  <c r="C69" i="800"/>
  <c r="C68" i="800"/>
  <c r="B68" i="800"/>
  <c r="M68" i="800" s="1"/>
  <c r="T68" i="800" s="1"/>
  <c r="C67" i="800"/>
  <c r="C66" i="800"/>
  <c r="C65" i="800"/>
  <c r="C64" i="800"/>
  <c r="C63" i="800"/>
  <c r="C62" i="800"/>
  <c r="C61" i="800"/>
  <c r="C60" i="800"/>
  <c r="C59" i="800"/>
  <c r="B59" i="800"/>
  <c r="M59" i="800" s="1"/>
  <c r="T59" i="800" s="1"/>
  <c r="C58" i="800"/>
  <c r="C57" i="800"/>
  <c r="B57" i="800"/>
  <c r="M57" i="800" s="1"/>
  <c r="T57" i="800" s="1"/>
  <c r="C56" i="800"/>
  <c r="C55" i="800"/>
  <c r="B55" i="800"/>
  <c r="M55" i="800" s="1"/>
  <c r="T55" i="800" s="1"/>
  <c r="C54" i="800"/>
  <c r="C53" i="800"/>
  <c r="B53" i="800"/>
  <c r="M53" i="800" s="1"/>
  <c r="T53" i="800" s="1"/>
  <c r="C52" i="800"/>
  <c r="C51" i="800"/>
  <c r="F50" i="800"/>
  <c r="C50" i="800"/>
  <c r="F49" i="800"/>
  <c r="C49" i="800"/>
  <c r="B49" i="800"/>
  <c r="M49" i="800" s="1"/>
  <c r="T49" i="800" s="1"/>
  <c r="F48" i="800"/>
  <c r="C48" i="800"/>
  <c r="F47" i="800"/>
  <c r="C47" i="800"/>
  <c r="F46" i="800"/>
  <c r="C46" i="800"/>
  <c r="F45" i="800"/>
  <c r="C45" i="800"/>
  <c r="F44" i="800"/>
  <c r="C44" i="800"/>
  <c r="F43" i="800"/>
  <c r="C43" i="800"/>
  <c r="F42" i="800"/>
  <c r="C42" i="800"/>
  <c r="C41" i="800"/>
  <c r="B41" i="800"/>
  <c r="M41" i="800" s="1"/>
  <c r="T41" i="800" s="1"/>
  <c r="C40" i="800"/>
  <c r="C39" i="800"/>
  <c r="C38" i="800"/>
  <c r="C37" i="800"/>
  <c r="C36" i="800"/>
  <c r="C35" i="800"/>
  <c r="C34" i="800"/>
  <c r="C33" i="800"/>
  <c r="C32" i="800"/>
  <c r="C31" i="800"/>
  <c r="B31" i="800"/>
  <c r="M31" i="800" s="1"/>
  <c r="T31" i="800" s="1"/>
  <c r="C30" i="800"/>
  <c r="C27" i="800"/>
  <c r="C26" i="800"/>
  <c r="C25" i="800"/>
  <c r="C24" i="800"/>
  <c r="C23" i="800"/>
  <c r="C22" i="800"/>
  <c r="C21" i="800"/>
  <c r="C20" i="800"/>
  <c r="C19" i="800"/>
  <c r="B19" i="800"/>
  <c r="M19" i="800" s="1"/>
  <c r="T19" i="800" s="1"/>
  <c r="C18" i="800"/>
  <c r="C17" i="800"/>
  <c r="C16" i="800"/>
  <c r="C15" i="800"/>
  <c r="E12" i="800"/>
  <c r="G11" i="800"/>
  <c r="G12" i="800" s="1"/>
  <c r="F11" i="800"/>
  <c r="B101" i="800" s="1"/>
  <c r="M101" i="800" s="1"/>
  <c r="T101" i="800" s="1"/>
  <c r="E11" i="800"/>
  <c r="D11" i="800"/>
  <c r="D12" i="800" s="1"/>
  <c r="C11" i="800"/>
  <c r="I10" i="800"/>
  <c r="I9" i="800"/>
  <c r="I8" i="800"/>
  <c r="I7" i="800"/>
  <c r="B47" i="800" s="1"/>
  <c r="M47" i="800" s="1"/>
  <c r="T47" i="800" s="1"/>
  <c r="I6" i="800"/>
  <c r="B73" i="800" s="1"/>
  <c r="M73" i="800" s="1"/>
  <c r="T73" i="800" s="1"/>
  <c r="I5" i="800"/>
  <c r="B48" i="800" s="1"/>
  <c r="M48" i="800" s="1"/>
  <c r="T48" i="800" s="1"/>
  <c r="F50" i="799"/>
  <c r="C50" i="799"/>
  <c r="B50" i="799"/>
  <c r="M50" i="799" s="1"/>
  <c r="T50" i="799" s="1"/>
  <c r="F49" i="799"/>
  <c r="C49" i="799"/>
  <c r="F48" i="799"/>
  <c r="C48" i="799"/>
  <c r="F47" i="799"/>
  <c r="C47" i="799"/>
  <c r="F46" i="799"/>
  <c r="C46" i="799"/>
  <c r="F45" i="799"/>
  <c r="C45" i="799"/>
  <c r="C36" i="799"/>
  <c r="C35" i="799"/>
  <c r="C34" i="799"/>
  <c r="C39" i="799"/>
  <c r="C38" i="799"/>
  <c r="C37" i="799"/>
  <c r="C33" i="799"/>
  <c r="C32" i="799"/>
  <c r="C31" i="799"/>
  <c r="C27" i="799"/>
  <c r="C22" i="799"/>
  <c r="C21" i="799"/>
  <c r="C20" i="799"/>
  <c r="C17" i="799"/>
  <c r="C16" i="799"/>
  <c r="C15" i="799"/>
  <c r="F44" i="799"/>
  <c r="C44" i="799"/>
  <c r="F43" i="799"/>
  <c r="C43" i="799"/>
  <c r="C61" i="799"/>
  <c r="C60" i="799"/>
  <c r="C19" i="799"/>
  <c r="C18" i="799"/>
  <c r="B97" i="799"/>
  <c r="M97" i="799" s="1"/>
  <c r="T97" i="799" s="1"/>
  <c r="B96" i="799"/>
  <c r="M96" i="799" s="1"/>
  <c r="T96" i="799" s="1"/>
  <c r="C95" i="799"/>
  <c r="B95" i="799"/>
  <c r="M95" i="799" s="1"/>
  <c r="T95" i="799" s="1"/>
  <c r="B94" i="799"/>
  <c r="M94" i="799" s="1"/>
  <c r="T94" i="799" s="1"/>
  <c r="B93" i="799"/>
  <c r="M93" i="799" s="1"/>
  <c r="T93" i="799" s="1"/>
  <c r="C92" i="799"/>
  <c r="B92" i="799"/>
  <c r="M92" i="799" s="1"/>
  <c r="T92" i="799" s="1"/>
  <c r="B91" i="799"/>
  <c r="M91" i="799" s="1"/>
  <c r="T91" i="799" s="1"/>
  <c r="B90" i="799"/>
  <c r="M90" i="799" s="1"/>
  <c r="T90" i="799" s="1"/>
  <c r="C89" i="799"/>
  <c r="B89" i="799"/>
  <c r="M89" i="799" s="1"/>
  <c r="T89" i="799" s="1"/>
  <c r="B88" i="799"/>
  <c r="M88" i="799" s="1"/>
  <c r="T88" i="799" s="1"/>
  <c r="B87" i="799"/>
  <c r="M87" i="799" s="1"/>
  <c r="T87" i="799" s="1"/>
  <c r="C86" i="799"/>
  <c r="B86" i="799"/>
  <c r="M86" i="799" s="1"/>
  <c r="T86" i="799" s="1"/>
  <c r="B85" i="799"/>
  <c r="M85" i="799" s="1"/>
  <c r="T85" i="799" s="1"/>
  <c r="B84" i="799"/>
  <c r="M84" i="799" s="1"/>
  <c r="T84" i="799" s="1"/>
  <c r="C83" i="799"/>
  <c r="B83" i="799"/>
  <c r="M83" i="799" s="1"/>
  <c r="T83" i="799" s="1"/>
  <c r="B82" i="799"/>
  <c r="M82" i="799" s="1"/>
  <c r="T82" i="799" s="1"/>
  <c r="B81" i="799"/>
  <c r="M81" i="799" s="1"/>
  <c r="T81" i="799" s="1"/>
  <c r="C80" i="799"/>
  <c r="B80" i="799"/>
  <c r="M80" i="799" s="1"/>
  <c r="T80" i="799" s="1"/>
  <c r="C75" i="799"/>
  <c r="C71" i="799"/>
  <c r="C70" i="799"/>
  <c r="C69" i="799"/>
  <c r="C68" i="799"/>
  <c r="C67" i="799"/>
  <c r="C66" i="799"/>
  <c r="C65" i="799"/>
  <c r="C64" i="799"/>
  <c r="C63" i="799"/>
  <c r="C62" i="799"/>
  <c r="C59" i="799"/>
  <c r="C58" i="799"/>
  <c r="C57" i="799"/>
  <c r="C56" i="799"/>
  <c r="C55" i="799"/>
  <c r="C54" i="799"/>
  <c r="C53" i="799"/>
  <c r="C52" i="799"/>
  <c r="C51" i="799"/>
  <c r="F42" i="799"/>
  <c r="C42" i="799"/>
  <c r="C41" i="799"/>
  <c r="C40" i="799"/>
  <c r="C30" i="799"/>
  <c r="C26" i="799"/>
  <c r="C25" i="799"/>
  <c r="C24" i="799"/>
  <c r="C23" i="799"/>
  <c r="G11" i="799"/>
  <c r="F11" i="799"/>
  <c r="E11" i="799"/>
  <c r="B77" i="799" s="1"/>
  <c r="M77" i="799" s="1"/>
  <c r="T77" i="799" s="1"/>
  <c r="D11" i="799"/>
  <c r="B76" i="799" s="1"/>
  <c r="M76" i="799" s="1"/>
  <c r="T76" i="799" s="1"/>
  <c r="C11" i="799"/>
  <c r="I10" i="799"/>
  <c r="I9" i="799"/>
  <c r="I8" i="799"/>
  <c r="I7" i="799"/>
  <c r="B33" i="799" s="1"/>
  <c r="I6" i="799"/>
  <c r="B35" i="799" s="1"/>
  <c r="M35" i="799" s="1"/>
  <c r="T35" i="799" s="1"/>
  <c r="I5" i="799"/>
  <c r="B72" i="799" s="1"/>
  <c r="M72" i="799" s="1"/>
  <c r="T72" i="799" s="1"/>
  <c r="B54" i="803" l="1"/>
  <c r="M54" i="803" s="1"/>
  <c r="T54" i="803" s="1"/>
  <c r="B61" i="803"/>
  <c r="M61" i="803" s="1"/>
  <c r="T61" i="803" s="1"/>
  <c r="B66" i="803"/>
  <c r="M66" i="803" s="1"/>
  <c r="T66" i="803" s="1"/>
  <c r="B73" i="803"/>
  <c r="M73" i="803" s="1"/>
  <c r="T73" i="803" s="1"/>
  <c r="B49" i="803"/>
  <c r="M49" i="803" s="1"/>
  <c r="T49" i="803" s="1"/>
  <c r="B57" i="803"/>
  <c r="M57" i="803" s="1"/>
  <c r="T57" i="803" s="1"/>
  <c r="B64" i="803"/>
  <c r="M64" i="803" s="1"/>
  <c r="T64" i="803" s="1"/>
  <c r="B69" i="803"/>
  <c r="M69" i="803" s="1"/>
  <c r="T69" i="803" s="1"/>
  <c r="B76" i="803"/>
  <c r="M76" i="803" s="1"/>
  <c r="T76" i="803" s="1"/>
  <c r="B103" i="803"/>
  <c r="M103" i="803" s="1"/>
  <c r="T103" i="803" s="1"/>
  <c r="I11" i="803"/>
  <c r="B105" i="803" s="1"/>
  <c r="M105" i="803" s="1"/>
  <c r="T105" i="803" s="1"/>
  <c r="B53" i="803"/>
  <c r="M53" i="803" s="1"/>
  <c r="T53" i="803" s="1"/>
  <c r="B77" i="803"/>
  <c r="M77" i="803" s="1"/>
  <c r="T77" i="803" s="1"/>
  <c r="B71" i="803"/>
  <c r="M71" i="803" s="1"/>
  <c r="T71" i="803" s="1"/>
  <c r="C12" i="803"/>
  <c r="B65" i="803"/>
  <c r="M65" i="803" s="1"/>
  <c r="T65" i="803" s="1"/>
  <c r="B106" i="803"/>
  <c r="M106" i="803" s="1"/>
  <c r="T106" i="803" s="1"/>
  <c r="B44" i="803"/>
  <c r="M44" i="803" s="1"/>
  <c r="T44" i="803" s="1"/>
  <c r="B41" i="803"/>
  <c r="M41" i="803" s="1"/>
  <c r="T41" i="803" s="1"/>
  <c r="B38" i="803"/>
  <c r="M38" i="803" s="1"/>
  <c r="T38" i="803" s="1"/>
  <c r="B35" i="803"/>
  <c r="M35" i="803" s="1"/>
  <c r="T35" i="803" s="1"/>
  <c r="B32" i="803"/>
  <c r="M32" i="803" s="1"/>
  <c r="T32" i="803" s="1"/>
  <c r="B29" i="803"/>
  <c r="M29" i="803" s="1"/>
  <c r="T29" i="803" s="1"/>
  <c r="B26" i="803"/>
  <c r="M26" i="803" s="1"/>
  <c r="T26" i="803" s="1"/>
  <c r="B23" i="803"/>
  <c r="M23" i="803" s="1"/>
  <c r="T23" i="803" s="1"/>
  <c r="B20" i="803"/>
  <c r="M20" i="803" s="1"/>
  <c r="T20" i="803" s="1"/>
  <c r="B18" i="803"/>
  <c r="M18" i="803" s="1"/>
  <c r="T18" i="803" s="1"/>
  <c r="B15" i="803"/>
  <c r="M15" i="803" s="1"/>
  <c r="T15" i="803" s="1"/>
  <c r="B47" i="803"/>
  <c r="M47" i="803" s="1"/>
  <c r="T47" i="803" s="1"/>
  <c r="B79" i="803"/>
  <c r="M79" i="803" s="1"/>
  <c r="T79" i="803" s="1"/>
  <c r="E12" i="803"/>
  <c r="B102" i="803"/>
  <c r="M102" i="803" s="1"/>
  <c r="T102" i="803" s="1"/>
  <c r="B104" i="803"/>
  <c r="M104" i="803" s="1"/>
  <c r="T104" i="803" s="1"/>
  <c r="B50" i="803"/>
  <c r="M50" i="803" s="1"/>
  <c r="T50" i="803" s="1"/>
  <c r="B56" i="803"/>
  <c r="M56" i="803" s="1"/>
  <c r="T56" i="803" s="1"/>
  <c r="B62" i="803"/>
  <c r="M62" i="803" s="1"/>
  <c r="T62" i="803" s="1"/>
  <c r="B68" i="803"/>
  <c r="M68" i="803" s="1"/>
  <c r="T68" i="803" s="1"/>
  <c r="B74" i="803"/>
  <c r="M74" i="803" s="1"/>
  <c r="T74" i="803" s="1"/>
  <c r="B101" i="803"/>
  <c r="M101" i="803" s="1"/>
  <c r="T101" i="803" s="1"/>
  <c r="D12" i="803"/>
  <c r="B51" i="803"/>
  <c r="M51" i="803" s="1"/>
  <c r="T51" i="803" s="1"/>
  <c r="B16" i="803"/>
  <c r="M16" i="803" s="1"/>
  <c r="T16" i="803" s="1"/>
  <c r="B17" i="803"/>
  <c r="M17" i="803" s="1"/>
  <c r="T17" i="803" s="1"/>
  <c r="B19" i="803"/>
  <c r="M19" i="803" s="1"/>
  <c r="T19" i="803" s="1"/>
  <c r="B21" i="803"/>
  <c r="M21" i="803" s="1"/>
  <c r="T21" i="803" s="1"/>
  <c r="B22" i="803"/>
  <c r="M22" i="803" s="1"/>
  <c r="T22" i="803" s="1"/>
  <c r="B24" i="803"/>
  <c r="M24" i="803" s="1"/>
  <c r="T24" i="803" s="1"/>
  <c r="B25" i="803"/>
  <c r="M25" i="803" s="1"/>
  <c r="T25" i="803" s="1"/>
  <c r="B27" i="803"/>
  <c r="M27" i="803" s="1"/>
  <c r="T27" i="803" s="1"/>
  <c r="B28" i="803"/>
  <c r="M28" i="803" s="1"/>
  <c r="T28" i="803" s="1"/>
  <c r="B30" i="803"/>
  <c r="M30" i="803" s="1"/>
  <c r="T30" i="803" s="1"/>
  <c r="B31" i="803"/>
  <c r="M31" i="803" s="1"/>
  <c r="T31" i="803" s="1"/>
  <c r="B33" i="803"/>
  <c r="M33" i="803" s="1"/>
  <c r="T33" i="803" s="1"/>
  <c r="B34" i="803"/>
  <c r="M34" i="803" s="1"/>
  <c r="T34" i="803" s="1"/>
  <c r="B36" i="803"/>
  <c r="M36" i="803" s="1"/>
  <c r="T36" i="803" s="1"/>
  <c r="B37" i="803"/>
  <c r="M37" i="803" s="1"/>
  <c r="T37" i="803" s="1"/>
  <c r="B39" i="803"/>
  <c r="M39" i="803" s="1"/>
  <c r="T39" i="803" s="1"/>
  <c r="B40" i="803"/>
  <c r="M40" i="803" s="1"/>
  <c r="T40" i="803" s="1"/>
  <c r="B42" i="803"/>
  <c r="M42" i="803" s="1"/>
  <c r="T42" i="803" s="1"/>
  <c r="B43" i="803"/>
  <c r="M43" i="803" s="1"/>
  <c r="T43" i="803" s="1"/>
  <c r="E12" i="802"/>
  <c r="B79" i="802"/>
  <c r="M79" i="802" s="1"/>
  <c r="T79" i="802" s="1"/>
  <c r="B35" i="802"/>
  <c r="M35" i="802" s="1"/>
  <c r="T35" i="802" s="1"/>
  <c r="B56" i="802"/>
  <c r="M56" i="802" s="1"/>
  <c r="T56" i="802" s="1"/>
  <c r="B59" i="802"/>
  <c r="M59" i="802" s="1"/>
  <c r="T59" i="802" s="1"/>
  <c r="B65" i="802"/>
  <c r="M65" i="802" s="1"/>
  <c r="T65" i="802" s="1"/>
  <c r="B21" i="802"/>
  <c r="M21" i="802" s="1"/>
  <c r="T21" i="802" s="1"/>
  <c r="B30" i="802"/>
  <c r="M30" i="802" s="1"/>
  <c r="T30" i="802" s="1"/>
  <c r="B33" i="802"/>
  <c r="M33" i="802" s="1"/>
  <c r="T33" i="802" s="1"/>
  <c r="B42" i="802"/>
  <c r="M42" i="802" s="1"/>
  <c r="T42" i="802" s="1"/>
  <c r="B66" i="802"/>
  <c r="M66" i="802" s="1"/>
  <c r="T66" i="802" s="1"/>
  <c r="B48" i="802"/>
  <c r="M48" i="802" s="1"/>
  <c r="T48" i="802" s="1"/>
  <c r="B72" i="802"/>
  <c r="M72" i="802" s="1"/>
  <c r="T72" i="802" s="1"/>
  <c r="B16" i="802"/>
  <c r="M16" i="802" s="1"/>
  <c r="T16" i="802" s="1"/>
  <c r="B19" i="802"/>
  <c r="M19" i="802" s="1"/>
  <c r="T19" i="802" s="1"/>
  <c r="B24" i="802"/>
  <c r="M24" i="802" s="1"/>
  <c r="T24" i="802" s="1"/>
  <c r="B27" i="802"/>
  <c r="M27" i="802" s="1"/>
  <c r="T27" i="802" s="1"/>
  <c r="B45" i="802"/>
  <c r="M45" i="802" s="1"/>
  <c r="T45" i="802" s="1"/>
  <c r="B54" i="802"/>
  <c r="M54" i="802" s="1"/>
  <c r="T54" i="802" s="1"/>
  <c r="B60" i="802"/>
  <c r="M60" i="802" s="1"/>
  <c r="T60" i="802" s="1"/>
  <c r="B63" i="802"/>
  <c r="M63" i="802" s="1"/>
  <c r="T63" i="802" s="1"/>
  <c r="B69" i="802"/>
  <c r="M69" i="802" s="1"/>
  <c r="T69" i="802" s="1"/>
  <c r="B36" i="802"/>
  <c r="M36" i="802" s="1"/>
  <c r="T36" i="802" s="1"/>
  <c r="B39" i="802"/>
  <c r="M39" i="802" s="1"/>
  <c r="T39" i="802" s="1"/>
  <c r="B57" i="802"/>
  <c r="M57" i="802" s="1"/>
  <c r="T57" i="802" s="1"/>
  <c r="B75" i="802"/>
  <c r="M75" i="802" s="1"/>
  <c r="T75" i="802" s="1"/>
  <c r="B26" i="802"/>
  <c r="M26" i="802" s="1"/>
  <c r="T26" i="802" s="1"/>
  <c r="B38" i="802"/>
  <c r="M38" i="802" s="1"/>
  <c r="T38" i="802" s="1"/>
  <c r="B53" i="802"/>
  <c r="M53" i="802" s="1"/>
  <c r="T53" i="802" s="1"/>
  <c r="B68" i="802"/>
  <c r="M68" i="802" s="1"/>
  <c r="T68" i="802" s="1"/>
  <c r="B18" i="802"/>
  <c r="M18" i="802" s="1"/>
  <c r="T18" i="802" s="1"/>
  <c r="B20" i="802"/>
  <c r="M20" i="802" s="1"/>
  <c r="T20" i="802" s="1"/>
  <c r="B32" i="802"/>
  <c r="M32" i="802" s="1"/>
  <c r="T32" i="802" s="1"/>
  <c r="B44" i="802"/>
  <c r="M44" i="802" s="1"/>
  <c r="T44" i="802" s="1"/>
  <c r="B62" i="802"/>
  <c r="M62" i="802" s="1"/>
  <c r="T62" i="802" s="1"/>
  <c r="B71" i="802"/>
  <c r="M71" i="802" s="1"/>
  <c r="T71" i="802" s="1"/>
  <c r="B100" i="802"/>
  <c r="M100" i="802" s="1"/>
  <c r="T100" i="802" s="1"/>
  <c r="C12" i="802"/>
  <c r="B81" i="802"/>
  <c r="M81" i="802" s="1"/>
  <c r="T81" i="802" s="1"/>
  <c r="G12" i="802"/>
  <c r="B17" i="802"/>
  <c r="M17" i="802" s="1"/>
  <c r="T17" i="802" s="1"/>
  <c r="B31" i="802"/>
  <c r="M31" i="802" s="1"/>
  <c r="T31" i="802" s="1"/>
  <c r="B43" i="802"/>
  <c r="M43" i="802" s="1"/>
  <c r="T43" i="802" s="1"/>
  <c r="B49" i="802"/>
  <c r="M49" i="802" s="1"/>
  <c r="T49" i="802" s="1"/>
  <c r="B55" i="802"/>
  <c r="M55" i="802" s="1"/>
  <c r="T55" i="802" s="1"/>
  <c r="B67" i="802"/>
  <c r="M67" i="802" s="1"/>
  <c r="T67" i="802" s="1"/>
  <c r="I11" i="802"/>
  <c r="B58" i="802"/>
  <c r="M58" i="802" s="1"/>
  <c r="T58" i="802" s="1"/>
  <c r="B70" i="802"/>
  <c r="M70" i="802" s="1"/>
  <c r="T70" i="802" s="1"/>
  <c r="B78" i="802"/>
  <c r="M78" i="802" s="1"/>
  <c r="T78" i="802" s="1"/>
  <c r="B25" i="802"/>
  <c r="M25" i="802" s="1"/>
  <c r="T25" i="802" s="1"/>
  <c r="B37" i="802"/>
  <c r="M37" i="802" s="1"/>
  <c r="T37" i="802" s="1"/>
  <c r="B22" i="802"/>
  <c r="M22" i="802" s="1"/>
  <c r="T22" i="802" s="1"/>
  <c r="B28" i="802"/>
  <c r="M28" i="802" s="1"/>
  <c r="T28" i="802" s="1"/>
  <c r="B34" i="802"/>
  <c r="M34" i="802" s="1"/>
  <c r="T34" i="802" s="1"/>
  <c r="B40" i="802"/>
  <c r="M40" i="802" s="1"/>
  <c r="T40" i="802" s="1"/>
  <c r="B52" i="802"/>
  <c r="M52" i="802" s="1"/>
  <c r="T52" i="802" s="1"/>
  <c r="B61" i="802"/>
  <c r="M61" i="802" s="1"/>
  <c r="T61" i="802" s="1"/>
  <c r="B73" i="802"/>
  <c r="M73" i="802" s="1"/>
  <c r="T73" i="802" s="1"/>
  <c r="B77" i="802"/>
  <c r="M77" i="802" s="1"/>
  <c r="T77" i="802" s="1"/>
  <c r="B101" i="802"/>
  <c r="M101" i="802" s="1"/>
  <c r="T101" i="802" s="1"/>
  <c r="B50" i="802"/>
  <c r="M50" i="802" s="1"/>
  <c r="T50" i="802" s="1"/>
  <c r="B103" i="802"/>
  <c r="M103" i="802" s="1"/>
  <c r="T103" i="802" s="1"/>
  <c r="B50" i="800"/>
  <c r="M50" i="800" s="1"/>
  <c r="T50" i="800" s="1"/>
  <c r="B25" i="800"/>
  <c r="M25" i="800" s="1"/>
  <c r="T25" i="800" s="1"/>
  <c r="B27" i="800"/>
  <c r="M27" i="800" s="1"/>
  <c r="T27" i="800" s="1"/>
  <c r="B43" i="800"/>
  <c r="M43" i="800" s="1"/>
  <c r="T43" i="800" s="1"/>
  <c r="B46" i="800"/>
  <c r="M46" i="800" s="1"/>
  <c r="T46" i="800" s="1"/>
  <c r="B33" i="800"/>
  <c r="M33" i="800" s="1"/>
  <c r="T33" i="800" s="1"/>
  <c r="B15" i="800"/>
  <c r="M15" i="800" s="1"/>
  <c r="T15" i="800" s="1"/>
  <c r="B18" i="800"/>
  <c r="M18" i="800" s="1"/>
  <c r="T18" i="800" s="1"/>
  <c r="B20" i="800"/>
  <c r="M20" i="800" s="1"/>
  <c r="T20" i="800" s="1"/>
  <c r="B23" i="800"/>
  <c r="M23" i="800" s="1"/>
  <c r="T23" i="800" s="1"/>
  <c r="B34" i="800"/>
  <c r="M34" i="800" s="1"/>
  <c r="T34" i="800" s="1"/>
  <c r="B37" i="800"/>
  <c r="M37" i="800" s="1"/>
  <c r="T37" i="800" s="1"/>
  <c r="B40" i="800"/>
  <c r="M40" i="800" s="1"/>
  <c r="T40" i="800" s="1"/>
  <c r="B42" i="800"/>
  <c r="M42" i="800" s="1"/>
  <c r="T42" i="800" s="1"/>
  <c r="B45" i="800"/>
  <c r="M45" i="800" s="1"/>
  <c r="T45" i="800" s="1"/>
  <c r="B51" i="800"/>
  <c r="M51" i="800" s="1"/>
  <c r="T51" i="800" s="1"/>
  <c r="B62" i="800"/>
  <c r="M62" i="800" s="1"/>
  <c r="T62" i="800" s="1"/>
  <c r="B64" i="800"/>
  <c r="M64" i="800" s="1"/>
  <c r="T64" i="800" s="1"/>
  <c r="B66" i="800"/>
  <c r="M66" i="800" s="1"/>
  <c r="T66" i="800" s="1"/>
  <c r="B71" i="800"/>
  <c r="M71" i="800" s="1"/>
  <c r="T71" i="800" s="1"/>
  <c r="B69" i="800"/>
  <c r="M69" i="800" s="1"/>
  <c r="T69" i="800" s="1"/>
  <c r="B67" i="800"/>
  <c r="M67" i="800" s="1"/>
  <c r="T67" i="800" s="1"/>
  <c r="B65" i="800"/>
  <c r="M65" i="800" s="1"/>
  <c r="T65" i="800" s="1"/>
  <c r="B63" i="800"/>
  <c r="M63" i="800" s="1"/>
  <c r="T63" i="800" s="1"/>
  <c r="B60" i="800"/>
  <c r="M60" i="800" s="1"/>
  <c r="T60" i="800" s="1"/>
  <c r="B58" i="800"/>
  <c r="M58" i="800" s="1"/>
  <c r="T58" i="800" s="1"/>
  <c r="B56" i="800"/>
  <c r="M56" i="800" s="1"/>
  <c r="T56" i="800" s="1"/>
  <c r="B54" i="800"/>
  <c r="M54" i="800" s="1"/>
  <c r="T54" i="800" s="1"/>
  <c r="B52" i="800"/>
  <c r="M52" i="800" s="1"/>
  <c r="T52" i="800" s="1"/>
  <c r="B22" i="800"/>
  <c r="M22" i="800" s="1"/>
  <c r="T22" i="800" s="1"/>
  <c r="B26" i="800"/>
  <c r="M26" i="800" s="1"/>
  <c r="T26" i="800" s="1"/>
  <c r="B32" i="800"/>
  <c r="M32" i="800" s="1"/>
  <c r="T32" i="800" s="1"/>
  <c r="B36" i="800"/>
  <c r="M36" i="800" s="1"/>
  <c r="T36" i="800" s="1"/>
  <c r="B78" i="800"/>
  <c r="M78" i="800" s="1"/>
  <c r="T78" i="800" s="1"/>
  <c r="B44" i="800"/>
  <c r="M44" i="800" s="1"/>
  <c r="T44" i="800" s="1"/>
  <c r="B61" i="800"/>
  <c r="M61" i="800" s="1"/>
  <c r="T61" i="800" s="1"/>
  <c r="B98" i="800"/>
  <c r="M98" i="800" s="1"/>
  <c r="T98" i="800" s="1"/>
  <c r="B75" i="800"/>
  <c r="M75" i="800" s="1"/>
  <c r="T75" i="800" s="1"/>
  <c r="C12" i="800"/>
  <c r="F12" i="800"/>
  <c r="B17" i="800"/>
  <c r="M17" i="800" s="1"/>
  <c r="T17" i="800" s="1"/>
  <c r="B21" i="800"/>
  <c r="M21" i="800" s="1"/>
  <c r="T21" i="800" s="1"/>
  <c r="B35" i="800"/>
  <c r="M35" i="800" s="1"/>
  <c r="T35" i="800" s="1"/>
  <c r="B39" i="800"/>
  <c r="M39" i="800" s="1"/>
  <c r="T39" i="800" s="1"/>
  <c r="B79" i="800"/>
  <c r="M79" i="800" s="1"/>
  <c r="T79" i="800" s="1"/>
  <c r="B76" i="800"/>
  <c r="M76" i="800" s="1"/>
  <c r="T76" i="800" s="1"/>
  <c r="B99" i="800"/>
  <c r="M99" i="800" s="1"/>
  <c r="T99" i="800" s="1"/>
  <c r="I11" i="800"/>
  <c r="B16" i="800"/>
  <c r="M16" i="800" s="1"/>
  <c r="T16" i="800" s="1"/>
  <c r="B24" i="800"/>
  <c r="M24" i="800" s="1"/>
  <c r="T24" i="800" s="1"/>
  <c r="B30" i="800"/>
  <c r="M30" i="800" s="1"/>
  <c r="T30" i="800" s="1"/>
  <c r="B38" i="800"/>
  <c r="M38" i="800" s="1"/>
  <c r="T38" i="800" s="1"/>
  <c r="B48" i="799"/>
  <c r="M48" i="799" s="1"/>
  <c r="T48" i="799" s="1"/>
  <c r="B49" i="799"/>
  <c r="M49" i="799" s="1"/>
  <c r="T49" i="799" s="1"/>
  <c r="B45" i="799"/>
  <c r="M45" i="799" s="1"/>
  <c r="T45" i="799" s="1"/>
  <c r="B36" i="799"/>
  <c r="M36" i="799" s="1"/>
  <c r="T36" i="799" s="1"/>
  <c r="B46" i="799"/>
  <c r="M46" i="799" s="1"/>
  <c r="T46" i="799" s="1"/>
  <c r="B47" i="799"/>
  <c r="M47" i="799" s="1"/>
  <c r="T47" i="799" s="1"/>
  <c r="B25" i="799"/>
  <c r="M25" i="799" s="1"/>
  <c r="T25" i="799" s="1"/>
  <c r="B27" i="799"/>
  <c r="M27" i="799" s="1"/>
  <c r="T27" i="799" s="1"/>
  <c r="B20" i="799"/>
  <c r="M20" i="799" s="1"/>
  <c r="T20" i="799" s="1"/>
  <c r="B15" i="799"/>
  <c r="M15" i="799" s="1"/>
  <c r="T15" i="799" s="1"/>
  <c r="B21" i="799"/>
  <c r="B22" i="799"/>
  <c r="M22" i="799" s="1"/>
  <c r="T22" i="799" s="1"/>
  <c r="B16" i="799"/>
  <c r="M16" i="799" s="1"/>
  <c r="T16" i="799" s="1"/>
  <c r="B17" i="799"/>
  <c r="M17" i="799" s="1"/>
  <c r="T17" i="799" s="1"/>
  <c r="B44" i="799"/>
  <c r="M44" i="799" s="1"/>
  <c r="T44" i="799" s="1"/>
  <c r="B61" i="799"/>
  <c r="M61" i="799" s="1"/>
  <c r="T61" i="799" s="1"/>
  <c r="B43" i="799"/>
  <c r="M43" i="799" s="1"/>
  <c r="T43" i="799" s="1"/>
  <c r="B60" i="799"/>
  <c r="M60" i="799" s="1"/>
  <c r="T60" i="799" s="1"/>
  <c r="B38" i="799"/>
  <c r="M38" i="799" s="1"/>
  <c r="T38" i="799" s="1"/>
  <c r="B39" i="799"/>
  <c r="M39" i="799" s="1"/>
  <c r="T39" i="799" s="1"/>
  <c r="B32" i="799"/>
  <c r="M32" i="799" s="1"/>
  <c r="T32" i="799" s="1"/>
  <c r="B18" i="799"/>
  <c r="M18" i="799" s="1"/>
  <c r="T18" i="799" s="1"/>
  <c r="B19" i="799"/>
  <c r="M19" i="799" s="1"/>
  <c r="T19" i="799" s="1"/>
  <c r="B37" i="799"/>
  <c r="M37" i="799" s="1"/>
  <c r="T37" i="799" s="1"/>
  <c r="B42" i="799"/>
  <c r="M42" i="799" s="1"/>
  <c r="T42" i="799" s="1"/>
  <c r="E12" i="799"/>
  <c r="B31" i="799"/>
  <c r="M31" i="799" s="1"/>
  <c r="T31" i="799" s="1"/>
  <c r="D12" i="799"/>
  <c r="B24" i="799"/>
  <c r="M24" i="799" s="1"/>
  <c r="T24" i="799" s="1"/>
  <c r="B30" i="799"/>
  <c r="M30" i="799" s="1"/>
  <c r="T30" i="799" s="1"/>
  <c r="B41" i="799"/>
  <c r="M41" i="799" s="1"/>
  <c r="T41" i="799" s="1"/>
  <c r="M21" i="799"/>
  <c r="T21" i="799" s="1"/>
  <c r="B23" i="799"/>
  <c r="M23" i="799" s="1"/>
  <c r="T23" i="799" s="1"/>
  <c r="B34" i="799"/>
  <c r="B40" i="799"/>
  <c r="M40" i="799" s="1"/>
  <c r="T40" i="799" s="1"/>
  <c r="B98" i="799"/>
  <c r="M98" i="799" s="1"/>
  <c r="T98" i="799" s="1"/>
  <c r="B75" i="799"/>
  <c r="M75" i="799" s="1"/>
  <c r="T75" i="799" s="1"/>
  <c r="C12" i="799"/>
  <c r="I11" i="799"/>
  <c r="G12" i="799"/>
  <c r="B79" i="799"/>
  <c r="M79" i="799" s="1"/>
  <c r="T79" i="799" s="1"/>
  <c r="B71" i="799"/>
  <c r="M71" i="799" s="1"/>
  <c r="T71" i="799" s="1"/>
  <c r="B69" i="799"/>
  <c r="M69" i="799" s="1"/>
  <c r="T69" i="799" s="1"/>
  <c r="B67" i="799"/>
  <c r="M67" i="799" s="1"/>
  <c r="T67" i="799" s="1"/>
  <c r="B65" i="799"/>
  <c r="M65" i="799" s="1"/>
  <c r="T65" i="799" s="1"/>
  <c r="B63" i="799"/>
  <c r="M63" i="799" s="1"/>
  <c r="T63" i="799" s="1"/>
  <c r="B58" i="799"/>
  <c r="M58" i="799" s="1"/>
  <c r="T58" i="799" s="1"/>
  <c r="B56" i="799"/>
  <c r="M56" i="799" s="1"/>
  <c r="T56" i="799" s="1"/>
  <c r="B54" i="799"/>
  <c r="M54" i="799" s="1"/>
  <c r="T54" i="799" s="1"/>
  <c r="B52" i="799"/>
  <c r="M52" i="799" s="1"/>
  <c r="T52" i="799" s="1"/>
  <c r="B73" i="799"/>
  <c r="M73" i="799" s="1"/>
  <c r="T73" i="799" s="1"/>
  <c r="B78" i="799"/>
  <c r="M78" i="799" s="1"/>
  <c r="T78" i="799" s="1"/>
  <c r="F12" i="799"/>
  <c r="B101" i="799"/>
  <c r="M101" i="799" s="1"/>
  <c r="T101" i="799" s="1"/>
  <c r="B26" i="799"/>
  <c r="M26" i="799" s="1"/>
  <c r="T26" i="799" s="1"/>
  <c r="M33" i="799"/>
  <c r="T33" i="799" s="1"/>
  <c r="B100" i="799"/>
  <c r="M100" i="799" s="1"/>
  <c r="T100" i="799" s="1"/>
  <c r="B51" i="799"/>
  <c r="M51" i="799" s="1"/>
  <c r="T51" i="799" s="1"/>
  <c r="B53" i="799"/>
  <c r="M53" i="799" s="1"/>
  <c r="T53" i="799" s="1"/>
  <c r="B55" i="799"/>
  <c r="M55" i="799" s="1"/>
  <c r="T55" i="799" s="1"/>
  <c r="B57" i="799"/>
  <c r="M57" i="799" s="1"/>
  <c r="T57" i="799" s="1"/>
  <c r="B59" i="799"/>
  <c r="M59" i="799" s="1"/>
  <c r="T59" i="799" s="1"/>
  <c r="B62" i="799"/>
  <c r="M62" i="799" s="1"/>
  <c r="T62" i="799" s="1"/>
  <c r="B64" i="799"/>
  <c r="M64" i="799" s="1"/>
  <c r="T64" i="799" s="1"/>
  <c r="B66" i="799"/>
  <c r="M66" i="799" s="1"/>
  <c r="T66" i="799" s="1"/>
  <c r="B68" i="799"/>
  <c r="M68" i="799" s="1"/>
  <c r="T68" i="799" s="1"/>
  <c r="B70" i="799"/>
  <c r="M70" i="799" s="1"/>
  <c r="T70" i="799" s="1"/>
  <c r="B99" i="799"/>
  <c r="M99" i="799" s="1"/>
  <c r="T99" i="799" s="1"/>
  <c r="B109" i="784"/>
  <c r="M109" i="784" s="1"/>
  <c r="T109" i="784" s="1"/>
  <c r="B108" i="784"/>
  <c r="M108" i="784" s="1"/>
  <c r="T108" i="784" s="1"/>
  <c r="C107" i="784"/>
  <c r="B107" i="784"/>
  <c r="M107" i="784" s="1"/>
  <c r="T107" i="784" s="1"/>
  <c r="B106" i="784"/>
  <c r="M106" i="784" s="1"/>
  <c r="T106" i="784" s="1"/>
  <c r="B105" i="784"/>
  <c r="M105" i="784" s="1"/>
  <c r="T105" i="784" s="1"/>
  <c r="C104" i="784"/>
  <c r="B104" i="784"/>
  <c r="M104" i="784" s="1"/>
  <c r="T104" i="784" s="1"/>
  <c r="B103" i="784"/>
  <c r="M103" i="784" s="1"/>
  <c r="T103" i="784" s="1"/>
  <c r="M102" i="784"/>
  <c r="T102" i="784" s="1"/>
  <c r="B102" i="784"/>
  <c r="C101" i="784"/>
  <c r="B101" i="784"/>
  <c r="M101" i="784" s="1"/>
  <c r="T101" i="784" s="1"/>
  <c r="B100" i="784"/>
  <c r="M100" i="784" s="1"/>
  <c r="T100" i="784" s="1"/>
  <c r="B99" i="784"/>
  <c r="M99" i="784" s="1"/>
  <c r="T99" i="784" s="1"/>
  <c r="C98" i="784"/>
  <c r="B98" i="784"/>
  <c r="M98" i="784" s="1"/>
  <c r="T98" i="784" s="1"/>
  <c r="B97" i="784"/>
  <c r="M97" i="784" s="1"/>
  <c r="T97" i="784" s="1"/>
  <c r="B96" i="784"/>
  <c r="M96" i="784" s="1"/>
  <c r="T96" i="784" s="1"/>
  <c r="C95" i="784"/>
  <c r="B95" i="784"/>
  <c r="M95" i="784" s="1"/>
  <c r="T95" i="784" s="1"/>
  <c r="B94" i="784"/>
  <c r="M94" i="784" s="1"/>
  <c r="T94" i="784" s="1"/>
  <c r="B93" i="784"/>
  <c r="M93" i="784" s="1"/>
  <c r="T93" i="784" s="1"/>
  <c r="C92" i="784"/>
  <c r="B92" i="784"/>
  <c r="M92" i="784" s="1"/>
  <c r="T92" i="784" s="1"/>
  <c r="C87" i="784"/>
  <c r="C82" i="784"/>
  <c r="C81" i="784"/>
  <c r="C80" i="784"/>
  <c r="C79" i="784"/>
  <c r="C78" i="784"/>
  <c r="C77" i="784"/>
  <c r="C76" i="784"/>
  <c r="C75" i="784"/>
  <c r="C74" i="784"/>
  <c r="C73" i="784"/>
  <c r="C72" i="784"/>
  <c r="C71" i="784"/>
  <c r="C70" i="784"/>
  <c r="C69" i="784"/>
  <c r="C68" i="784"/>
  <c r="C67" i="784"/>
  <c r="C66" i="784"/>
  <c r="C65" i="784"/>
  <c r="C64" i="784"/>
  <c r="C63" i="784"/>
  <c r="C62" i="784"/>
  <c r="C61" i="784"/>
  <c r="C60" i="784"/>
  <c r="C59" i="784"/>
  <c r="C58" i="784"/>
  <c r="F57" i="784"/>
  <c r="C57" i="784"/>
  <c r="F56" i="784"/>
  <c r="C56" i="784"/>
  <c r="C55" i="784"/>
  <c r="C54" i="784"/>
  <c r="C53" i="784"/>
  <c r="C52" i="784"/>
  <c r="C51" i="784"/>
  <c r="C50" i="784"/>
  <c r="C49" i="784"/>
  <c r="C48" i="784"/>
  <c r="C47" i="784"/>
  <c r="C46" i="784"/>
  <c r="C45" i="784"/>
  <c r="C44" i="784"/>
  <c r="C43" i="784"/>
  <c r="C42" i="784"/>
  <c r="C41" i="784"/>
  <c r="C40" i="784"/>
  <c r="C39" i="784"/>
  <c r="C38" i="784"/>
  <c r="C37" i="784"/>
  <c r="C36" i="784"/>
  <c r="C35" i="784"/>
  <c r="C34" i="784"/>
  <c r="C33" i="784"/>
  <c r="C32" i="784"/>
  <c r="C31" i="784"/>
  <c r="C30" i="784"/>
  <c r="C29" i="784"/>
  <c r="C28" i="784"/>
  <c r="C27" i="784"/>
  <c r="C26" i="784"/>
  <c r="C25" i="784"/>
  <c r="C24" i="784"/>
  <c r="C23" i="784"/>
  <c r="C22" i="784"/>
  <c r="C21" i="784"/>
  <c r="C20" i="784"/>
  <c r="C19" i="784"/>
  <c r="C18" i="784"/>
  <c r="C17" i="784"/>
  <c r="C16" i="784"/>
  <c r="C15" i="784"/>
  <c r="E12" i="784"/>
  <c r="G11" i="784"/>
  <c r="B91" i="784" s="1"/>
  <c r="M91" i="784" s="1"/>
  <c r="T91" i="784" s="1"/>
  <c r="F11" i="784"/>
  <c r="E11" i="784"/>
  <c r="D11" i="784"/>
  <c r="D12" i="784" s="1"/>
  <c r="C11" i="784"/>
  <c r="I10" i="784"/>
  <c r="I9" i="784"/>
  <c r="I8" i="784"/>
  <c r="I7" i="784"/>
  <c r="I6" i="784"/>
  <c r="I5" i="784"/>
  <c r="B42" i="784" s="1"/>
  <c r="M42" i="784" s="1"/>
  <c r="T42" i="784" s="1"/>
  <c r="B86" i="776"/>
  <c r="M86" i="776"/>
  <c r="T86" i="776" s="1"/>
  <c r="I12" i="803" l="1"/>
  <c r="I2" i="803"/>
  <c r="B106" i="802"/>
  <c r="M106" i="802" s="1"/>
  <c r="T106" i="802" s="1"/>
  <c r="I12" i="802"/>
  <c r="B104" i="802"/>
  <c r="M104" i="802" s="1"/>
  <c r="T104" i="802" s="1"/>
  <c r="B105" i="802"/>
  <c r="M105" i="802" s="1"/>
  <c r="T105" i="802" s="1"/>
  <c r="I2" i="802"/>
  <c r="B102" i="800"/>
  <c r="M102" i="800" s="1"/>
  <c r="T102" i="800" s="1"/>
  <c r="B103" i="800"/>
  <c r="M103" i="800" s="1"/>
  <c r="T103" i="800" s="1"/>
  <c r="B104" i="800"/>
  <c r="M104" i="800" s="1"/>
  <c r="T104" i="800" s="1"/>
  <c r="I12" i="800"/>
  <c r="I2" i="800"/>
  <c r="B74" i="800"/>
  <c r="M74" i="800" s="1"/>
  <c r="T74" i="800" s="1"/>
  <c r="M34" i="799"/>
  <c r="T34" i="799" s="1"/>
  <c r="B102" i="799"/>
  <c r="M102" i="799" s="1"/>
  <c r="T102" i="799" s="1"/>
  <c r="B103" i="799"/>
  <c r="M103" i="799" s="1"/>
  <c r="T103" i="799" s="1"/>
  <c r="I2" i="799"/>
  <c r="B74" i="799"/>
  <c r="M74" i="799" s="1"/>
  <c r="T74" i="799" s="1"/>
  <c r="B104" i="799"/>
  <c r="M104" i="799" s="1"/>
  <c r="T104" i="799" s="1"/>
  <c r="I12" i="799"/>
  <c r="B23" i="784"/>
  <c r="M23" i="784" s="1"/>
  <c r="T23" i="784" s="1"/>
  <c r="B29" i="784"/>
  <c r="M29" i="784" s="1"/>
  <c r="T29" i="784" s="1"/>
  <c r="B34" i="784"/>
  <c r="M34" i="784" s="1"/>
  <c r="T34" i="784" s="1"/>
  <c r="B15" i="784"/>
  <c r="M15" i="784" s="1"/>
  <c r="T15" i="784" s="1"/>
  <c r="B26" i="784"/>
  <c r="M26" i="784" s="1"/>
  <c r="T26" i="784" s="1"/>
  <c r="B31" i="784"/>
  <c r="M31" i="784" s="1"/>
  <c r="T31" i="784" s="1"/>
  <c r="B18" i="784"/>
  <c r="M18" i="784" s="1"/>
  <c r="T18" i="784" s="1"/>
  <c r="B39" i="784"/>
  <c r="M39" i="784" s="1"/>
  <c r="T39" i="784" s="1"/>
  <c r="B82" i="784"/>
  <c r="M82" i="784" s="1"/>
  <c r="T82" i="784" s="1"/>
  <c r="B80" i="784"/>
  <c r="M80" i="784" s="1"/>
  <c r="T80" i="784" s="1"/>
  <c r="B78" i="784"/>
  <c r="M78" i="784" s="1"/>
  <c r="T78" i="784" s="1"/>
  <c r="B76" i="784"/>
  <c r="M76" i="784" s="1"/>
  <c r="T76" i="784" s="1"/>
  <c r="B73" i="784"/>
  <c r="M73" i="784" s="1"/>
  <c r="T73" i="784" s="1"/>
  <c r="B70" i="784"/>
  <c r="M70" i="784" s="1"/>
  <c r="T70" i="784" s="1"/>
  <c r="B67" i="784"/>
  <c r="M67" i="784" s="1"/>
  <c r="T67" i="784" s="1"/>
  <c r="B65" i="784"/>
  <c r="M65" i="784" s="1"/>
  <c r="T65" i="784" s="1"/>
  <c r="B63" i="784"/>
  <c r="M63" i="784" s="1"/>
  <c r="T63" i="784" s="1"/>
  <c r="B61" i="784"/>
  <c r="M61" i="784" s="1"/>
  <c r="T61" i="784" s="1"/>
  <c r="B59" i="784"/>
  <c r="M59" i="784" s="1"/>
  <c r="T59" i="784" s="1"/>
  <c r="B84" i="784"/>
  <c r="M84" i="784" s="1"/>
  <c r="T84" i="784" s="1"/>
  <c r="B57" i="784"/>
  <c r="M57" i="784" s="1"/>
  <c r="T57" i="784" s="1"/>
  <c r="B54" i="784"/>
  <c r="M54" i="784" s="1"/>
  <c r="T54" i="784" s="1"/>
  <c r="B51" i="784"/>
  <c r="M51" i="784" s="1"/>
  <c r="T51" i="784" s="1"/>
  <c r="B48" i="784"/>
  <c r="M48" i="784" s="1"/>
  <c r="T48" i="784" s="1"/>
  <c r="B46" i="784"/>
  <c r="M46" i="784" s="1"/>
  <c r="T46" i="784" s="1"/>
  <c r="B40" i="784"/>
  <c r="M40" i="784" s="1"/>
  <c r="T40" i="784" s="1"/>
  <c r="B32" i="784"/>
  <c r="M32" i="784" s="1"/>
  <c r="T32" i="784" s="1"/>
  <c r="B24" i="784"/>
  <c r="M24" i="784" s="1"/>
  <c r="T24" i="784" s="1"/>
  <c r="B37" i="784"/>
  <c r="M37" i="784" s="1"/>
  <c r="T37" i="784" s="1"/>
  <c r="B21" i="784"/>
  <c r="M21" i="784" s="1"/>
  <c r="T21" i="784" s="1"/>
  <c r="B30" i="784"/>
  <c r="M30" i="784" s="1"/>
  <c r="T30" i="784" s="1"/>
  <c r="B16" i="784"/>
  <c r="M16" i="784" s="1"/>
  <c r="T16" i="784" s="1"/>
  <c r="B43" i="784"/>
  <c r="M43" i="784" s="1"/>
  <c r="T43" i="784" s="1"/>
  <c r="B35" i="784"/>
  <c r="M35" i="784" s="1"/>
  <c r="T35" i="784" s="1"/>
  <c r="B27" i="784"/>
  <c r="M27" i="784" s="1"/>
  <c r="T27" i="784" s="1"/>
  <c r="B19" i="784"/>
  <c r="M19" i="784" s="1"/>
  <c r="T19" i="784" s="1"/>
  <c r="B90" i="784"/>
  <c r="M90" i="784" s="1"/>
  <c r="T90" i="784" s="1"/>
  <c r="B113" i="784"/>
  <c r="M113" i="784" s="1"/>
  <c r="T113" i="784" s="1"/>
  <c r="F12" i="784"/>
  <c r="B74" i="784"/>
  <c r="M74" i="784" s="1"/>
  <c r="T74" i="784" s="1"/>
  <c r="B71" i="784"/>
  <c r="M71" i="784" s="1"/>
  <c r="T71" i="784" s="1"/>
  <c r="B68" i="784"/>
  <c r="M68" i="784" s="1"/>
  <c r="T68" i="784" s="1"/>
  <c r="B55" i="784"/>
  <c r="M55" i="784" s="1"/>
  <c r="T55" i="784" s="1"/>
  <c r="B52" i="784"/>
  <c r="M52" i="784" s="1"/>
  <c r="T52" i="784" s="1"/>
  <c r="B49" i="784"/>
  <c r="M49" i="784" s="1"/>
  <c r="T49" i="784" s="1"/>
  <c r="B44" i="784"/>
  <c r="M44" i="784" s="1"/>
  <c r="T44" i="784" s="1"/>
  <c r="B110" i="784"/>
  <c r="M110" i="784" s="1"/>
  <c r="T110" i="784" s="1"/>
  <c r="B87" i="784"/>
  <c r="M87" i="784" s="1"/>
  <c r="T87" i="784" s="1"/>
  <c r="B17" i="784"/>
  <c r="M17" i="784" s="1"/>
  <c r="T17" i="784" s="1"/>
  <c r="B22" i="784"/>
  <c r="M22" i="784" s="1"/>
  <c r="T22" i="784" s="1"/>
  <c r="B38" i="784"/>
  <c r="M38" i="784" s="1"/>
  <c r="T38" i="784" s="1"/>
  <c r="B88" i="784"/>
  <c r="M88" i="784" s="1"/>
  <c r="T88" i="784" s="1"/>
  <c r="B111" i="784"/>
  <c r="M111" i="784" s="1"/>
  <c r="T111" i="784" s="1"/>
  <c r="I11" i="784"/>
  <c r="B25" i="784"/>
  <c r="M25" i="784" s="1"/>
  <c r="T25" i="784" s="1"/>
  <c r="B33" i="784"/>
  <c r="M33" i="784" s="1"/>
  <c r="T33" i="784" s="1"/>
  <c r="B41" i="784"/>
  <c r="M41" i="784" s="1"/>
  <c r="T41" i="784" s="1"/>
  <c r="B83" i="784"/>
  <c r="M83" i="784" s="1"/>
  <c r="T83" i="784" s="1"/>
  <c r="B81" i="784"/>
  <c r="M81" i="784" s="1"/>
  <c r="T81" i="784" s="1"/>
  <c r="B79" i="784"/>
  <c r="M79" i="784" s="1"/>
  <c r="T79" i="784" s="1"/>
  <c r="B77" i="784"/>
  <c r="M77" i="784" s="1"/>
  <c r="T77" i="784" s="1"/>
  <c r="B75" i="784"/>
  <c r="M75" i="784" s="1"/>
  <c r="T75" i="784" s="1"/>
  <c r="B72" i="784"/>
  <c r="M72" i="784" s="1"/>
  <c r="T72" i="784" s="1"/>
  <c r="B69" i="784"/>
  <c r="M69" i="784" s="1"/>
  <c r="T69" i="784" s="1"/>
  <c r="B66" i="784"/>
  <c r="M66" i="784" s="1"/>
  <c r="T66" i="784" s="1"/>
  <c r="B64" i="784"/>
  <c r="M64" i="784" s="1"/>
  <c r="T64" i="784" s="1"/>
  <c r="B62" i="784"/>
  <c r="M62" i="784" s="1"/>
  <c r="T62" i="784" s="1"/>
  <c r="B60" i="784"/>
  <c r="M60" i="784" s="1"/>
  <c r="T60" i="784" s="1"/>
  <c r="B58" i="784"/>
  <c r="M58" i="784" s="1"/>
  <c r="T58" i="784" s="1"/>
  <c r="B56" i="784"/>
  <c r="M56" i="784" s="1"/>
  <c r="T56" i="784" s="1"/>
  <c r="B53" i="784"/>
  <c r="M53" i="784" s="1"/>
  <c r="T53" i="784" s="1"/>
  <c r="B50" i="784"/>
  <c r="M50" i="784" s="1"/>
  <c r="T50" i="784" s="1"/>
  <c r="B47" i="784"/>
  <c r="M47" i="784" s="1"/>
  <c r="T47" i="784" s="1"/>
  <c r="B45" i="784"/>
  <c r="M45" i="784" s="1"/>
  <c r="T45" i="784" s="1"/>
  <c r="B89" i="784"/>
  <c r="M89" i="784" s="1"/>
  <c r="T89" i="784" s="1"/>
  <c r="B112" i="784"/>
  <c r="M112" i="784" s="1"/>
  <c r="T112" i="784" s="1"/>
  <c r="C12" i="784"/>
  <c r="G12" i="784"/>
  <c r="B20" i="784"/>
  <c r="M20" i="784" s="1"/>
  <c r="T20" i="784" s="1"/>
  <c r="B28" i="784"/>
  <c r="M28" i="784" s="1"/>
  <c r="T28" i="784" s="1"/>
  <c r="B36" i="784"/>
  <c r="M36" i="784" s="1"/>
  <c r="T36" i="784" s="1"/>
  <c r="C25" i="776"/>
  <c r="C24" i="776"/>
  <c r="C23" i="776"/>
  <c r="M38" i="782"/>
  <c r="M37" i="782"/>
  <c r="B114" i="784" l="1"/>
  <c r="M114" i="784" s="1"/>
  <c r="T114" i="784" s="1"/>
  <c r="B115" i="784"/>
  <c r="M115" i="784" s="1"/>
  <c r="T115" i="784" s="1"/>
  <c r="B116" i="784"/>
  <c r="M116" i="784" s="1"/>
  <c r="T116" i="784" s="1"/>
  <c r="B85" i="784"/>
  <c r="M85" i="784" s="1"/>
  <c r="T85" i="784" s="1"/>
  <c r="B86" i="784"/>
  <c r="M86" i="784" s="1"/>
  <c r="T86" i="784" s="1"/>
  <c r="I2" i="784"/>
  <c r="I12" i="784"/>
  <c r="M38" i="781"/>
  <c r="M37" i="781"/>
  <c r="M42" i="780"/>
  <c r="M41" i="780"/>
  <c r="B93" i="782" l="1"/>
  <c r="M93" i="782" s="1"/>
  <c r="T93" i="782" s="1"/>
  <c r="B92" i="782"/>
  <c r="M92" i="782" s="1"/>
  <c r="T92" i="782" s="1"/>
  <c r="B89" i="782"/>
  <c r="M89" i="782" s="1"/>
  <c r="T89" i="782" s="1"/>
  <c r="B88" i="782"/>
  <c r="M88" i="782" s="1"/>
  <c r="T88" i="782" s="1"/>
  <c r="B87" i="782"/>
  <c r="M87" i="782" s="1"/>
  <c r="T87" i="782" s="1"/>
  <c r="M86" i="782"/>
  <c r="T86" i="782" s="1"/>
  <c r="B86" i="782"/>
  <c r="M85" i="782"/>
  <c r="T85" i="782" s="1"/>
  <c r="C85" i="782"/>
  <c r="B85" i="782"/>
  <c r="B84" i="782"/>
  <c r="M84" i="782" s="1"/>
  <c r="T84" i="782" s="1"/>
  <c r="B83" i="782"/>
  <c r="M83" i="782" s="1"/>
  <c r="T83" i="782" s="1"/>
  <c r="B82" i="782"/>
  <c r="M82" i="782" s="1"/>
  <c r="T82" i="782" s="1"/>
  <c r="B81" i="782"/>
  <c r="M81" i="782" s="1"/>
  <c r="T81" i="782" s="1"/>
  <c r="M80" i="782"/>
  <c r="T80" i="782" s="1"/>
  <c r="C80" i="782"/>
  <c r="B80" i="782"/>
  <c r="B79" i="782"/>
  <c r="M79" i="782" s="1"/>
  <c r="T79" i="782" s="1"/>
  <c r="M78" i="782"/>
  <c r="T78" i="782" s="1"/>
  <c r="M77" i="782"/>
  <c r="T77" i="782" s="1"/>
  <c r="B77" i="782"/>
  <c r="B76" i="782"/>
  <c r="M76" i="782" s="1"/>
  <c r="T76" i="782" s="1"/>
  <c r="C75" i="782"/>
  <c r="B75" i="782"/>
  <c r="M75" i="782" s="1"/>
  <c r="T75" i="782" s="1"/>
  <c r="B74" i="782"/>
  <c r="M74" i="782" s="1"/>
  <c r="T74" i="782" s="1"/>
  <c r="B73" i="782"/>
  <c r="M73" i="782" s="1"/>
  <c r="T73" i="782" s="1"/>
  <c r="B72" i="782"/>
  <c r="M72" i="782" s="1"/>
  <c r="T72" i="782" s="1"/>
  <c r="B71" i="782"/>
  <c r="M71" i="782" s="1"/>
  <c r="T71" i="782" s="1"/>
  <c r="C70" i="782"/>
  <c r="B70" i="782"/>
  <c r="M70" i="782" s="1"/>
  <c r="T70" i="782" s="1"/>
  <c r="T68" i="782"/>
  <c r="B68" i="782"/>
  <c r="M68" i="782" s="1"/>
  <c r="M67" i="782"/>
  <c r="T67" i="782" s="1"/>
  <c r="C65" i="782"/>
  <c r="C64" i="782"/>
  <c r="B64" i="782"/>
  <c r="M64" i="782" s="1"/>
  <c r="T64" i="782" s="1"/>
  <c r="C63" i="782"/>
  <c r="C62" i="782"/>
  <c r="B62" i="782"/>
  <c r="M62" i="782" s="1"/>
  <c r="T62" i="782" s="1"/>
  <c r="C61" i="782"/>
  <c r="C60" i="782"/>
  <c r="B60" i="782"/>
  <c r="M60" i="782" s="1"/>
  <c r="T60" i="782" s="1"/>
  <c r="C59" i="782"/>
  <c r="C58" i="782"/>
  <c r="B58" i="782"/>
  <c r="M58" i="782" s="1"/>
  <c r="T58" i="782" s="1"/>
  <c r="C57" i="782"/>
  <c r="C56" i="782"/>
  <c r="B56" i="782"/>
  <c r="M56" i="782" s="1"/>
  <c r="T56" i="782" s="1"/>
  <c r="C55" i="782"/>
  <c r="C54" i="782"/>
  <c r="B54" i="782"/>
  <c r="M54" i="782" s="1"/>
  <c r="T54" i="782" s="1"/>
  <c r="C53" i="782"/>
  <c r="C52" i="782"/>
  <c r="B52" i="782"/>
  <c r="M52" i="782" s="1"/>
  <c r="T52" i="782" s="1"/>
  <c r="C51" i="782"/>
  <c r="C50" i="782"/>
  <c r="B50" i="782"/>
  <c r="M50" i="782" s="1"/>
  <c r="T50" i="782" s="1"/>
  <c r="C49" i="782"/>
  <c r="C48" i="782"/>
  <c r="B48" i="782"/>
  <c r="M48" i="782" s="1"/>
  <c r="T48" i="782" s="1"/>
  <c r="C47" i="782"/>
  <c r="C46" i="782"/>
  <c r="B46" i="782"/>
  <c r="M46" i="782" s="1"/>
  <c r="T46" i="782" s="1"/>
  <c r="C45" i="782"/>
  <c r="C44" i="782"/>
  <c r="B44" i="782"/>
  <c r="M44" i="782" s="1"/>
  <c r="T44" i="782" s="1"/>
  <c r="C43" i="782"/>
  <c r="C42" i="782"/>
  <c r="B42" i="782"/>
  <c r="M42" i="782" s="1"/>
  <c r="T42" i="782" s="1"/>
  <c r="C41" i="782"/>
  <c r="T40" i="782"/>
  <c r="C40" i="782"/>
  <c r="B40" i="782"/>
  <c r="T39" i="782"/>
  <c r="C39" i="782"/>
  <c r="T38" i="782"/>
  <c r="F38" i="782"/>
  <c r="C38" i="782"/>
  <c r="B38" i="782"/>
  <c r="F37" i="782"/>
  <c r="C37" i="782"/>
  <c r="F36" i="782"/>
  <c r="C36" i="782"/>
  <c r="F35" i="782"/>
  <c r="C35" i="782"/>
  <c r="M34" i="782"/>
  <c r="T34" i="782" s="1"/>
  <c r="F34" i="782"/>
  <c r="C34" i="782"/>
  <c r="B34" i="782"/>
  <c r="F33" i="782"/>
  <c r="C33" i="782"/>
  <c r="C32" i="782"/>
  <c r="B32" i="782"/>
  <c r="M32" i="782" s="1"/>
  <c r="T32" i="782" s="1"/>
  <c r="C31" i="782"/>
  <c r="C30" i="782"/>
  <c r="B30" i="782"/>
  <c r="M30" i="782" s="1"/>
  <c r="T30" i="782" s="1"/>
  <c r="C29" i="782"/>
  <c r="C28" i="782"/>
  <c r="B28" i="782"/>
  <c r="M28" i="782" s="1"/>
  <c r="T28" i="782" s="1"/>
  <c r="C27" i="782"/>
  <c r="C26" i="782"/>
  <c r="B26" i="782"/>
  <c r="M26" i="782" s="1"/>
  <c r="T26" i="782" s="1"/>
  <c r="C25" i="782"/>
  <c r="C24" i="782"/>
  <c r="B24" i="782"/>
  <c r="M24" i="782" s="1"/>
  <c r="T24" i="782" s="1"/>
  <c r="C23" i="782"/>
  <c r="C22" i="782"/>
  <c r="B22" i="782"/>
  <c r="M22" i="782" s="1"/>
  <c r="T22" i="782" s="1"/>
  <c r="C21" i="782"/>
  <c r="C20" i="782"/>
  <c r="B20" i="782"/>
  <c r="M20" i="782" s="1"/>
  <c r="T20" i="782" s="1"/>
  <c r="C19" i="782"/>
  <c r="C18" i="782"/>
  <c r="B18" i="782"/>
  <c r="M18" i="782" s="1"/>
  <c r="T18" i="782" s="1"/>
  <c r="C17" i="782"/>
  <c r="C16" i="782"/>
  <c r="B16" i="782"/>
  <c r="M16" i="782" s="1"/>
  <c r="T16" i="782" s="1"/>
  <c r="C15" i="782"/>
  <c r="F12" i="782"/>
  <c r="E12" i="782"/>
  <c r="G11" i="782"/>
  <c r="F11" i="782"/>
  <c r="E11" i="782"/>
  <c r="B67" i="782" s="1"/>
  <c r="D11" i="782"/>
  <c r="C11" i="782"/>
  <c r="I10" i="782"/>
  <c r="I9" i="782"/>
  <c r="I8" i="782"/>
  <c r="I7" i="782"/>
  <c r="I6" i="782"/>
  <c r="B36" i="782" s="1"/>
  <c r="M36" i="782" s="1"/>
  <c r="T36" i="782" s="1"/>
  <c r="I5" i="782"/>
  <c r="B39" i="782" s="1"/>
  <c r="T40" i="781"/>
  <c r="C40" i="781"/>
  <c r="B40" i="781"/>
  <c r="T39" i="781"/>
  <c r="C39" i="781"/>
  <c r="B89" i="781"/>
  <c r="M89" i="781" s="1"/>
  <c r="T89" i="781" s="1"/>
  <c r="B88" i="781"/>
  <c r="M88" i="781" s="1"/>
  <c r="T88" i="781" s="1"/>
  <c r="B87" i="781"/>
  <c r="M87" i="781" s="1"/>
  <c r="T87" i="781" s="1"/>
  <c r="B86" i="781"/>
  <c r="M86" i="781" s="1"/>
  <c r="T86" i="781" s="1"/>
  <c r="C85" i="781"/>
  <c r="B85" i="781"/>
  <c r="M85" i="781" s="1"/>
  <c r="T85" i="781" s="1"/>
  <c r="B84" i="781"/>
  <c r="M84" i="781" s="1"/>
  <c r="T84" i="781" s="1"/>
  <c r="B83" i="781"/>
  <c r="M83" i="781" s="1"/>
  <c r="T83" i="781" s="1"/>
  <c r="B82" i="781"/>
  <c r="M82" i="781" s="1"/>
  <c r="T82" i="781" s="1"/>
  <c r="B81" i="781"/>
  <c r="M81" i="781" s="1"/>
  <c r="T81" i="781" s="1"/>
  <c r="C80" i="781"/>
  <c r="B80" i="781"/>
  <c r="M80" i="781" s="1"/>
  <c r="T80" i="781" s="1"/>
  <c r="B79" i="781"/>
  <c r="M79" i="781" s="1"/>
  <c r="T79" i="781" s="1"/>
  <c r="M78" i="781"/>
  <c r="T78" i="781" s="1"/>
  <c r="B77" i="781"/>
  <c r="M77" i="781" s="1"/>
  <c r="T77" i="781" s="1"/>
  <c r="B76" i="781"/>
  <c r="M76" i="781" s="1"/>
  <c r="T76" i="781" s="1"/>
  <c r="C75" i="781"/>
  <c r="B75" i="781"/>
  <c r="M75" i="781" s="1"/>
  <c r="T75" i="781" s="1"/>
  <c r="B74" i="781"/>
  <c r="M74" i="781" s="1"/>
  <c r="T74" i="781" s="1"/>
  <c r="B73" i="781"/>
  <c r="M73" i="781" s="1"/>
  <c r="T73" i="781" s="1"/>
  <c r="B72" i="781"/>
  <c r="M72" i="781" s="1"/>
  <c r="T72" i="781" s="1"/>
  <c r="B71" i="781"/>
  <c r="M71" i="781" s="1"/>
  <c r="T71" i="781" s="1"/>
  <c r="C70" i="781"/>
  <c r="B70" i="781"/>
  <c r="M70" i="781" s="1"/>
  <c r="T70" i="781" s="1"/>
  <c r="C65" i="781"/>
  <c r="C64" i="781"/>
  <c r="C63" i="781"/>
  <c r="C62" i="781"/>
  <c r="C61" i="781"/>
  <c r="C60" i="781"/>
  <c r="C59" i="781"/>
  <c r="C58" i="781"/>
  <c r="C57" i="781"/>
  <c r="C56" i="781"/>
  <c r="C55" i="781"/>
  <c r="C54" i="781"/>
  <c r="C53" i="781"/>
  <c r="C52" i="781"/>
  <c r="C51" i="781"/>
  <c r="C50" i="781"/>
  <c r="C49" i="781"/>
  <c r="C48" i="781"/>
  <c r="C47" i="781"/>
  <c r="C46" i="781"/>
  <c r="C45" i="781"/>
  <c r="C44" i="781"/>
  <c r="C43" i="781"/>
  <c r="C42" i="781"/>
  <c r="C41" i="781"/>
  <c r="F38" i="781"/>
  <c r="C38" i="781"/>
  <c r="F37" i="781"/>
  <c r="C37" i="781"/>
  <c r="F36" i="781"/>
  <c r="C36" i="781"/>
  <c r="F35" i="781"/>
  <c r="C35" i="781"/>
  <c r="F34" i="781"/>
  <c r="C34" i="781"/>
  <c r="F33" i="781"/>
  <c r="C33" i="781"/>
  <c r="C32" i="781"/>
  <c r="C31" i="781"/>
  <c r="C30" i="781"/>
  <c r="C29" i="781"/>
  <c r="C28" i="781"/>
  <c r="C27" i="781"/>
  <c r="C26" i="781"/>
  <c r="C25" i="781"/>
  <c r="C24" i="781"/>
  <c r="C23" i="781"/>
  <c r="C22" i="781"/>
  <c r="C21" i="781"/>
  <c r="C20" i="781"/>
  <c r="C19" i="781"/>
  <c r="C18" i="781"/>
  <c r="C17" i="781"/>
  <c r="C16" i="781"/>
  <c r="C15" i="781"/>
  <c r="G11" i="781"/>
  <c r="G12" i="781" s="1"/>
  <c r="F11" i="781"/>
  <c r="B68" i="781" s="1"/>
  <c r="M68" i="781" s="1"/>
  <c r="T68" i="781" s="1"/>
  <c r="E11" i="781"/>
  <c r="B67" i="781" s="1"/>
  <c r="M67" i="781" s="1"/>
  <c r="T67" i="781" s="1"/>
  <c r="D11" i="781"/>
  <c r="D12" i="781" s="1"/>
  <c r="C11" i="781"/>
  <c r="B90" i="781" s="1"/>
  <c r="M90" i="781" s="1"/>
  <c r="T90" i="781" s="1"/>
  <c r="I10" i="781"/>
  <c r="I9" i="781"/>
  <c r="I8" i="781"/>
  <c r="I7" i="781"/>
  <c r="I6" i="781"/>
  <c r="B38" i="781" s="1"/>
  <c r="T38" i="781" s="1"/>
  <c r="I5" i="781"/>
  <c r="B37" i="781" s="1"/>
  <c r="T37" i="781" s="1"/>
  <c r="F36" i="780"/>
  <c r="C36" i="780"/>
  <c r="F35" i="780"/>
  <c r="C35" i="780"/>
  <c r="F40" i="780"/>
  <c r="C40" i="780"/>
  <c r="F39" i="780"/>
  <c r="C39" i="780"/>
  <c r="B93" i="780"/>
  <c r="M93" i="780" s="1"/>
  <c r="T93" i="780" s="1"/>
  <c r="B92" i="780"/>
  <c r="M92" i="780" s="1"/>
  <c r="T92" i="780" s="1"/>
  <c r="B91" i="780"/>
  <c r="M91" i="780" s="1"/>
  <c r="T91" i="780" s="1"/>
  <c r="B90" i="780"/>
  <c r="M90" i="780" s="1"/>
  <c r="T90" i="780" s="1"/>
  <c r="M89" i="780"/>
  <c r="T89" i="780" s="1"/>
  <c r="C89" i="780"/>
  <c r="B89" i="780"/>
  <c r="B88" i="780"/>
  <c r="M88" i="780" s="1"/>
  <c r="T88" i="780" s="1"/>
  <c r="B87" i="780"/>
  <c r="M87" i="780" s="1"/>
  <c r="T87" i="780" s="1"/>
  <c r="B86" i="780"/>
  <c r="M86" i="780" s="1"/>
  <c r="T86" i="780" s="1"/>
  <c r="B85" i="780"/>
  <c r="M85" i="780" s="1"/>
  <c r="T85" i="780" s="1"/>
  <c r="C84" i="780"/>
  <c r="B84" i="780"/>
  <c r="M84" i="780" s="1"/>
  <c r="T84" i="780" s="1"/>
  <c r="B83" i="780"/>
  <c r="M83" i="780" s="1"/>
  <c r="T83" i="780" s="1"/>
  <c r="M82" i="780"/>
  <c r="T82" i="780" s="1"/>
  <c r="B81" i="780"/>
  <c r="M81" i="780" s="1"/>
  <c r="T81" i="780" s="1"/>
  <c r="B80" i="780"/>
  <c r="M80" i="780" s="1"/>
  <c r="T80" i="780" s="1"/>
  <c r="C79" i="780"/>
  <c r="B79" i="780"/>
  <c r="M79" i="780" s="1"/>
  <c r="T79" i="780" s="1"/>
  <c r="B78" i="780"/>
  <c r="M78" i="780" s="1"/>
  <c r="T78" i="780" s="1"/>
  <c r="B77" i="780"/>
  <c r="M77" i="780" s="1"/>
  <c r="T77" i="780" s="1"/>
  <c r="B76" i="780"/>
  <c r="M76" i="780" s="1"/>
  <c r="T76" i="780" s="1"/>
  <c r="B75" i="780"/>
  <c r="M75" i="780" s="1"/>
  <c r="T75" i="780" s="1"/>
  <c r="C74" i="780"/>
  <c r="B74" i="780"/>
  <c r="M74" i="780" s="1"/>
  <c r="T74" i="780" s="1"/>
  <c r="C69" i="780"/>
  <c r="C68" i="780"/>
  <c r="C67" i="780"/>
  <c r="C66" i="780"/>
  <c r="C65" i="780"/>
  <c r="C64" i="780"/>
  <c r="C63" i="780"/>
  <c r="C62" i="780"/>
  <c r="C61" i="780"/>
  <c r="C60" i="780"/>
  <c r="C59" i="780"/>
  <c r="C58" i="780"/>
  <c r="C57" i="780"/>
  <c r="C56" i="780"/>
  <c r="C55" i="780"/>
  <c r="C54" i="780"/>
  <c r="C53" i="780"/>
  <c r="C52" i="780"/>
  <c r="C51" i="780"/>
  <c r="C50" i="780"/>
  <c r="C49" i="780"/>
  <c r="C48" i="780"/>
  <c r="C47" i="780"/>
  <c r="C46" i="780"/>
  <c r="C45" i="780"/>
  <c r="F44" i="780"/>
  <c r="C44" i="780"/>
  <c r="F43" i="780"/>
  <c r="C43" i="780"/>
  <c r="C42" i="780"/>
  <c r="C41" i="780"/>
  <c r="F38" i="780"/>
  <c r="C38" i="780"/>
  <c r="F37" i="780"/>
  <c r="C37" i="780"/>
  <c r="F34" i="780"/>
  <c r="C34" i="780"/>
  <c r="F33" i="780"/>
  <c r="C33" i="780"/>
  <c r="C32" i="780"/>
  <c r="C31" i="780"/>
  <c r="C30" i="780"/>
  <c r="C29" i="780"/>
  <c r="C28" i="780"/>
  <c r="C27" i="780"/>
  <c r="C26" i="780"/>
  <c r="C25" i="780"/>
  <c r="C24" i="780"/>
  <c r="C23" i="780"/>
  <c r="C22" i="780"/>
  <c r="C21" i="780"/>
  <c r="C20" i="780"/>
  <c r="C19" i="780"/>
  <c r="C18" i="780"/>
  <c r="C17" i="780"/>
  <c r="C16" i="780"/>
  <c r="C15" i="780"/>
  <c r="G11" i="780"/>
  <c r="F11" i="780"/>
  <c r="B72" i="780" s="1"/>
  <c r="M72" i="780" s="1"/>
  <c r="T72" i="780" s="1"/>
  <c r="E11" i="780"/>
  <c r="B71" i="780" s="1"/>
  <c r="M71" i="780" s="1"/>
  <c r="T71" i="780" s="1"/>
  <c r="D11" i="780"/>
  <c r="D12" i="780" s="1"/>
  <c r="C11" i="780"/>
  <c r="I10" i="780"/>
  <c r="I9" i="780"/>
  <c r="I8" i="780"/>
  <c r="I7" i="780"/>
  <c r="I6" i="780"/>
  <c r="B44" i="780" s="1"/>
  <c r="M44" i="780" s="1"/>
  <c r="T44" i="780" s="1"/>
  <c r="I5" i="780"/>
  <c r="B43" i="780" s="1"/>
  <c r="M43" i="780" s="1"/>
  <c r="T43" i="780" s="1"/>
  <c r="C70" i="779"/>
  <c r="B70" i="779"/>
  <c r="M70" i="779" s="1"/>
  <c r="T70" i="779" s="1"/>
  <c r="C69" i="779"/>
  <c r="C68" i="779"/>
  <c r="B102" i="779"/>
  <c r="M102" i="779" s="1"/>
  <c r="T102" i="779" s="1"/>
  <c r="B101" i="779"/>
  <c r="M101" i="779" s="1"/>
  <c r="T101" i="779" s="1"/>
  <c r="T100" i="779"/>
  <c r="C100" i="779"/>
  <c r="B100" i="779"/>
  <c r="M100" i="779" s="1"/>
  <c r="B99" i="779"/>
  <c r="M99" i="779" s="1"/>
  <c r="T99" i="779" s="1"/>
  <c r="B98" i="779"/>
  <c r="M98" i="779" s="1"/>
  <c r="T98" i="779" s="1"/>
  <c r="C97" i="779"/>
  <c r="B97" i="779"/>
  <c r="M97" i="779" s="1"/>
  <c r="T97" i="779" s="1"/>
  <c r="B96" i="779"/>
  <c r="M96" i="779" s="1"/>
  <c r="T96" i="779" s="1"/>
  <c r="B95" i="779"/>
  <c r="M95" i="779" s="1"/>
  <c r="T95" i="779" s="1"/>
  <c r="C94" i="779"/>
  <c r="B94" i="779"/>
  <c r="M94" i="779" s="1"/>
  <c r="T94" i="779" s="1"/>
  <c r="B93" i="779"/>
  <c r="M93" i="779" s="1"/>
  <c r="T93" i="779" s="1"/>
  <c r="M92" i="779"/>
  <c r="T92" i="779" s="1"/>
  <c r="B92" i="779"/>
  <c r="C91" i="779"/>
  <c r="B91" i="779"/>
  <c r="M91" i="779" s="1"/>
  <c r="T91" i="779" s="1"/>
  <c r="B90" i="779"/>
  <c r="M90" i="779" s="1"/>
  <c r="T90" i="779" s="1"/>
  <c r="B89" i="779"/>
  <c r="M89" i="779" s="1"/>
  <c r="T89" i="779" s="1"/>
  <c r="C88" i="779"/>
  <c r="B88" i="779"/>
  <c r="M88" i="779" s="1"/>
  <c r="T88" i="779" s="1"/>
  <c r="B87" i="779"/>
  <c r="M87" i="779" s="1"/>
  <c r="T87" i="779" s="1"/>
  <c r="B86" i="779"/>
  <c r="M86" i="779" s="1"/>
  <c r="T86" i="779" s="1"/>
  <c r="M85" i="779"/>
  <c r="T85" i="779" s="1"/>
  <c r="C85" i="779"/>
  <c r="B85" i="779"/>
  <c r="C80" i="779"/>
  <c r="C79" i="779"/>
  <c r="C78" i="779"/>
  <c r="C77" i="779"/>
  <c r="C76" i="779"/>
  <c r="C75" i="779"/>
  <c r="C74" i="779"/>
  <c r="C73" i="779"/>
  <c r="C72" i="779"/>
  <c r="C71" i="779"/>
  <c r="C67" i="779"/>
  <c r="C66" i="779"/>
  <c r="C65" i="779"/>
  <c r="C64" i="779"/>
  <c r="C63" i="779"/>
  <c r="C62" i="779"/>
  <c r="C61" i="779"/>
  <c r="C60" i="779"/>
  <c r="C59" i="779"/>
  <c r="C58" i="779"/>
  <c r="C57" i="779"/>
  <c r="C56" i="779"/>
  <c r="C55" i="779"/>
  <c r="C54" i="779"/>
  <c r="C53" i="779"/>
  <c r="F52" i="779"/>
  <c r="C52" i="779"/>
  <c r="F51" i="779"/>
  <c r="C51" i="779"/>
  <c r="F50" i="779"/>
  <c r="C50" i="779"/>
  <c r="F49" i="779"/>
  <c r="C49" i="779"/>
  <c r="F48" i="779"/>
  <c r="C48" i="779"/>
  <c r="F47" i="779"/>
  <c r="C47" i="779"/>
  <c r="F46" i="779"/>
  <c r="C46" i="779"/>
  <c r="B46" i="779"/>
  <c r="M46" i="779" s="1"/>
  <c r="T46" i="779" s="1"/>
  <c r="F45" i="779"/>
  <c r="C45" i="779"/>
  <c r="F44" i="779"/>
  <c r="C44" i="779"/>
  <c r="C43" i="779"/>
  <c r="C42" i="779"/>
  <c r="C41" i="779"/>
  <c r="C40" i="779"/>
  <c r="C39" i="779"/>
  <c r="C38" i="779"/>
  <c r="C37" i="779"/>
  <c r="C36" i="779"/>
  <c r="C35" i="779"/>
  <c r="C34" i="779"/>
  <c r="C33" i="779"/>
  <c r="C32" i="779"/>
  <c r="C31" i="779"/>
  <c r="C30" i="779"/>
  <c r="C29" i="779"/>
  <c r="C28" i="779"/>
  <c r="C27" i="779"/>
  <c r="C26" i="779"/>
  <c r="C25" i="779"/>
  <c r="C24" i="779"/>
  <c r="C23" i="779"/>
  <c r="C22" i="779"/>
  <c r="C21" i="779"/>
  <c r="C20" i="779"/>
  <c r="C19" i="779"/>
  <c r="C18" i="779"/>
  <c r="C17" i="779"/>
  <c r="C16" i="779"/>
  <c r="C15" i="779"/>
  <c r="G11" i="779"/>
  <c r="G12" i="779" s="1"/>
  <c r="F11" i="779"/>
  <c r="F12" i="779" s="1"/>
  <c r="E11" i="779"/>
  <c r="D11" i="779"/>
  <c r="B81" i="779" s="1"/>
  <c r="M81" i="779" s="1"/>
  <c r="T81" i="779" s="1"/>
  <c r="C11" i="779"/>
  <c r="B103" i="779" s="1"/>
  <c r="M103" i="779" s="1"/>
  <c r="T103" i="779" s="1"/>
  <c r="I10" i="779"/>
  <c r="I9" i="779"/>
  <c r="I8" i="779"/>
  <c r="I7" i="779"/>
  <c r="B79" i="779" s="1"/>
  <c r="M79" i="779" s="1"/>
  <c r="T79" i="779" s="1"/>
  <c r="I6" i="779"/>
  <c r="B69" i="779" s="1"/>
  <c r="M69" i="779" s="1"/>
  <c r="T69" i="779" s="1"/>
  <c r="I5" i="779"/>
  <c r="B50" i="779" s="1"/>
  <c r="M50" i="779" s="1"/>
  <c r="T50" i="779" s="1"/>
  <c r="B68" i="779" l="1"/>
  <c r="M68" i="779" s="1"/>
  <c r="T68" i="779" s="1"/>
  <c r="B41" i="782"/>
  <c r="M41" i="782" s="1"/>
  <c r="T41" i="782" s="1"/>
  <c r="B43" i="782"/>
  <c r="M43" i="782" s="1"/>
  <c r="T43" i="782" s="1"/>
  <c r="B45" i="782"/>
  <c r="M45" i="782" s="1"/>
  <c r="T45" i="782" s="1"/>
  <c r="B47" i="782"/>
  <c r="M47" i="782" s="1"/>
  <c r="T47" i="782" s="1"/>
  <c r="B49" i="782"/>
  <c r="M49" i="782" s="1"/>
  <c r="T49" i="782" s="1"/>
  <c r="B51" i="782"/>
  <c r="M51" i="782" s="1"/>
  <c r="T51" i="782" s="1"/>
  <c r="B53" i="782"/>
  <c r="M53" i="782" s="1"/>
  <c r="T53" i="782" s="1"/>
  <c r="B55" i="782"/>
  <c r="M55" i="782" s="1"/>
  <c r="T55" i="782" s="1"/>
  <c r="B57" i="782"/>
  <c r="M57" i="782" s="1"/>
  <c r="T57" i="782" s="1"/>
  <c r="B59" i="782"/>
  <c r="M59" i="782" s="1"/>
  <c r="T59" i="782" s="1"/>
  <c r="B61" i="782"/>
  <c r="M61" i="782" s="1"/>
  <c r="T61" i="782" s="1"/>
  <c r="B63" i="782"/>
  <c r="M63" i="782" s="1"/>
  <c r="T63" i="782" s="1"/>
  <c r="B15" i="782"/>
  <c r="M15" i="782" s="1"/>
  <c r="T15" i="782" s="1"/>
  <c r="B17" i="782"/>
  <c r="M17" i="782" s="1"/>
  <c r="T17" i="782" s="1"/>
  <c r="B19" i="782"/>
  <c r="M19" i="782" s="1"/>
  <c r="T19" i="782" s="1"/>
  <c r="B21" i="782"/>
  <c r="M21" i="782" s="1"/>
  <c r="T21" i="782" s="1"/>
  <c r="B23" i="782"/>
  <c r="M23" i="782" s="1"/>
  <c r="T23" i="782" s="1"/>
  <c r="B25" i="782"/>
  <c r="M25" i="782" s="1"/>
  <c r="T25" i="782" s="1"/>
  <c r="B27" i="782"/>
  <c r="M27" i="782" s="1"/>
  <c r="T27" i="782" s="1"/>
  <c r="B29" i="782"/>
  <c r="M29" i="782" s="1"/>
  <c r="T29" i="782" s="1"/>
  <c r="B31" i="782"/>
  <c r="M31" i="782" s="1"/>
  <c r="T31" i="782" s="1"/>
  <c r="B33" i="782"/>
  <c r="M33" i="782" s="1"/>
  <c r="T33" i="782" s="1"/>
  <c r="B37" i="782"/>
  <c r="T37" i="782" s="1"/>
  <c r="B90" i="782"/>
  <c r="M90" i="782" s="1"/>
  <c r="T90" i="782" s="1"/>
  <c r="C12" i="782"/>
  <c r="G12" i="782"/>
  <c r="B69" i="782"/>
  <c r="M69" i="782" s="1"/>
  <c r="T69" i="782" s="1"/>
  <c r="B65" i="782"/>
  <c r="M65" i="782" s="1"/>
  <c r="T65" i="782" s="1"/>
  <c r="D12" i="782"/>
  <c r="B91" i="782"/>
  <c r="M91" i="782" s="1"/>
  <c r="T91" i="782" s="1"/>
  <c r="I11" i="782"/>
  <c r="B66" i="782"/>
  <c r="M66" i="782" s="1"/>
  <c r="T66" i="782" s="1"/>
  <c r="B35" i="782"/>
  <c r="M35" i="782" s="1"/>
  <c r="T35" i="782" s="1"/>
  <c r="B39" i="781"/>
  <c r="F12" i="781"/>
  <c r="B66" i="781"/>
  <c r="M66" i="781" s="1"/>
  <c r="T66" i="781" s="1"/>
  <c r="B93" i="781"/>
  <c r="M93" i="781" s="1"/>
  <c r="T93" i="781" s="1"/>
  <c r="B41" i="781"/>
  <c r="M41" i="781" s="1"/>
  <c r="T41" i="781" s="1"/>
  <c r="B45" i="781"/>
  <c r="M45" i="781" s="1"/>
  <c r="T45" i="781" s="1"/>
  <c r="B47" i="781"/>
  <c r="M47" i="781" s="1"/>
  <c r="T47" i="781" s="1"/>
  <c r="B49" i="781"/>
  <c r="M49" i="781" s="1"/>
  <c r="T49" i="781" s="1"/>
  <c r="B51" i="781"/>
  <c r="M51" i="781" s="1"/>
  <c r="T51" i="781" s="1"/>
  <c r="B53" i="781"/>
  <c r="M53" i="781" s="1"/>
  <c r="T53" i="781" s="1"/>
  <c r="B55" i="781"/>
  <c r="M55" i="781" s="1"/>
  <c r="T55" i="781" s="1"/>
  <c r="B57" i="781"/>
  <c r="M57" i="781" s="1"/>
  <c r="T57" i="781" s="1"/>
  <c r="B59" i="781"/>
  <c r="M59" i="781" s="1"/>
  <c r="T59" i="781" s="1"/>
  <c r="B63" i="781"/>
  <c r="M63" i="781" s="1"/>
  <c r="T63" i="781" s="1"/>
  <c r="B15" i="781"/>
  <c r="M15" i="781" s="1"/>
  <c r="T15" i="781" s="1"/>
  <c r="B17" i="781"/>
  <c r="M17" i="781" s="1"/>
  <c r="T17" i="781" s="1"/>
  <c r="B21" i="781"/>
  <c r="M21" i="781" s="1"/>
  <c r="T21" i="781" s="1"/>
  <c r="B25" i="781"/>
  <c r="M25" i="781" s="1"/>
  <c r="T25" i="781" s="1"/>
  <c r="B27" i="781"/>
  <c r="M27" i="781" s="1"/>
  <c r="T27" i="781" s="1"/>
  <c r="B29" i="781"/>
  <c r="M29" i="781" s="1"/>
  <c r="T29" i="781" s="1"/>
  <c r="B33" i="781"/>
  <c r="M33" i="781" s="1"/>
  <c r="T33" i="781" s="1"/>
  <c r="B35" i="781"/>
  <c r="M35" i="781" s="1"/>
  <c r="T35" i="781" s="1"/>
  <c r="B42" i="781"/>
  <c r="M42" i="781" s="1"/>
  <c r="T42" i="781" s="1"/>
  <c r="B44" i="781"/>
  <c r="M44" i="781" s="1"/>
  <c r="T44" i="781" s="1"/>
  <c r="B46" i="781"/>
  <c r="M46" i="781" s="1"/>
  <c r="T46" i="781" s="1"/>
  <c r="B48" i="781"/>
  <c r="M48" i="781" s="1"/>
  <c r="T48" i="781" s="1"/>
  <c r="B50" i="781"/>
  <c r="M50" i="781" s="1"/>
  <c r="T50" i="781" s="1"/>
  <c r="B52" i="781"/>
  <c r="M52" i="781" s="1"/>
  <c r="T52" i="781" s="1"/>
  <c r="B54" i="781"/>
  <c r="M54" i="781" s="1"/>
  <c r="T54" i="781" s="1"/>
  <c r="B56" i="781"/>
  <c r="M56" i="781" s="1"/>
  <c r="T56" i="781" s="1"/>
  <c r="B58" i="781"/>
  <c r="M58" i="781" s="1"/>
  <c r="T58" i="781" s="1"/>
  <c r="B60" i="781"/>
  <c r="M60" i="781" s="1"/>
  <c r="T60" i="781" s="1"/>
  <c r="B62" i="781"/>
  <c r="M62" i="781" s="1"/>
  <c r="T62" i="781" s="1"/>
  <c r="B64" i="781"/>
  <c r="M64" i="781" s="1"/>
  <c r="T64" i="781" s="1"/>
  <c r="B43" i="781"/>
  <c r="M43" i="781" s="1"/>
  <c r="T43" i="781" s="1"/>
  <c r="B61" i="781"/>
  <c r="M61" i="781" s="1"/>
  <c r="T61" i="781" s="1"/>
  <c r="B19" i="781"/>
  <c r="M19" i="781" s="1"/>
  <c r="T19" i="781" s="1"/>
  <c r="B23" i="781"/>
  <c r="M23" i="781" s="1"/>
  <c r="T23" i="781" s="1"/>
  <c r="B31" i="781"/>
  <c r="M31" i="781" s="1"/>
  <c r="T31" i="781" s="1"/>
  <c r="E12" i="781"/>
  <c r="B16" i="781"/>
  <c r="M16" i="781" s="1"/>
  <c r="T16" i="781" s="1"/>
  <c r="B18" i="781"/>
  <c r="M18" i="781" s="1"/>
  <c r="T18" i="781" s="1"/>
  <c r="B20" i="781"/>
  <c r="M20" i="781" s="1"/>
  <c r="T20" i="781" s="1"/>
  <c r="B22" i="781"/>
  <c r="M22" i="781" s="1"/>
  <c r="T22" i="781" s="1"/>
  <c r="B24" i="781"/>
  <c r="M24" i="781" s="1"/>
  <c r="T24" i="781" s="1"/>
  <c r="B26" i="781"/>
  <c r="M26" i="781" s="1"/>
  <c r="T26" i="781" s="1"/>
  <c r="B28" i="781"/>
  <c r="M28" i="781" s="1"/>
  <c r="T28" i="781" s="1"/>
  <c r="B30" i="781"/>
  <c r="M30" i="781" s="1"/>
  <c r="T30" i="781" s="1"/>
  <c r="B32" i="781"/>
  <c r="M32" i="781" s="1"/>
  <c r="T32" i="781" s="1"/>
  <c r="I11" i="781"/>
  <c r="B34" i="781"/>
  <c r="M34" i="781" s="1"/>
  <c r="T34" i="781" s="1"/>
  <c r="B36" i="781"/>
  <c r="M36" i="781" s="1"/>
  <c r="T36" i="781" s="1"/>
  <c r="B69" i="781"/>
  <c r="M69" i="781" s="1"/>
  <c r="T69" i="781" s="1"/>
  <c r="B92" i="781"/>
  <c r="M92" i="781" s="1"/>
  <c r="T92" i="781" s="1"/>
  <c r="C12" i="781"/>
  <c r="B91" i="781"/>
  <c r="M91" i="781" s="1"/>
  <c r="T91" i="781" s="1"/>
  <c r="B65" i="781"/>
  <c r="M65" i="781" s="1"/>
  <c r="T65" i="781" s="1"/>
  <c r="B35" i="780"/>
  <c r="M35" i="780" s="1"/>
  <c r="T35" i="780" s="1"/>
  <c r="B36" i="780"/>
  <c r="M36" i="780" s="1"/>
  <c r="T36" i="780" s="1"/>
  <c r="F12" i="780"/>
  <c r="B39" i="780"/>
  <c r="M39" i="780" s="1"/>
  <c r="T39" i="780" s="1"/>
  <c r="B97" i="780"/>
  <c r="M97" i="780" s="1"/>
  <c r="T97" i="780" s="1"/>
  <c r="B40" i="780"/>
  <c r="M40" i="780" s="1"/>
  <c r="T40" i="780" s="1"/>
  <c r="B17" i="780"/>
  <c r="M17" i="780" s="1"/>
  <c r="T17" i="780" s="1"/>
  <c r="B25" i="780"/>
  <c r="M25" i="780" s="1"/>
  <c r="T25" i="780" s="1"/>
  <c r="B33" i="780"/>
  <c r="M33" i="780" s="1"/>
  <c r="T33" i="780" s="1"/>
  <c r="B31" i="780"/>
  <c r="M31" i="780" s="1"/>
  <c r="T31" i="780" s="1"/>
  <c r="B15" i="780"/>
  <c r="M15" i="780" s="1"/>
  <c r="T15" i="780" s="1"/>
  <c r="B23" i="780"/>
  <c r="M23" i="780" s="1"/>
  <c r="T23" i="780" s="1"/>
  <c r="B21" i="780"/>
  <c r="M21" i="780" s="1"/>
  <c r="T21" i="780" s="1"/>
  <c r="B29" i="780"/>
  <c r="M29" i="780" s="1"/>
  <c r="T29" i="780" s="1"/>
  <c r="B19" i="780"/>
  <c r="M19" i="780" s="1"/>
  <c r="T19" i="780" s="1"/>
  <c r="B27" i="780"/>
  <c r="M27" i="780" s="1"/>
  <c r="T27" i="780" s="1"/>
  <c r="B50" i="780"/>
  <c r="M50" i="780" s="1"/>
  <c r="T50" i="780" s="1"/>
  <c r="B54" i="780"/>
  <c r="M54" i="780" s="1"/>
  <c r="T54" i="780" s="1"/>
  <c r="B62" i="780"/>
  <c r="M62" i="780" s="1"/>
  <c r="T62" i="780" s="1"/>
  <c r="B66" i="780"/>
  <c r="M66" i="780" s="1"/>
  <c r="T66" i="780" s="1"/>
  <c r="B46" i="780"/>
  <c r="M46" i="780" s="1"/>
  <c r="T46" i="780" s="1"/>
  <c r="B60" i="780"/>
  <c r="M60" i="780" s="1"/>
  <c r="T60" i="780" s="1"/>
  <c r="E12" i="780"/>
  <c r="B16" i="780"/>
  <c r="M16" i="780" s="1"/>
  <c r="T16" i="780" s="1"/>
  <c r="B18" i="780"/>
  <c r="M18" i="780" s="1"/>
  <c r="T18" i="780" s="1"/>
  <c r="B20" i="780"/>
  <c r="M20" i="780" s="1"/>
  <c r="T20" i="780" s="1"/>
  <c r="B22" i="780"/>
  <c r="M22" i="780" s="1"/>
  <c r="T22" i="780" s="1"/>
  <c r="B24" i="780"/>
  <c r="M24" i="780" s="1"/>
  <c r="T24" i="780" s="1"/>
  <c r="B26" i="780"/>
  <c r="M26" i="780" s="1"/>
  <c r="T26" i="780" s="1"/>
  <c r="B28" i="780"/>
  <c r="M28" i="780" s="1"/>
  <c r="T28" i="780" s="1"/>
  <c r="B30" i="780"/>
  <c r="M30" i="780" s="1"/>
  <c r="T30" i="780" s="1"/>
  <c r="B32" i="780"/>
  <c r="M32" i="780" s="1"/>
  <c r="T32" i="780" s="1"/>
  <c r="B42" i="780"/>
  <c r="T42" i="780" s="1"/>
  <c r="B45" i="780"/>
  <c r="M45" i="780" s="1"/>
  <c r="T45" i="780" s="1"/>
  <c r="B47" i="780"/>
  <c r="M47" i="780" s="1"/>
  <c r="T47" i="780" s="1"/>
  <c r="B49" i="780"/>
  <c r="M49" i="780" s="1"/>
  <c r="T49" i="780" s="1"/>
  <c r="B51" i="780"/>
  <c r="M51" i="780" s="1"/>
  <c r="T51" i="780" s="1"/>
  <c r="B53" i="780"/>
  <c r="M53" i="780" s="1"/>
  <c r="T53" i="780" s="1"/>
  <c r="B55" i="780"/>
  <c r="M55" i="780" s="1"/>
  <c r="T55" i="780" s="1"/>
  <c r="B57" i="780"/>
  <c r="M57" i="780" s="1"/>
  <c r="T57" i="780" s="1"/>
  <c r="B59" i="780"/>
  <c r="M59" i="780" s="1"/>
  <c r="T59" i="780" s="1"/>
  <c r="B61" i="780"/>
  <c r="M61" i="780" s="1"/>
  <c r="T61" i="780" s="1"/>
  <c r="B63" i="780"/>
  <c r="M63" i="780" s="1"/>
  <c r="T63" i="780" s="1"/>
  <c r="B65" i="780"/>
  <c r="M65" i="780" s="1"/>
  <c r="T65" i="780" s="1"/>
  <c r="B67" i="780"/>
  <c r="M67" i="780" s="1"/>
  <c r="T67" i="780" s="1"/>
  <c r="B96" i="780"/>
  <c r="M96" i="780" s="1"/>
  <c r="T96" i="780" s="1"/>
  <c r="B48" i="780"/>
  <c r="M48" i="780" s="1"/>
  <c r="T48" i="780" s="1"/>
  <c r="B52" i="780"/>
  <c r="M52" i="780" s="1"/>
  <c r="T52" i="780" s="1"/>
  <c r="B56" i="780"/>
  <c r="M56" i="780" s="1"/>
  <c r="T56" i="780" s="1"/>
  <c r="B58" i="780"/>
  <c r="M58" i="780" s="1"/>
  <c r="T58" i="780" s="1"/>
  <c r="B64" i="780"/>
  <c r="M64" i="780" s="1"/>
  <c r="T64" i="780" s="1"/>
  <c r="B68" i="780"/>
  <c r="M68" i="780" s="1"/>
  <c r="T68" i="780" s="1"/>
  <c r="B34" i="780"/>
  <c r="M34" i="780" s="1"/>
  <c r="T34" i="780" s="1"/>
  <c r="B41" i="780"/>
  <c r="T41" i="780" s="1"/>
  <c r="B70" i="780"/>
  <c r="M70" i="780" s="1"/>
  <c r="T70" i="780" s="1"/>
  <c r="B94" i="780"/>
  <c r="M94" i="780" s="1"/>
  <c r="T94" i="780" s="1"/>
  <c r="C12" i="780"/>
  <c r="I11" i="780"/>
  <c r="B73" i="780"/>
  <c r="M73" i="780" s="1"/>
  <c r="T73" i="780" s="1"/>
  <c r="G12" i="780"/>
  <c r="B69" i="780"/>
  <c r="M69" i="780" s="1"/>
  <c r="T69" i="780" s="1"/>
  <c r="B37" i="780"/>
  <c r="M37" i="780" s="1"/>
  <c r="T37" i="780" s="1"/>
  <c r="B95" i="780"/>
  <c r="M95" i="780" s="1"/>
  <c r="T95" i="780" s="1"/>
  <c r="B38" i="780"/>
  <c r="M38" i="780" s="1"/>
  <c r="T38" i="780" s="1"/>
  <c r="B84" i="779"/>
  <c r="M84" i="779" s="1"/>
  <c r="T84" i="779" s="1"/>
  <c r="B106" i="779"/>
  <c r="M106" i="779" s="1"/>
  <c r="T106" i="779" s="1"/>
  <c r="B47" i="779"/>
  <c r="M47" i="779" s="1"/>
  <c r="T47" i="779" s="1"/>
  <c r="C12" i="779"/>
  <c r="D12" i="779"/>
  <c r="B82" i="779"/>
  <c r="M82" i="779" s="1"/>
  <c r="T82" i="779" s="1"/>
  <c r="E12" i="779"/>
  <c r="B105" i="779"/>
  <c r="M105" i="779" s="1"/>
  <c r="T105" i="779" s="1"/>
  <c r="B78" i="779"/>
  <c r="M78" i="779" s="1"/>
  <c r="T78" i="779" s="1"/>
  <c r="B75" i="779"/>
  <c r="M75" i="779" s="1"/>
  <c r="T75" i="779" s="1"/>
  <c r="B72" i="779"/>
  <c r="M72" i="779" s="1"/>
  <c r="T72" i="779" s="1"/>
  <c r="B66" i="779"/>
  <c r="M66" i="779" s="1"/>
  <c r="T66" i="779" s="1"/>
  <c r="B63" i="779"/>
  <c r="M63" i="779" s="1"/>
  <c r="T63" i="779" s="1"/>
  <c r="B60" i="779"/>
  <c r="M60" i="779" s="1"/>
  <c r="T60" i="779" s="1"/>
  <c r="B57" i="779"/>
  <c r="M57" i="779" s="1"/>
  <c r="T57" i="779" s="1"/>
  <c r="B54" i="779"/>
  <c r="M54" i="779" s="1"/>
  <c r="T54" i="779" s="1"/>
  <c r="B45" i="779"/>
  <c r="M45" i="779" s="1"/>
  <c r="T45" i="779" s="1"/>
  <c r="B48" i="779"/>
  <c r="M48" i="779" s="1"/>
  <c r="T48" i="779" s="1"/>
  <c r="B42" i="779"/>
  <c r="M42" i="779" s="1"/>
  <c r="T42" i="779" s="1"/>
  <c r="B39" i="779"/>
  <c r="M39" i="779" s="1"/>
  <c r="T39" i="779" s="1"/>
  <c r="B36" i="779"/>
  <c r="M36" i="779" s="1"/>
  <c r="T36" i="779" s="1"/>
  <c r="B33" i="779"/>
  <c r="M33" i="779" s="1"/>
  <c r="T33" i="779" s="1"/>
  <c r="B30" i="779"/>
  <c r="M30" i="779" s="1"/>
  <c r="T30" i="779" s="1"/>
  <c r="B27" i="779"/>
  <c r="M27" i="779" s="1"/>
  <c r="T27" i="779" s="1"/>
  <c r="B24" i="779"/>
  <c r="M24" i="779" s="1"/>
  <c r="T24" i="779" s="1"/>
  <c r="B21" i="779"/>
  <c r="M21" i="779" s="1"/>
  <c r="T21" i="779" s="1"/>
  <c r="B19" i="779"/>
  <c r="M19" i="779" s="1"/>
  <c r="T19" i="779" s="1"/>
  <c r="B16" i="779"/>
  <c r="M16" i="779" s="1"/>
  <c r="T16" i="779" s="1"/>
  <c r="B51" i="779"/>
  <c r="M51" i="779" s="1"/>
  <c r="T51" i="779" s="1"/>
  <c r="B77" i="779"/>
  <c r="M77" i="779" s="1"/>
  <c r="T77" i="779" s="1"/>
  <c r="B74" i="779"/>
  <c r="M74" i="779" s="1"/>
  <c r="T74" i="779" s="1"/>
  <c r="B71" i="779"/>
  <c r="M71" i="779" s="1"/>
  <c r="T71" i="779" s="1"/>
  <c r="B65" i="779"/>
  <c r="M65" i="779" s="1"/>
  <c r="T65" i="779" s="1"/>
  <c r="B62" i="779"/>
  <c r="M62" i="779" s="1"/>
  <c r="T62" i="779" s="1"/>
  <c r="B59" i="779"/>
  <c r="M59" i="779" s="1"/>
  <c r="T59" i="779" s="1"/>
  <c r="B56" i="779"/>
  <c r="M56" i="779" s="1"/>
  <c r="T56" i="779" s="1"/>
  <c r="B53" i="779"/>
  <c r="M53" i="779" s="1"/>
  <c r="T53" i="779" s="1"/>
  <c r="B44" i="779"/>
  <c r="M44" i="779" s="1"/>
  <c r="T44" i="779" s="1"/>
  <c r="B41" i="779"/>
  <c r="M41" i="779" s="1"/>
  <c r="T41" i="779" s="1"/>
  <c r="B38" i="779"/>
  <c r="M38" i="779" s="1"/>
  <c r="T38" i="779" s="1"/>
  <c r="B35" i="779"/>
  <c r="M35" i="779" s="1"/>
  <c r="T35" i="779" s="1"/>
  <c r="B32" i="779"/>
  <c r="M32" i="779" s="1"/>
  <c r="T32" i="779" s="1"/>
  <c r="B29" i="779"/>
  <c r="M29" i="779" s="1"/>
  <c r="T29" i="779" s="1"/>
  <c r="B26" i="779"/>
  <c r="M26" i="779" s="1"/>
  <c r="T26" i="779" s="1"/>
  <c r="B23" i="779"/>
  <c r="M23" i="779" s="1"/>
  <c r="T23" i="779" s="1"/>
  <c r="B20" i="779"/>
  <c r="M20" i="779" s="1"/>
  <c r="T20" i="779" s="1"/>
  <c r="B18" i="779"/>
  <c r="M18" i="779" s="1"/>
  <c r="T18" i="779" s="1"/>
  <c r="B15" i="779"/>
  <c r="M15" i="779" s="1"/>
  <c r="T15" i="779" s="1"/>
  <c r="B83" i="779"/>
  <c r="M83" i="779" s="1"/>
  <c r="T83" i="779" s="1"/>
  <c r="B17" i="779"/>
  <c r="M17" i="779" s="1"/>
  <c r="T17" i="779" s="1"/>
  <c r="B22" i="779"/>
  <c r="M22" i="779" s="1"/>
  <c r="T22" i="779" s="1"/>
  <c r="B25" i="779"/>
  <c r="M25" i="779" s="1"/>
  <c r="T25" i="779" s="1"/>
  <c r="B28" i="779"/>
  <c r="M28" i="779" s="1"/>
  <c r="T28" i="779" s="1"/>
  <c r="B31" i="779"/>
  <c r="M31" i="779" s="1"/>
  <c r="T31" i="779" s="1"/>
  <c r="B34" i="779"/>
  <c r="M34" i="779" s="1"/>
  <c r="T34" i="779" s="1"/>
  <c r="B37" i="779"/>
  <c r="M37" i="779" s="1"/>
  <c r="T37" i="779" s="1"/>
  <c r="B40" i="779"/>
  <c r="M40" i="779" s="1"/>
  <c r="T40" i="779" s="1"/>
  <c r="B43" i="779"/>
  <c r="M43" i="779" s="1"/>
  <c r="T43" i="779" s="1"/>
  <c r="B52" i="779"/>
  <c r="M52" i="779" s="1"/>
  <c r="T52" i="779" s="1"/>
  <c r="B104" i="779"/>
  <c r="M104" i="779" s="1"/>
  <c r="T104" i="779" s="1"/>
  <c r="I11" i="779"/>
  <c r="B49" i="779"/>
  <c r="M49" i="779" s="1"/>
  <c r="T49" i="779" s="1"/>
  <c r="B55" i="779"/>
  <c r="M55" i="779" s="1"/>
  <c r="T55" i="779" s="1"/>
  <c r="B58" i="779"/>
  <c r="M58" i="779" s="1"/>
  <c r="T58" i="779" s="1"/>
  <c r="B61" i="779"/>
  <c r="M61" i="779" s="1"/>
  <c r="T61" i="779" s="1"/>
  <c r="B64" i="779"/>
  <c r="M64" i="779" s="1"/>
  <c r="T64" i="779" s="1"/>
  <c r="B67" i="779"/>
  <c r="M67" i="779" s="1"/>
  <c r="T67" i="779" s="1"/>
  <c r="B73" i="779"/>
  <c r="M73" i="779" s="1"/>
  <c r="T73" i="779" s="1"/>
  <c r="B76" i="779"/>
  <c r="M76" i="779" s="1"/>
  <c r="T76" i="779" s="1"/>
  <c r="B80" i="779"/>
  <c r="M80" i="779" s="1"/>
  <c r="T80" i="779" s="1"/>
  <c r="B94" i="782" l="1"/>
  <c r="M94" i="782" s="1"/>
  <c r="T94" i="782" s="1"/>
  <c r="I12" i="782"/>
  <c r="B96" i="782"/>
  <c r="M96" i="782" s="1"/>
  <c r="T96" i="782" s="1"/>
  <c r="B95" i="782"/>
  <c r="M95" i="782" s="1"/>
  <c r="T95" i="782" s="1"/>
  <c r="I2" i="782"/>
  <c r="B94" i="781"/>
  <c r="M94" i="781" s="1"/>
  <c r="T94" i="781" s="1"/>
  <c r="I12" i="781"/>
  <c r="B95" i="781"/>
  <c r="M95" i="781" s="1"/>
  <c r="T95" i="781" s="1"/>
  <c r="B96" i="781"/>
  <c r="M96" i="781" s="1"/>
  <c r="T96" i="781" s="1"/>
  <c r="I2" i="781"/>
  <c r="B98" i="780"/>
  <c r="M98" i="780" s="1"/>
  <c r="T98" i="780" s="1"/>
  <c r="I12" i="780"/>
  <c r="I2" i="780"/>
  <c r="B99" i="780"/>
  <c r="M99" i="780" s="1"/>
  <c r="T99" i="780" s="1"/>
  <c r="B100" i="780"/>
  <c r="M100" i="780" s="1"/>
  <c r="T100" i="780" s="1"/>
  <c r="B107" i="779"/>
  <c r="M107" i="779" s="1"/>
  <c r="T107" i="779" s="1"/>
  <c r="I2" i="779"/>
  <c r="B108" i="779"/>
  <c r="M108" i="779" s="1"/>
  <c r="T108" i="779" s="1"/>
  <c r="B109" i="779"/>
  <c r="M109" i="779" s="1"/>
  <c r="T109" i="779" s="1"/>
  <c r="I12" i="779"/>
  <c r="M99" i="778" l="1"/>
  <c r="T99" i="778" s="1"/>
  <c r="B99" i="778"/>
  <c r="B98" i="778"/>
  <c r="M98" i="778" s="1"/>
  <c r="T98" i="778" s="1"/>
  <c r="T97" i="778"/>
  <c r="C97" i="778"/>
  <c r="B97" i="778"/>
  <c r="M97" i="778" s="1"/>
  <c r="B96" i="778"/>
  <c r="M96" i="778" s="1"/>
  <c r="T96" i="778" s="1"/>
  <c r="B95" i="778"/>
  <c r="M95" i="778" s="1"/>
  <c r="T95" i="778" s="1"/>
  <c r="C94" i="778"/>
  <c r="B94" i="778"/>
  <c r="M94" i="778" s="1"/>
  <c r="T94" i="778" s="1"/>
  <c r="B93" i="778"/>
  <c r="M93" i="778" s="1"/>
  <c r="T93" i="778" s="1"/>
  <c r="B92" i="778"/>
  <c r="M92" i="778" s="1"/>
  <c r="T92" i="778" s="1"/>
  <c r="C91" i="778"/>
  <c r="B91" i="778"/>
  <c r="M91" i="778" s="1"/>
  <c r="T91" i="778" s="1"/>
  <c r="T90" i="778"/>
  <c r="B90" i="778"/>
  <c r="M90" i="778" s="1"/>
  <c r="M89" i="778"/>
  <c r="T89" i="778" s="1"/>
  <c r="B89" i="778"/>
  <c r="M88" i="778"/>
  <c r="T88" i="778" s="1"/>
  <c r="C88" i="778"/>
  <c r="B88" i="778"/>
  <c r="B87" i="778"/>
  <c r="M87" i="778" s="1"/>
  <c r="T87" i="778" s="1"/>
  <c r="B86" i="778"/>
  <c r="M86" i="778" s="1"/>
  <c r="T86" i="778" s="1"/>
  <c r="C85" i="778"/>
  <c r="B85" i="778"/>
  <c r="M85" i="778" s="1"/>
  <c r="T85" i="778" s="1"/>
  <c r="B84" i="778"/>
  <c r="M84" i="778" s="1"/>
  <c r="T84" i="778" s="1"/>
  <c r="B83" i="778"/>
  <c r="M83" i="778" s="1"/>
  <c r="T83" i="778" s="1"/>
  <c r="C82" i="778"/>
  <c r="B82" i="778"/>
  <c r="M82" i="778" s="1"/>
  <c r="T82" i="778" s="1"/>
  <c r="B81" i="778"/>
  <c r="M81" i="778" s="1"/>
  <c r="T81" i="778" s="1"/>
  <c r="B80" i="778"/>
  <c r="M80" i="778" s="1"/>
  <c r="T80" i="778" s="1"/>
  <c r="C77" i="778"/>
  <c r="C76" i="778"/>
  <c r="C75" i="778"/>
  <c r="C74" i="778"/>
  <c r="C73" i="778"/>
  <c r="C72" i="778"/>
  <c r="C71" i="778"/>
  <c r="C70" i="778"/>
  <c r="C69" i="778"/>
  <c r="C68" i="778"/>
  <c r="C67" i="778"/>
  <c r="C66" i="778"/>
  <c r="C65" i="778"/>
  <c r="C64" i="778"/>
  <c r="C63" i="778"/>
  <c r="C62" i="778"/>
  <c r="C61" i="778"/>
  <c r="C60" i="778"/>
  <c r="C59" i="778"/>
  <c r="C58" i="778"/>
  <c r="C57" i="778"/>
  <c r="C56" i="778"/>
  <c r="C55" i="778"/>
  <c r="C54" i="778"/>
  <c r="C53" i="778"/>
  <c r="F52" i="778"/>
  <c r="C52" i="778"/>
  <c r="F51" i="778"/>
  <c r="C51" i="778"/>
  <c r="F50" i="778"/>
  <c r="C50" i="778"/>
  <c r="F49" i="778"/>
  <c r="C49" i="778"/>
  <c r="F48" i="778"/>
  <c r="C48" i="778"/>
  <c r="F47" i="778"/>
  <c r="C47" i="778"/>
  <c r="T46" i="778"/>
  <c r="F46" i="778"/>
  <c r="C46" i="778"/>
  <c r="B46" i="778"/>
  <c r="M46" i="778" s="1"/>
  <c r="F45" i="778"/>
  <c r="C45" i="778"/>
  <c r="F44" i="778"/>
  <c r="C44" i="778"/>
  <c r="C43" i="778"/>
  <c r="B43" i="778"/>
  <c r="M43" i="778" s="1"/>
  <c r="T43" i="778" s="1"/>
  <c r="C42" i="778"/>
  <c r="C41" i="778"/>
  <c r="C40" i="778"/>
  <c r="B40" i="778"/>
  <c r="M40" i="778" s="1"/>
  <c r="T40" i="778" s="1"/>
  <c r="C39" i="778"/>
  <c r="C38" i="778"/>
  <c r="C37" i="778"/>
  <c r="B37" i="778"/>
  <c r="M37" i="778" s="1"/>
  <c r="T37" i="778" s="1"/>
  <c r="C36" i="778"/>
  <c r="C35" i="778"/>
  <c r="C34" i="778"/>
  <c r="B34" i="778"/>
  <c r="M34" i="778" s="1"/>
  <c r="T34" i="778" s="1"/>
  <c r="C33" i="778"/>
  <c r="C32" i="778"/>
  <c r="C31" i="778"/>
  <c r="B31" i="778"/>
  <c r="M31" i="778" s="1"/>
  <c r="T31" i="778" s="1"/>
  <c r="C30" i="778"/>
  <c r="C29" i="778"/>
  <c r="C28" i="778"/>
  <c r="B28" i="778"/>
  <c r="M28" i="778" s="1"/>
  <c r="T28" i="778" s="1"/>
  <c r="C27" i="778"/>
  <c r="C26" i="778"/>
  <c r="C25" i="778"/>
  <c r="B25" i="778"/>
  <c r="M25" i="778" s="1"/>
  <c r="T25" i="778" s="1"/>
  <c r="C24" i="778"/>
  <c r="C23" i="778"/>
  <c r="C22" i="778"/>
  <c r="B22" i="778"/>
  <c r="M22" i="778" s="1"/>
  <c r="T22" i="778" s="1"/>
  <c r="C21" i="778"/>
  <c r="C20" i="778"/>
  <c r="C19" i="778"/>
  <c r="C18" i="778"/>
  <c r="C17" i="778"/>
  <c r="B17" i="778"/>
  <c r="M17" i="778" s="1"/>
  <c r="T17" i="778" s="1"/>
  <c r="C16" i="778"/>
  <c r="C15" i="778"/>
  <c r="G11" i="778"/>
  <c r="G12" i="778" s="1"/>
  <c r="F11" i="778"/>
  <c r="F12" i="778" s="1"/>
  <c r="E11" i="778"/>
  <c r="B79" i="778" s="1"/>
  <c r="M79" i="778" s="1"/>
  <c r="T79" i="778" s="1"/>
  <c r="D11" i="778"/>
  <c r="B78" i="778" s="1"/>
  <c r="M78" i="778" s="1"/>
  <c r="T78" i="778" s="1"/>
  <c r="C11" i="778"/>
  <c r="C12" i="778" s="1"/>
  <c r="I10" i="778"/>
  <c r="I9" i="778"/>
  <c r="I8" i="778"/>
  <c r="I7" i="778"/>
  <c r="I6" i="778"/>
  <c r="B42" i="778" s="1"/>
  <c r="M42" i="778" s="1"/>
  <c r="T42" i="778" s="1"/>
  <c r="I5" i="778"/>
  <c r="B50" i="778" s="1"/>
  <c r="M50" i="778" s="1"/>
  <c r="T50" i="778" s="1"/>
  <c r="B16" i="778" l="1"/>
  <c r="M16" i="778" s="1"/>
  <c r="T16" i="778" s="1"/>
  <c r="B27" i="778"/>
  <c r="M27" i="778" s="1"/>
  <c r="T27" i="778" s="1"/>
  <c r="B21" i="778"/>
  <c r="M21" i="778" s="1"/>
  <c r="T21" i="778" s="1"/>
  <c r="B36" i="778"/>
  <c r="M36" i="778" s="1"/>
  <c r="T36" i="778" s="1"/>
  <c r="B33" i="778"/>
  <c r="M33" i="778" s="1"/>
  <c r="T33" i="778" s="1"/>
  <c r="B19" i="778"/>
  <c r="M19" i="778" s="1"/>
  <c r="T19" i="778" s="1"/>
  <c r="B24" i="778"/>
  <c r="M24" i="778" s="1"/>
  <c r="T24" i="778" s="1"/>
  <c r="B39" i="778"/>
  <c r="M39" i="778" s="1"/>
  <c r="T39" i="778" s="1"/>
  <c r="D12" i="778"/>
  <c r="B30" i="778"/>
  <c r="M30" i="778" s="1"/>
  <c r="T30" i="778" s="1"/>
  <c r="B101" i="778"/>
  <c r="M101" i="778" s="1"/>
  <c r="T101" i="778" s="1"/>
  <c r="B102" i="778"/>
  <c r="M102" i="778" s="1"/>
  <c r="T102" i="778" s="1"/>
  <c r="B15" i="778"/>
  <c r="M15" i="778" s="1"/>
  <c r="T15" i="778" s="1"/>
  <c r="B20" i="778"/>
  <c r="M20" i="778" s="1"/>
  <c r="T20" i="778" s="1"/>
  <c r="B29" i="778"/>
  <c r="M29" i="778" s="1"/>
  <c r="T29" i="778" s="1"/>
  <c r="B32" i="778"/>
  <c r="M32" i="778" s="1"/>
  <c r="T32" i="778" s="1"/>
  <c r="B35" i="778"/>
  <c r="M35" i="778" s="1"/>
  <c r="T35" i="778" s="1"/>
  <c r="B38" i="778"/>
  <c r="M38" i="778" s="1"/>
  <c r="T38" i="778" s="1"/>
  <c r="B44" i="778"/>
  <c r="M44" i="778" s="1"/>
  <c r="T44" i="778" s="1"/>
  <c r="B47" i="778"/>
  <c r="M47" i="778" s="1"/>
  <c r="T47" i="778" s="1"/>
  <c r="B75" i="778"/>
  <c r="M75" i="778" s="1"/>
  <c r="T75" i="778" s="1"/>
  <c r="B72" i="778"/>
  <c r="M72" i="778" s="1"/>
  <c r="T72" i="778" s="1"/>
  <c r="B69" i="778"/>
  <c r="M69" i="778" s="1"/>
  <c r="T69" i="778" s="1"/>
  <c r="B66" i="778"/>
  <c r="M66" i="778" s="1"/>
  <c r="T66" i="778" s="1"/>
  <c r="B63" i="778"/>
  <c r="M63" i="778" s="1"/>
  <c r="T63" i="778" s="1"/>
  <c r="B60" i="778"/>
  <c r="M60" i="778" s="1"/>
  <c r="T60" i="778" s="1"/>
  <c r="B57" i="778"/>
  <c r="M57" i="778" s="1"/>
  <c r="T57" i="778" s="1"/>
  <c r="B54" i="778"/>
  <c r="M54" i="778" s="1"/>
  <c r="T54" i="778" s="1"/>
  <c r="B45" i="778"/>
  <c r="M45" i="778" s="1"/>
  <c r="T45" i="778" s="1"/>
  <c r="E12" i="778"/>
  <c r="B48" i="778"/>
  <c r="M48" i="778" s="1"/>
  <c r="T48" i="778" s="1"/>
  <c r="B51" i="778"/>
  <c r="M51" i="778" s="1"/>
  <c r="T51" i="778" s="1"/>
  <c r="B103" i="778"/>
  <c r="M103" i="778" s="1"/>
  <c r="T103" i="778" s="1"/>
  <c r="B74" i="778"/>
  <c r="M74" i="778" s="1"/>
  <c r="T74" i="778" s="1"/>
  <c r="B71" i="778"/>
  <c r="M71" i="778" s="1"/>
  <c r="T71" i="778" s="1"/>
  <c r="B68" i="778"/>
  <c r="M68" i="778" s="1"/>
  <c r="T68" i="778" s="1"/>
  <c r="B65" i="778"/>
  <c r="M65" i="778" s="1"/>
  <c r="T65" i="778" s="1"/>
  <c r="B62" i="778"/>
  <c r="M62" i="778" s="1"/>
  <c r="T62" i="778" s="1"/>
  <c r="B59" i="778"/>
  <c r="M59" i="778" s="1"/>
  <c r="T59" i="778" s="1"/>
  <c r="B56" i="778"/>
  <c r="M56" i="778" s="1"/>
  <c r="T56" i="778" s="1"/>
  <c r="B53" i="778"/>
  <c r="M53" i="778" s="1"/>
  <c r="T53" i="778" s="1"/>
  <c r="B18" i="778"/>
  <c r="M18" i="778" s="1"/>
  <c r="T18" i="778" s="1"/>
  <c r="B23" i="778"/>
  <c r="M23" i="778" s="1"/>
  <c r="T23" i="778" s="1"/>
  <c r="B26" i="778"/>
  <c r="M26" i="778" s="1"/>
  <c r="T26" i="778" s="1"/>
  <c r="B41" i="778"/>
  <c r="M41" i="778" s="1"/>
  <c r="T41" i="778" s="1"/>
  <c r="B76" i="778"/>
  <c r="M76" i="778" s="1"/>
  <c r="T76" i="778" s="1"/>
  <c r="B73" i="778"/>
  <c r="M73" i="778" s="1"/>
  <c r="T73" i="778" s="1"/>
  <c r="B70" i="778"/>
  <c r="M70" i="778" s="1"/>
  <c r="T70" i="778" s="1"/>
  <c r="B67" i="778"/>
  <c r="M67" i="778" s="1"/>
  <c r="T67" i="778" s="1"/>
  <c r="B64" i="778"/>
  <c r="M64" i="778" s="1"/>
  <c r="T64" i="778" s="1"/>
  <c r="B61" i="778"/>
  <c r="M61" i="778" s="1"/>
  <c r="T61" i="778" s="1"/>
  <c r="B58" i="778"/>
  <c r="M58" i="778" s="1"/>
  <c r="T58" i="778" s="1"/>
  <c r="B55" i="778"/>
  <c r="M55" i="778" s="1"/>
  <c r="T55" i="778" s="1"/>
  <c r="B49" i="778"/>
  <c r="M49" i="778" s="1"/>
  <c r="T49" i="778" s="1"/>
  <c r="B100" i="778"/>
  <c r="M100" i="778" s="1"/>
  <c r="T100" i="778" s="1"/>
  <c r="B77" i="778"/>
  <c r="M77" i="778" s="1"/>
  <c r="T77" i="778" s="1"/>
  <c r="I11" i="778"/>
  <c r="B52" i="778"/>
  <c r="M52" i="778" s="1"/>
  <c r="T52" i="778" s="1"/>
  <c r="B104" i="778" l="1"/>
  <c r="M104" i="778" s="1"/>
  <c r="T104" i="778" s="1"/>
  <c r="I2" i="778"/>
  <c r="B105" i="778"/>
  <c r="M105" i="778" s="1"/>
  <c r="T105" i="778" s="1"/>
  <c r="B106" i="778"/>
  <c r="M106" i="778" s="1"/>
  <c r="T106" i="778" s="1"/>
  <c r="I12" i="778"/>
  <c r="C53" i="766" l="1"/>
  <c r="B53" i="766"/>
  <c r="C74" i="776"/>
  <c r="C73" i="776"/>
  <c r="C72" i="776"/>
  <c r="C52" i="776"/>
  <c r="C51" i="776"/>
  <c r="C50" i="776"/>
  <c r="C55" i="776"/>
  <c r="C49" i="776"/>
  <c r="C54" i="776"/>
  <c r="C48" i="776"/>
  <c r="C71" i="776"/>
  <c r="C68" i="776"/>
  <c r="C70" i="776"/>
  <c r="C67" i="776"/>
  <c r="C44" i="776"/>
  <c r="C41" i="776"/>
  <c r="C38" i="776"/>
  <c r="C43" i="776"/>
  <c r="C40" i="776"/>
  <c r="C37" i="776"/>
  <c r="C33" i="776"/>
  <c r="C32" i="776"/>
  <c r="C22" i="776"/>
  <c r="C21" i="776"/>
  <c r="C20" i="776"/>
  <c r="C28" i="776" l="1"/>
  <c r="C27" i="776"/>
  <c r="C17" i="776" l="1"/>
  <c r="C16" i="776"/>
  <c r="B109" i="776"/>
  <c r="M109" i="776" s="1"/>
  <c r="T109" i="776" s="1"/>
  <c r="B108" i="776"/>
  <c r="M108" i="776" s="1"/>
  <c r="T108" i="776" s="1"/>
  <c r="C107" i="776"/>
  <c r="B107" i="776"/>
  <c r="M107" i="776" s="1"/>
  <c r="T107" i="776" s="1"/>
  <c r="B106" i="776"/>
  <c r="M106" i="776" s="1"/>
  <c r="T106" i="776" s="1"/>
  <c r="B105" i="776"/>
  <c r="M105" i="776" s="1"/>
  <c r="T105" i="776" s="1"/>
  <c r="C104" i="776"/>
  <c r="B104" i="776"/>
  <c r="M104" i="776" s="1"/>
  <c r="T104" i="776" s="1"/>
  <c r="B103" i="776"/>
  <c r="M103" i="776" s="1"/>
  <c r="T103" i="776" s="1"/>
  <c r="B102" i="776"/>
  <c r="M102" i="776" s="1"/>
  <c r="T102" i="776" s="1"/>
  <c r="C101" i="776"/>
  <c r="B101" i="776"/>
  <c r="M101" i="776" s="1"/>
  <c r="T101" i="776" s="1"/>
  <c r="B100" i="776"/>
  <c r="M100" i="776" s="1"/>
  <c r="T100" i="776" s="1"/>
  <c r="B99" i="776"/>
  <c r="M99" i="776" s="1"/>
  <c r="T99" i="776" s="1"/>
  <c r="C98" i="776"/>
  <c r="B98" i="776"/>
  <c r="M98" i="776" s="1"/>
  <c r="T98" i="776" s="1"/>
  <c r="B97" i="776"/>
  <c r="M97" i="776" s="1"/>
  <c r="T97" i="776" s="1"/>
  <c r="B96" i="776"/>
  <c r="M96" i="776" s="1"/>
  <c r="T96" i="776" s="1"/>
  <c r="C95" i="776"/>
  <c r="B95" i="776"/>
  <c r="M95" i="776" s="1"/>
  <c r="T95" i="776" s="1"/>
  <c r="B94" i="776"/>
  <c r="M94" i="776" s="1"/>
  <c r="T94" i="776" s="1"/>
  <c r="B93" i="776"/>
  <c r="M93" i="776" s="1"/>
  <c r="T93" i="776" s="1"/>
  <c r="C92" i="776"/>
  <c r="B92" i="776"/>
  <c r="M92" i="776" s="1"/>
  <c r="T92" i="776" s="1"/>
  <c r="C87" i="776"/>
  <c r="C82" i="776"/>
  <c r="C81" i="776"/>
  <c r="C80" i="776"/>
  <c r="C79" i="776"/>
  <c r="C78" i="776"/>
  <c r="C77" i="776"/>
  <c r="C76" i="776"/>
  <c r="C75" i="776"/>
  <c r="C69" i="776"/>
  <c r="C66" i="776"/>
  <c r="C65" i="776"/>
  <c r="C64" i="776"/>
  <c r="C63" i="776"/>
  <c r="C62" i="776"/>
  <c r="C61" i="776"/>
  <c r="C60" i="776"/>
  <c r="C59" i="776"/>
  <c r="C58" i="776"/>
  <c r="F57" i="776"/>
  <c r="C57" i="776"/>
  <c r="F56" i="776"/>
  <c r="C56" i="776"/>
  <c r="C53" i="776"/>
  <c r="C47" i="776"/>
  <c r="C46" i="776"/>
  <c r="C45" i="776"/>
  <c r="C42" i="776"/>
  <c r="C39" i="776"/>
  <c r="C36" i="776"/>
  <c r="C35" i="776"/>
  <c r="C34" i="776"/>
  <c r="C31" i="776"/>
  <c r="C30" i="776"/>
  <c r="C29" i="776"/>
  <c r="C26" i="776"/>
  <c r="C19" i="776"/>
  <c r="C18" i="776"/>
  <c r="C15" i="776"/>
  <c r="G11" i="776"/>
  <c r="B91" i="776" s="1"/>
  <c r="M91" i="776" s="1"/>
  <c r="T91" i="776" s="1"/>
  <c r="F11" i="776"/>
  <c r="B90" i="776" s="1"/>
  <c r="M90" i="776" s="1"/>
  <c r="T90" i="776" s="1"/>
  <c r="E11" i="776"/>
  <c r="B89" i="776" s="1"/>
  <c r="M89" i="776" s="1"/>
  <c r="T89" i="776" s="1"/>
  <c r="D11" i="776"/>
  <c r="B111" i="776" s="1"/>
  <c r="M111" i="776" s="1"/>
  <c r="T111" i="776" s="1"/>
  <c r="C11" i="776"/>
  <c r="I10" i="776"/>
  <c r="I9" i="776"/>
  <c r="I8" i="776"/>
  <c r="I7" i="776"/>
  <c r="B25" i="776" s="1"/>
  <c r="M25" i="776" s="1"/>
  <c r="T25" i="776" s="1"/>
  <c r="I6" i="776"/>
  <c r="B24" i="776" s="1"/>
  <c r="M24" i="776" s="1"/>
  <c r="T24" i="776" s="1"/>
  <c r="I5" i="776"/>
  <c r="B23" i="776" s="1"/>
  <c r="M23" i="776" s="1"/>
  <c r="T23" i="776" s="1"/>
  <c r="M32" i="774"/>
  <c r="M31" i="774"/>
  <c r="M27" i="773"/>
  <c r="B73" i="776" l="1"/>
  <c r="M73" i="776" s="1"/>
  <c r="T73" i="776" s="1"/>
  <c r="B74" i="776"/>
  <c r="M74" i="776" s="1"/>
  <c r="T74" i="776" s="1"/>
  <c r="B50" i="776"/>
  <c r="M50" i="776" s="1"/>
  <c r="T50" i="776" s="1"/>
  <c r="B72" i="776"/>
  <c r="M72" i="776" s="1"/>
  <c r="T72" i="776" s="1"/>
  <c r="B55" i="776"/>
  <c r="M55" i="776" s="1"/>
  <c r="T55" i="776" s="1"/>
  <c r="B52" i="776"/>
  <c r="M52" i="776" s="1"/>
  <c r="T52" i="776" s="1"/>
  <c r="B49" i="776"/>
  <c r="B54" i="776"/>
  <c r="M54" i="776" s="1"/>
  <c r="T54" i="776" s="1"/>
  <c r="B51" i="776"/>
  <c r="M51" i="776" s="1"/>
  <c r="T51" i="776" s="1"/>
  <c r="B68" i="776"/>
  <c r="M68" i="776" s="1"/>
  <c r="T68" i="776" s="1"/>
  <c r="B71" i="776"/>
  <c r="M71" i="776" s="1"/>
  <c r="T71" i="776" s="1"/>
  <c r="B70" i="776"/>
  <c r="M70" i="776" s="1"/>
  <c r="T70" i="776" s="1"/>
  <c r="B48" i="776"/>
  <c r="M48" i="776" s="1"/>
  <c r="T48" i="776" s="1"/>
  <c r="B43" i="776"/>
  <c r="M43" i="776" s="1"/>
  <c r="T43" i="776" s="1"/>
  <c r="B67" i="776"/>
  <c r="M67" i="776" s="1"/>
  <c r="T67" i="776" s="1"/>
  <c r="B41" i="776"/>
  <c r="M41" i="776" s="1"/>
  <c r="T41" i="776" s="1"/>
  <c r="B44" i="776"/>
  <c r="M44" i="776" s="1"/>
  <c r="T44" i="776" s="1"/>
  <c r="B38" i="776"/>
  <c r="B37" i="776"/>
  <c r="M37" i="776" s="1"/>
  <c r="T37" i="776" s="1"/>
  <c r="B40" i="776"/>
  <c r="M40" i="776" s="1"/>
  <c r="T40" i="776" s="1"/>
  <c r="B33" i="776"/>
  <c r="M33" i="776" s="1"/>
  <c r="T33" i="776" s="1"/>
  <c r="M38" i="776"/>
  <c r="T38" i="776" s="1"/>
  <c r="B83" i="776"/>
  <c r="M83" i="776" s="1"/>
  <c r="T83" i="776" s="1"/>
  <c r="B20" i="776"/>
  <c r="M20" i="776" s="1"/>
  <c r="T20" i="776" s="1"/>
  <c r="B27" i="776"/>
  <c r="M27" i="776" s="1"/>
  <c r="T27" i="776" s="1"/>
  <c r="B21" i="776"/>
  <c r="M21" i="776" s="1"/>
  <c r="T21" i="776" s="1"/>
  <c r="B32" i="776"/>
  <c r="M32" i="776" s="1"/>
  <c r="T32" i="776" s="1"/>
  <c r="B28" i="776"/>
  <c r="M28" i="776" s="1"/>
  <c r="T28" i="776" s="1"/>
  <c r="B22" i="776"/>
  <c r="M22" i="776" s="1"/>
  <c r="T22" i="776" s="1"/>
  <c r="B17" i="776"/>
  <c r="M17" i="776" s="1"/>
  <c r="T17" i="776" s="1"/>
  <c r="B16" i="776"/>
  <c r="M16" i="776" s="1"/>
  <c r="T16" i="776" s="1"/>
  <c r="B82" i="776"/>
  <c r="M82" i="776" s="1"/>
  <c r="T82" i="776" s="1"/>
  <c r="B15" i="776"/>
  <c r="M15" i="776" s="1"/>
  <c r="T15" i="776" s="1"/>
  <c r="G12" i="776"/>
  <c r="I11" i="776"/>
  <c r="B116" i="776" s="1"/>
  <c r="M116" i="776" s="1"/>
  <c r="T116" i="776" s="1"/>
  <c r="B87" i="776"/>
  <c r="M87" i="776" s="1"/>
  <c r="T87" i="776" s="1"/>
  <c r="C12" i="776"/>
  <c r="D12" i="776"/>
  <c r="B88" i="776"/>
  <c r="M88" i="776" s="1"/>
  <c r="T88" i="776" s="1"/>
  <c r="B110" i="776"/>
  <c r="M110" i="776" s="1"/>
  <c r="T110" i="776" s="1"/>
  <c r="E12" i="776"/>
  <c r="B18" i="776"/>
  <c r="M18" i="776" s="1"/>
  <c r="T18" i="776" s="1"/>
  <c r="B19" i="776"/>
  <c r="M19" i="776" s="1"/>
  <c r="T19" i="776" s="1"/>
  <c r="B26" i="776"/>
  <c r="M26" i="776" s="1"/>
  <c r="T26" i="776" s="1"/>
  <c r="B29" i="776"/>
  <c r="M29" i="776" s="1"/>
  <c r="T29" i="776" s="1"/>
  <c r="B30" i="776"/>
  <c r="M30" i="776" s="1"/>
  <c r="T30" i="776" s="1"/>
  <c r="B31" i="776"/>
  <c r="M31" i="776" s="1"/>
  <c r="T31" i="776" s="1"/>
  <c r="B34" i="776"/>
  <c r="M34" i="776" s="1"/>
  <c r="T34" i="776" s="1"/>
  <c r="B35" i="776"/>
  <c r="M35" i="776" s="1"/>
  <c r="T35" i="776" s="1"/>
  <c r="B36" i="776"/>
  <c r="B39" i="776"/>
  <c r="M39" i="776" s="1"/>
  <c r="T39" i="776" s="1"/>
  <c r="B42" i="776"/>
  <c r="M42" i="776" s="1"/>
  <c r="T42" i="776" s="1"/>
  <c r="B45" i="776"/>
  <c r="M45" i="776" s="1"/>
  <c r="T45" i="776" s="1"/>
  <c r="B46" i="776"/>
  <c r="M46" i="776" s="1"/>
  <c r="T46" i="776" s="1"/>
  <c r="B47" i="776"/>
  <c r="M47" i="776" s="1"/>
  <c r="T47" i="776" s="1"/>
  <c r="B56" i="776"/>
  <c r="M56" i="776" s="1"/>
  <c r="T56" i="776" s="1"/>
  <c r="B113" i="776"/>
  <c r="M113" i="776" s="1"/>
  <c r="T113" i="776" s="1"/>
  <c r="F12" i="776"/>
  <c r="M49" i="776"/>
  <c r="T49" i="776" s="1"/>
  <c r="B57" i="776"/>
  <c r="M57" i="776" s="1"/>
  <c r="T57" i="776" s="1"/>
  <c r="B84" i="776"/>
  <c r="M84" i="776" s="1"/>
  <c r="T84" i="776" s="1"/>
  <c r="B112" i="776"/>
  <c r="M112" i="776" s="1"/>
  <c r="T112" i="776" s="1"/>
  <c r="B53" i="776"/>
  <c r="M53" i="776" s="1"/>
  <c r="T53" i="776" s="1"/>
  <c r="B58" i="776"/>
  <c r="M58" i="776" s="1"/>
  <c r="T58" i="776" s="1"/>
  <c r="B59" i="776"/>
  <c r="M59" i="776" s="1"/>
  <c r="T59" i="776" s="1"/>
  <c r="B60" i="776"/>
  <c r="M60" i="776" s="1"/>
  <c r="T60" i="776" s="1"/>
  <c r="B61" i="776"/>
  <c r="M61" i="776" s="1"/>
  <c r="T61" i="776" s="1"/>
  <c r="B62" i="776"/>
  <c r="M62" i="776" s="1"/>
  <c r="T62" i="776" s="1"/>
  <c r="B63" i="776"/>
  <c r="M63" i="776" s="1"/>
  <c r="T63" i="776" s="1"/>
  <c r="B64" i="776"/>
  <c r="M64" i="776" s="1"/>
  <c r="T64" i="776" s="1"/>
  <c r="B65" i="776"/>
  <c r="M65" i="776" s="1"/>
  <c r="T65" i="776" s="1"/>
  <c r="B66" i="776"/>
  <c r="M66" i="776" s="1"/>
  <c r="T66" i="776" s="1"/>
  <c r="B69" i="776"/>
  <c r="M69" i="776" s="1"/>
  <c r="T69" i="776" s="1"/>
  <c r="B75" i="776"/>
  <c r="M75" i="776" s="1"/>
  <c r="T75" i="776" s="1"/>
  <c r="B76" i="776"/>
  <c r="M76" i="776" s="1"/>
  <c r="T76" i="776" s="1"/>
  <c r="B77" i="776"/>
  <c r="M77" i="776" s="1"/>
  <c r="T77" i="776" s="1"/>
  <c r="B78" i="776"/>
  <c r="M78" i="776" s="1"/>
  <c r="T78" i="776" s="1"/>
  <c r="B79" i="776"/>
  <c r="M79" i="776" s="1"/>
  <c r="T79" i="776" s="1"/>
  <c r="B80" i="776"/>
  <c r="M80" i="776" s="1"/>
  <c r="T80" i="776" s="1"/>
  <c r="B81" i="776"/>
  <c r="M81" i="776" s="1"/>
  <c r="T81" i="776" s="1"/>
  <c r="B86" i="775"/>
  <c r="M86" i="775" s="1"/>
  <c r="T86" i="775" s="1"/>
  <c r="B85" i="775"/>
  <c r="M85" i="775" s="1"/>
  <c r="T85" i="775" s="1"/>
  <c r="C84" i="775"/>
  <c r="B84" i="775"/>
  <c r="M84" i="775" s="1"/>
  <c r="T84" i="775" s="1"/>
  <c r="B83" i="775"/>
  <c r="M83" i="775" s="1"/>
  <c r="T83" i="775" s="1"/>
  <c r="B82" i="775"/>
  <c r="M82" i="775" s="1"/>
  <c r="T82" i="775" s="1"/>
  <c r="C81" i="775"/>
  <c r="B81" i="775"/>
  <c r="M81" i="775" s="1"/>
  <c r="T81" i="775" s="1"/>
  <c r="B80" i="775"/>
  <c r="M80" i="775" s="1"/>
  <c r="T80" i="775" s="1"/>
  <c r="B79" i="775"/>
  <c r="M79" i="775" s="1"/>
  <c r="T79" i="775" s="1"/>
  <c r="C78" i="775"/>
  <c r="B78" i="775"/>
  <c r="M78" i="775" s="1"/>
  <c r="T78" i="775" s="1"/>
  <c r="B77" i="775"/>
  <c r="M77" i="775" s="1"/>
  <c r="T77" i="775" s="1"/>
  <c r="B76" i="775"/>
  <c r="M76" i="775" s="1"/>
  <c r="T76" i="775" s="1"/>
  <c r="C75" i="775"/>
  <c r="B75" i="775"/>
  <c r="M75" i="775" s="1"/>
  <c r="T75" i="775" s="1"/>
  <c r="B74" i="775"/>
  <c r="M74" i="775" s="1"/>
  <c r="T74" i="775" s="1"/>
  <c r="B73" i="775"/>
  <c r="M73" i="775" s="1"/>
  <c r="T73" i="775" s="1"/>
  <c r="C72" i="775"/>
  <c r="B72" i="775"/>
  <c r="M72" i="775" s="1"/>
  <c r="T72" i="775" s="1"/>
  <c r="B71" i="775"/>
  <c r="M71" i="775" s="1"/>
  <c r="T71" i="775" s="1"/>
  <c r="B70" i="775"/>
  <c r="M70" i="775" s="1"/>
  <c r="T70" i="775" s="1"/>
  <c r="C69" i="775"/>
  <c r="B69" i="775"/>
  <c r="M69" i="775" s="1"/>
  <c r="T69" i="775" s="1"/>
  <c r="C64" i="775"/>
  <c r="C60" i="775"/>
  <c r="C59" i="775"/>
  <c r="C58" i="775"/>
  <c r="C57" i="775"/>
  <c r="C56" i="775"/>
  <c r="C55" i="775"/>
  <c r="C54" i="775"/>
  <c r="C53" i="775"/>
  <c r="C52" i="775"/>
  <c r="C51" i="775"/>
  <c r="C50" i="775"/>
  <c r="C49" i="775"/>
  <c r="C48" i="775"/>
  <c r="C47" i="775"/>
  <c r="C46" i="775"/>
  <c r="C45" i="775"/>
  <c r="C44" i="775"/>
  <c r="C43" i="775"/>
  <c r="C42" i="775"/>
  <c r="C41" i="775"/>
  <c r="F40" i="775"/>
  <c r="C40" i="775"/>
  <c r="F39" i="775"/>
  <c r="C39" i="775"/>
  <c r="F38" i="775"/>
  <c r="C38" i="775"/>
  <c r="F37" i="775"/>
  <c r="C37" i="775"/>
  <c r="F36" i="775"/>
  <c r="C36" i="775"/>
  <c r="F35" i="775"/>
  <c r="C35" i="775"/>
  <c r="C34" i="775"/>
  <c r="C33" i="775"/>
  <c r="C32" i="775"/>
  <c r="C31" i="775"/>
  <c r="C30" i="775"/>
  <c r="C29" i="775"/>
  <c r="C28" i="775"/>
  <c r="C27" i="775"/>
  <c r="C26" i="775"/>
  <c r="C25" i="775"/>
  <c r="C24" i="775"/>
  <c r="C23" i="775"/>
  <c r="C22" i="775"/>
  <c r="C21" i="775"/>
  <c r="C20" i="775"/>
  <c r="C19" i="775"/>
  <c r="C18" i="775"/>
  <c r="C17" i="775"/>
  <c r="C16" i="775"/>
  <c r="C15" i="775"/>
  <c r="G11" i="775"/>
  <c r="B68" i="775" s="1"/>
  <c r="M68" i="775" s="1"/>
  <c r="T68" i="775" s="1"/>
  <c r="F11" i="775"/>
  <c r="B67" i="775" s="1"/>
  <c r="M67" i="775" s="1"/>
  <c r="T67" i="775" s="1"/>
  <c r="E11" i="775"/>
  <c r="B89" i="775" s="1"/>
  <c r="M89" i="775" s="1"/>
  <c r="T89" i="775" s="1"/>
  <c r="D11" i="775"/>
  <c r="C11" i="775"/>
  <c r="B87" i="775" s="1"/>
  <c r="M87" i="775" s="1"/>
  <c r="T87" i="775" s="1"/>
  <c r="I10" i="775"/>
  <c r="I9" i="775"/>
  <c r="I8" i="775"/>
  <c r="I7" i="775"/>
  <c r="I6" i="775"/>
  <c r="B62" i="775" s="1"/>
  <c r="M62" i="775" s="1"/>
  <c r="T62" i="775" s="1"/>
  <c r="I5" i="775"/>
  <c r="B61" i="775" s="1"/>
  <c r="M61" i="775" s="1"/>
  <c r="T61" i="775" s="1"/>
  <c r="B86" i="774"/>
  <c r="M86" i="774" s="1"/>
  <c r="T86" i="774" s="1"/>
  <c r="B85" i="774"/>
  <c r="M85" i="774" s="1"/>
  <c r="T85" i="774" s="1"/>
  <c r="C84" i="774"/>
  <c r="B84" i="774"/>
  <c r="M84" i="774" s="1"/>
  <c r="T84" i="774" s="1"/>
  <c r="B83" i="774"/>
  <c r="M83" i="774" s="1"/>
  <c r="T83" i="774" s="1"/>
  <c r="B82" i="774"/>
  <c r="M82" i="774" s="1"/>
  <c r="T82" i="774" s="1"/>
  <c r="C81" i="774"/>
  <c r="B81" i="774"/>
  <c r="M81" i="774" s="1"/>
  <c r="T81" i="774" s="1"/>
  <c r="B80" i="774"/>
  <c r="M80" i="774" s="1"/>
  <c r="T80" i="774" s="1"/>
  <c r="B79" i="774"/>
  <c r="M79" i="774" s="1"/>
  <c r="T79" i="774" s="1"/>
  <c r="C78" i="774"/>
  <c r="B78" i="774"/>
  <c r="M78" i="774" s="1"/>
  <c r="T78" i="774" s="1"/>
  <c r="B77" i="774"/>
  <c r="M77" i="774" s="1"/>
  <c r="T77" i="774" s="1"/>
  <c r="M76" i="774"/>
  <c r="T76" i="774" s="1"/>
  <c r="B76" i="774"/>
  <c r="M75" i="774"/>
  <c r="T75" i="774" s="1"/>
  <c r="C75" i="774"/>
  <c r="B75" i="774"/>
  <c r="B74" i="774"/>
  <c r="M74" i="774" s="1"/>
  <c r="T74" i="774" s="1"/>
  <c r="B73" i="774"/>
  <c r="M73" i="774" s="1"/>
  <c r="T73" i="774" s="1"/>
  <c r="C72" i="774"/>
  <c r="B72" i="774"/>
  <c r="M72" i="774" s="1"/>
  <c r="T72" i="774" s="1"/>
  <c r="B71" i="774"/>
  <c r="M71" i="774" s="1"/>
  <c r="T71" i="774" s="1"/>
  <c r="M70" i="774"/>
  <c r="T70" i="774" s="1"/>
  <c r="B70" i="774"/>
  <c r="C69" i="774"/>
  <c r="B69" i="774"/>
  <c r="M69" i="774" s="1"/>
  <c r="T69" i="774" s="1"/>
  <c r="C64" i="774"/>
  <c r="C60" i="774"/>
  <c r="C59" i="774"/>
  <c r="C58" i="774"/>
  <c r="C57" i="774"/>
  <c r="C56" i="774"/>
  <c r="C55" i="774"/>
  <c r="C54" i="774"/>
  <c r="C53" i="774"/>
  <c r="C52" i="774"/>
  <c r="C51" i="774"/>
  <c r="C50" i="774"/>
  <c r="C49" i="774"/>
  <c r="C48" i="774"/>
  <c r="C47" i="774"/>
  <c r="C46" i="774"/>
  <c r="C45" i="774"/>
  <c r="C44" i="774"/>
  <c r="C43" i="774"/>
  <c r="C42" i="774"/>
  <c r="C41" i="774"/>
  <c r="F40" i="774"/>
  <c r="C40" i="774"/>
  <c r="F39" i="774"/>
  <c r="C39" i="774"/>
  <c r="F38" i="774"/>
  <c r="C38" i="774"/>
  <c r="F37" i="774"/>
  <c r="C37" i="774"/>
  <c r="F36" i="774"/>
  <c r="C36" i="774"/>
  <c r="F35" i="774"/>
  <c r="C35" i="774"/>
  <c r="C34" i="774"/>
  <c r="C33" i="774"/>
  <c r="C32" i="774"/>
  <c r="C31" i="774"/>
  <c r="C30" i="774"/>
  <c r="C29" i="774"/>
  <c r="C28" i="774"/>
  <c r="C27" i="774"/>
  <c r="C26" i="774"/>
  <c r="C25" i="774"/>
  <c r="C24" i="774"/>
  <c r="C23" i="774"/>
  <c r="C22" i="774"/>
  <c r="C21" i="774"/>
  <c r="C20" i="774"/>
  <c r="C19" i="774"/>
  <c r="C18" i="774"/>
  <c r="C17" i="774"/>
  <c r="C16" i="774"/>
  <c r="C15" i="774"/>
  <c r="G11" i="774"/>
  <c r="B68" i="774" s="1"/>
  <c r="M68" i="774" s="1"/>
  <c r="T68" i="774" s="1"/>
  <c r="F11" i="774"/>
  <c r="B67" i="774" s="1"/>
  <c r="M67" i="774" s="1"/>
  <c r="T67" i="774" s="1"/>
  <c r="E11" i="774"/>
  <c r="B89" i="774" s="1"/>
  <c r="M89" i="774" s="1"/>
  <c r="T89" i="774" s="1"/>
  <c r="D11" i="774"/>
  <c r="C11" i="774"/>
  <c r="B87" i="774" s="1"/>
  <c r="M87" i="774" s="1"/>
  <c r="T87" i="774" s="1"/>
  <c r="I10" i="774"/>
  <c r="I9" i="774"/>
  <c r="I8" i="774"/>
  <c r="I7" i="774"/>
  <c r="I6" i="774"/>
  <c r="B62" i="774" s="1"/>
  <c r="M62" i="774" s="1"/>
  <c r="T62" i="774" s="1"/>
  <c r="I5" i="774"/>
  <c r="B47" i="774" s="1"/>
  <c r="M47" i="774" s="1"/>
  <c r="T47" i="774" s="1"/>
  <c r="M36" i="776" l="1"/>
  <c r="T36" i="776" s="1"/>
  <c r="I12" i="776"/>
  <c r="I2" i="776"/>
  <c r="B114" i="776"/>
  <c r="M114" i="776" s="1"/>
  <c r="T114" i="776" s="1"/>
  <c r="B115" i="776"/>
  <c r="M115" i="776" s="1"/>
  <c r="T115" i="776" s="1"/>
  <c r="B85" i="776"/>
  <c r="M85" i="776" s="1"/>
  <c r="T85" i="776" s="1"/>
  <c r="B54" i="775"/>
  <c r="M54" i="775" s="1"/>
  <c r="T54" i="775" s="1"/>
  <c r="G12" i="775"/>
  <c r="B46" i="775"/>
  <c r="M46" i="775" s="1"/>
  <c r="T46" i="775" s="1"/>
  <c r="C12" i="774"/>
  <c r="F12" i="774"/>
  <c r="G12" i="774"/>
  <c r="B44" i="775"/>
  <c r="M44" i="775" s="1"/>
  <c r="T44" i="775" s="1"/>
  <c r="B52" i="775"/>
  <c r="M52" i="775" s="1"/>
  <c r="T52" i="775" s="1"/>
  <c r="B60" i="775"/>
  <c r="M60" i="775" s="1"/>
  <c r="T60" i="775" s="1"/>
  <c r="B42" i="775"/>
  <c r="M42" i="775" s="1"/>
  <c r="T42" i="775" s="1"/>
  <c r="B50" i="775"/>
  <c r="M50" i="775" s="1"/>
  <c r="T50" i="775" s="1"/>
  <c r="B58" i="775"/>
  <c r="M58" i="775" s="1"/>
  <c r="T58" i="775" s="1"/>
  <c r="I11" i="775"/>
  <c r="I2" i="775" s="1"/>
  <c r="C12" i="775"/>
  <c r="B48" i="775"/>
  <c r="M48" i="775" s="1"/>
  <c r="T48" i="775" s="1"/>
  <c r="B56" i="775"/>
  <c r="M56" i="775" s="1"/>
  <c r="T56" i="775" s="1"/>
  <c r="B88" i="775"/>
  <c r="M88" i="775" s="1"/>
  <c r="T88" i="775" s="1"/>
  <c r="B43" i="775"/>
  <c r="M43" i="775" s="1"/>
  <c r="T43" i="775" s="1"/>
  <c r="B45" i="775"/>
  <c r="M45" i="775" s="1"/>
  <c r="T45" i="775" s="1"/>
  <c r="B49" i="775"/>
  <c r="M49" i="775" s="1"/>
  <c r="T49" i="775" s="1"/>
  <c r="B53" i="775"/>
  <c r="M53" i="775" s="1"/>
  <c r="T53" i="775" s="1"/>
  <c r="B59" i="775"/>
  <c r="M59" i="775" s="1"/>
  <c r="T59" i="775" s="1"/>
  <c r="D12" i="775"/>
  <c r="B38" i="775"/>
  <c r="M38" i="775" s="1"/>
  <c r="T38" i="775" s="1"/>
  <c r="B64" i="775"/>
  <c r="M64" i="775" s="1"/>
  <c r="T64" i="775" s="1"/>
  <c r="B65" i="775"/>
  <c r="M65" i="775" s="1"/>
  <c r="T65" i="775" s="1"/>
  <c r="B37" i="775"/>
  <c r="M37" i="775" s="1"/>
  <c r="T37" i="775" s="1"/>
  <c r="B47" i="775"/>
  <c r="M47" i="775" s="1"/>
  <c r="T47" i="775" s="1"/>
  <c r="B55" i="775"/>
  <c r="M55" i="775" s="1"/>
  <c r="T55" i="775" s="1"/>
  <c r="B66" i="775"/>
  <c r="M66" i="775" s="1"/>
  <c r="T66" i="775" s="1"/>
  <c r="E12" i="775"/>
  <c r="B15" i="775"/>
  <c r="M15" i="775" s="1"/>
  <c r="T15" i="775" s="1"/>
  <c r="B16" i="775"/>
  <c r="M16" i="775" s="1"/>
  <c r="T16" i="775" s="1"/>
  <c r="B17" i="775"/>
  <c r="M17" i="775" s="1"/>
  <c r="T17" i="775" s="1"/>
  <c r="B18" i="775"/>
  <c r="M18" i="775" s="1"/>
  <c r="T18" i="775" s="1"/>
  <c r="B19" i="775"/>
  <c r="M19" i="775" s="1"/>
  <c r="T19" i="775" s="1"/>
  <c r="B20" i="775"/>
  <c r="M20" i="775" s="1"/>
  <c r="T20" i="775" s="1"/>
  <c r="B21" i="775"/>
  <c r="M21" i="775" s="1"/>
  <c r="T21" i="775" s="1"/>
  <c r="B22" i="775"/>
  <c r="M22" i="775" s="1"/>
  <c r="T22" i="775" s="1"/>
  <c r="B23" i="775"/>
  <c r="M23" i="775" s="1"/>
  <c r="T23" i="775" s="1"/>
  <c r="B24" i="775"/>
  <c r="M24" i="775" s="1"/>
  <c r="T24" i="775" s="1"/>
  <c r="B25" i="775"/>
  <c r="M25" i="775" s="1"/>
  <c r="T25" i="775" s="1"/>
  <c r="B26" i="775"/>
  <c r="M26" i="775" s="1"/>
  <c r="T26" i="775" s="1"/>
  <c r="B27" i="775"/>
  <c r="M27" i="775" s="1"/>
  <c r="T27" i="775" s="1"/>
  <c r="B28" i="775"/>
  <c r="M28" i="775" s="1"/>
  <c r="T28" i="775" s="1"/>
  <c r="B29" i="775"/>
  <c r="M29" i="775" s="1"/>
  <c r="T29" i="775" s="1"/>
  <c r="B30" i="775"/>
  <c r="M30" i="775" s="1"/>
  <c r="T30" i="775" s="1"/>
  <c r="B31" i="775"/>
  <c r="M31" i="775" s="1"/>
  <c r="T31" i="775" s="1"/>
  <c r="B32" i="775"/>
  <c r="M32" i="775" s="1"/>
  <c r="T32" i="775" s="1"/>
  <c r="B33" i="775"/>
  <c r="M33" i="775" s="1"/>
  <c r="T33" i="775" s="1"/>
  <c r="B34" i="775"/>
  <c r="M34" i="775" s="1"/>
  <c r="T34" i="775" s="1"/>
  <c r="B35" i="775"/>
  <c r="M35" i="775" s="1"/>
  <c r="T35" i="775" s="1"/>
  <c r="B39" i="775"/>
  <c r="M39" i="775" s="1"/>
  <c r="T39" i="775" s="1"/>
  <c r="B90" i="775"/>
  <c r="M90" i="775" s="1"/>
  <c r="T90" i="775" s="1"/>
  <c r="B41" i="775"/>
  <c r="M41" i="775" s="1"/>
  <c r="T41" i="775" s="1"/>
  <c r="B51" i="775"/>
  <c r="M51" i="775" s="1"/>
  <c r="T51" i="775" s="1"/>
  <c r="B57" i="775"/>
  <c r="M57" i="775" s="1"/>
  <c r="T57" i="775" s="1"/>
  <c r="F12" i="775"/>
  <c r="B36" i="775"/>
  <c r="M36" i="775" s="1"/>
  <c r="T36" i="775" s="1"/>
  <c r="B40" i="775"/>
  <c r="M40" i="775" s="1"/>
  <c r="T40" i="775" s="1"/>
  <c r="B44" i="774"/>
  <c r="M44" i="774" s="1"/>
  <c r="T44" i="774" s="1"/>
  <c r="B52" i="774"/>
  <c r="M52" i="774" s="1"/>
  <c r="T52" i="774" s="1"/>
  <c r="B60" i="774"/>
  <c r="M60" i="774" s="1"/>
  <c r="T60" i="774" s="1"/>
  <c r="B42" i="774"/>
  <c r="M42" i="774" s="1"/>
  <c r="T42" i="774" s="1"/>
  <c r="B50" i="774"/>
  <c r="M50" i="774" s="1"/>
  <c r="T50" i="774" s="1"/>
  <c r="B58" i="774"/>
  <c r="M58" i="774" s="1"/>
  <c r="T58" i="774" s="1"/>
  <c r="B48" i="774"/>
  <c r="M48" i="774" s="1"/>
  <c r="T48" i="774" s="1"/>
  <c r="B56" i="774"/>
  <c r="M56" i="774" s="1"/>
  <c r="T56" i="774" s="1"/>
  <c r="B46" i="774"/>
  <c r="M46" i="774" s="1"/>
  <c r="T46" i="774" s="1"/>
  <c r="B54" i="774"/>
  <c r="M54" i="774" s="1"/>
  <c r="T54" i="774" s="1"/>
  <c r="I11" i="774"/>
  <c r="B93" i="774" s="1"/>
  <c r="M93" i="774" s="1"/>
  <c r="T93" i="774" s="1"/>
  <c r="B43" i="774"/>
  <c r="M43" i="774" s="1"/>
  <c r="T43" i="774" s="1"/>
  <c r="B45" i="774"/>
  <c r="M45" i="774" s="1"/>
  <c r="T45" i="774" s="1"/>
  <c r="B51" i="774"/>
  <c r="M51" i="774" s="1"/>
  <c r="T51" i="774" s="1"/>
  <c r="B57" i="774"/>
  <c r="M57" i="774" s="1"/>
  <c r="T57" i="774" s="1"/>
  <c r="B59" i="774"/>
  <c r="M59" i="774" s="1"/>
  <c r="T59" i="774" s="1"/>
  <c r="B88" i="774"/>
  <c r="M88" i="774" s="1"/>
  <c r="T88" i="774" s="1"/>
  <c r="D12" i="774"/>
  <c r="B38" i="774"/>
  <c r="M38" i="774" s="1"/>
  <c r="T38" i="774" s="1"/>
  <c r="B64" i="774"/>
  <c r="M64" i="774" s="1"/>
  <c r="T64" i="774" s="1"/>
  <c r="B65" i="774"/>
  <c r="M65" i="774" s="1"/>
  <c r="T65" i="774" s="1"/>
  <c r="B37" i="774"/>
  <c r="M37" i="774" s="1"/>
  <c r="T37" i="774" s="1"/>
  <c r="B49" i="774"/>
  <c r="M49" i="774" s="1"/>
  <c r="T49" i="774" s="1"/>
  <c r="B53" i="774"/>
  <c r="M53" i="774" s="1"/>
  <c r="T53" i="774" s="1"/>
  <c r="B55" i="774"/>
  <c r="M55" i="774" s="1"/>
  <c r="T55" i="774" s="1"/>
  <c r="B61" i="774"/>
  <c r="M61" i="774" s="1"/>
  <c r="T61" i="774" s="1"/>
  <c r="B66" i="774"/>
  <c r="M66" i="774" s="1"/>
  <c r="T66" i="774" s="1"/>
  <c r="E12" i="774"/>
  <c r="B15" i="774"/>
  <c r="M15" i="774" s="1"/>
  <c r="T15" i="774" s="1"/>
  <c r="B16" i="774"/>
  <c r="M16" i="774" s="1"/>
  <c r="T16" i="774" s="1"/>
  <c r="B17" i="774"/>
  <c r="M17" i="774" s="1"/>
  <c r="T17" i="774" s="1"/>
  <c r="B18" i="774"/>
  <c r="M18" i="774" s="1"/>
  <c r="T18" i="774" s="1"/>
  <c r="B19" i="774"/>
  <c r="M19" i="774" s="1"/>
  <c r="T19" i="774" s="1"/>
  <c r="B20" i="774"/>
  <c r="M20" i="774" s="1"/>
  <c r="T20" i="774" s="1"/>
  <c r="B21" i="774"/>
  <c r="M21" i="774" s="1"/>
  <c r="T21" i="774" s="1"/>
  <c r="B22" i="774"/>
  <c r="M22" i="774" s="1"/>
  <c r="T22" i="774" s="1"/>
  <c r="B23" i="774"/>
  <c r="M23" i="774" s="1"/>
  <c r="T23" i="774" s="1"/>
  <c r="B24" i="774"/>
  <c r="M24" i="774" s="1"/>
  <c r="T24" i="774" s="1"/>
  <c r="B25" i="774"/>
  <c r="M25" i="774" s="1"/>
  <c r="T25" i="774" s="1"/>
  <c r="B26" i="774"/>
  <c r="M26" i="774" s="1"/>
  <c r="T26" i="774" s="1"/>
  <c r="B27" i="774"/>
  <c r="M27" i="774" s="1"/>
  <c r="T27" i="774" s="1"/>
  <c r="B28" i="774"/>
  <c r="M28" i="774" s="1"/>
  <c r="T28" i="774" s="1"/>
  <c r="B29" i="774"/>
  <c r="M29" i="774" s="1"/>
  <c r="T29" i="774" s="1"/>
  <c r="B30" i="774"/>
  <c r="M30" i="774" s="1"/>
  <c r="T30" i="774" s="1"/>
  <c r="B31" i="774"/>
  <c r="T31" i="774" s="1"/>
  <c r="B32" i="774"/>
  <c r="T32" i="774" s="1"/>
  <c r="B33" i="774"/>
  <c r="M33" i="774" s="1"/>
  <c r="T33" i="774" s="1"/>
  <c r="B34" i="774"/>
  <c r="M34" i="774" s="1"/>
  <c r="T34" i="774" s="1"/>
  <c r="B35" i="774"/>
  <c r="M35" i="774" s="1"/>
  <c r="T35" i="774" s="1"/>
  <c r="B39" i="774"/>
  <c r="M39" i="774" s="1"/>
  <c r="T39" i="774" s="1"/>
  <c r="B90" i="774"/>
  <c r="M90" i="774" s="1"/>
  <c r="T90" i="774" s="1"/>
  <c r="B41" i="774"/>
  <c r="M41" i="774" s="1"/>
  <c r="T41" i="774" s="1"/>
  <c r="B36" i="774"/>
  <c r="M36" i="774" s="1"/>
  <c r="T36" i="774" s="1"/>
  <c r="B40" i="774"/>
  <c r="M40" i="774" s="1"/>
  <c r="T40" i="774" s="1"/>
  <c r="B91" i="775" l="1"/>
  <c r="M91" i="775" s="1"/>
  <c r="T91" i="775" s="1"/>
  <c r="B92" i="775"/>
  <c r="M92" i="775" s="1"/>
  <c r="T92" i="775" s="1"/>
  <c r="B93" i="775"/>
  <c r="M93" i="775" s="1"/>
  <c r="T93" i="775" s="1"/>
  <c r="B63" i="775"/>
  <c r="M63" i="775" s="1"/>
  <c r="T63" i="775" s="1"/>
  <c r="I12" i="775"/>
  <c r="B91" i="774"/>
  <c r="M91" i="774" s="1"/>
  <c r="T91" i="774" s="1"/>
  <c r="I12" i="774"/>
  <c r="B92" i="774"/>
  <c r="M92" i="774" s="1"/>
  <c r="T92" i="774" s="1"/>
  <c r="B63" i="774"/>
  <c r="M63" i="774" s="1"/>
  <c r="T63" i="774" s="1"/>
  <c r="I2" i="774"/>
  <c r="C48" i="773" l="1"/>
  <c r="C47" i="773"/>
  <c r="F38" i="773"/>
  <c r="C38" i="773"/>
  <c r="F37" i="773"/>
  <c r="C37" i="773"/>
  <c r="B86" i="773" l="1"/>
  <c r="M86" i="773" s="1"/>
  <c r="T86" i="773" s="1"/>
  <c r="B85" i="773"/>
  <c r="M85" i="773" s="1"/>
  <c r="T85" i="773" s="1"/>
  <c r="C84" i="773"/>
  <c r="B84" i="773"/>
  <c r="M84" i="773" s="1"/>
  <c r="T84" i="773" s="1"/>
  <c r="B83" i="773"/>
  <c r="M83" i="773" s="1"/>
  <c r="T83" i="773" s="1"/>
  <c r="B82" i="773"/>
  <c r="M82" i="773" s="1"/>
  <c r="T82" i="773" s="1"/>
  <c r="C81" i="773"/>
  <c r="B81" i="773"/>
  <c r="M81" i="773" s="1"/>
  <c r="T81" i="773" s="1"/>
  <c r="B80" i="773"/>
  <c r="M80" i="773" s="1"/>
  <c r="T80" i="773" s="1"/>
  <c r="B79" i="773"/>
  <c r="M79" i="773" s="1"/>
  <c r="T79" i="773" s="1"/>
  <c r="C78" i="773"/>
  <c r="B78" i="773"/>
  <c r="M78" i="773" s="1"/>
  <c r="T78" i="773" s="1"/>
  <c r="B77" i="773"/>
  <c r="M77" i="773" s="1"/>
  <c r="T77" i="773" s="1"/>
  <c r="B76" i="773"/>
  <c r="M76" i="773" s="1"/>
  <c r="T76" i="773" s="1"/>
  <c r="C75" i="773"/>
  <c r="B75" i="773"/>
  <c r="M75" i="773" s="1"/>
  <c r="T75" i="773" s="1"/>
  <c r="B74" i="773"/>
  <c r="M74" i="773" s="1"/>
  <c r="T74" i="773" s="1"/>
  <c r="B73" i="773"/>
  <c r="M73" i="773" s="1"/>
  <c r="T73" i="773" s="1"/>
  <c r="C72" i="773"/>
  <c r="B72" i="773"/>
  <c r="M72" i="773" s="1"/>
  <c r="T72" i="773" s="1"/>
  <c r="B71" i="773"/>
  <c r="M71" i="773" s="1"/>
  <c r="T71" i="773" s="1"/>
  <c r="B70" i="773"/>
  <c r="M70" i="773" s="1"/>
  <c r="T70" i="773" s="1"/>
  <c r="C69" i="773"/>
  <c r="B69" i="773"/>
  <c r="M69" i="773" s="1"/>
  <c r="T69" i="773" s="1"/>
  <c r="C64" i="773"/>
  <c r="C60" i="773"/>
  <c r="C59" i="773"/>
  <c r="C58" i="773"/>
  <c r="C57" i="773"/>
  <c r="C56" i="773"/>
  <c r="C55" i="773"/>
  <c r="C54" i="773"/>
  <c r="C53" i="773"/>
  <c r="C52" i="773"/>
  <c r="C51" i="773"/>
  <c r="C50" i="773"/>
  <c r="C49" i="773"/>
  <c r="C46" i="773"/>
  <c r="C45" i="773"/>
  <c r="C44" i="773"/>
  <c r="C43" i="773"/>
  <c r="C42" i="773"/>
  <c r="C41" i="773"/>
  <c r="F40" i="773"/>
  <c r="C40" i="773"/>
  <c r="F39" i="773"/>
  <c r="C39" i="773"/>
  <c r="F36" i="773"/>
  <c r="C36" i="773"/>
  <c r="F35" i="773"/>
  <c r="C35" i="773"/>
  <c r="C34" i="773"/>
  <c r="C33" i="773"/>
  <c r="C32" i="773"/>
  <c r="C31" i="773"/>
  <c r="C30" i="773"/>
  <c r="C29" i="773"/>
  <c r="C28" i="773"/>
  <c r="C27" i="773"/>
  <c r="C26" i="773"/>
  <c r="C25" i="773"/>
  <c r="C24" i="773"/>
  <c r="C23" i="773"/>
  <c r="C22" i="773"/>
  <c r="C21" i="773"/>
  <c r="C20" i="773"/>
  <c r="C19" i="773"/>
  <c r="C18" i="773"/>
  <c r="C17" i="773"/>
  <c r="C16" i="773"/>
  <c r="C15" i="773"/>
  <c r="G11" i="773"/>
  <c r="G12" i="773" s="1"/>
  <c r="F11" i="773"/>
  <c r="B67" i="773" s="1"/>
  <c r="M67" i="773" s="1"/>
  <c r="T67" i="773" s="1"/>
  <c r="E11" i="773"/>
  <c r="B66" i="773" s="1"/>
  <c r="M66" i="773" s="1"/>
  <c r="T66" i="773" s="1"/>
  <c r="D11" i="773"/>
  <c r="B88" i="773" s="1"/>
  <c r="M88" i="773" s="1"/>
  <c r="T88" i="773" s="1"/>
  <c r="C11" i="773"/>
  <c r="C12" i="773" s="1"/>
  <c r="I10" i="773"/>
  <c r="I9" i="773"/>
  <c r="I8" i="773"/>
  <c r="I7" i="773"/>
  <c r="I6" i="773"/>
  <c r="B48" i="773" s="1"/>
  <c r="M48" i="773" s="1"/>
  <c r="T48" i="773" s="1"/>
  <c r="I5" i="773"/>
  <c r="B47" i="773" s="1"/>
  <c r="M47" i="773" s="1"/>
  <c r="T47" i="773" s="1"/>
  <c r="B61" i="773" l="1"/>
  <c r="M61" i="773" s="1"/>
  <c r="T61" i="773" s="1"/>
  <c r="B62" i="773"/>
  <c r="M62" i="773" s="1"/>
  <c r="T62" i="773" s="1"/>
  <c r="B34" i="773"/>
  <c r="M34" i="773" s="1"/>
  <c r="T34" i="773" s="1"/>
  <c r="B38" i="773"/>
  <c r="M38" i="773" s="1"/>
  <c r="T38" i="773" s="1"/>
  <c r="B64" i="773"/>
  <c r="M64" i="773" s="1"/>
  <c r="T64" i="773" s="1"/>
  <c r="B39" i="773"/>
  <c r="M39" i="773" s="1"/>
  <c r="T39" i="773" s="1"/>
  <c r="B37" i="773"/>
  <c r="M37" i="773" s="1"/>
  <c r="T37" i="773" s="1"/>
  <c r="B87" i="773"/>
  <c r="M87" i="773" s="1"/>
  <c r="T87" i="773" s="1"/>
  <c r="B65" i="773"/>
  <c r="M65" i="773" s="1"/>
  <c r="T65" i="773" s="1"/>
  <c r="D12" i="773"/>
  <c r="E12" i="773"/>
  <c r="B15" i="773"/>
  <c r="M15" i="773" s="1"/>
  <c r="T15" i="773" s="1"/>
  <c r="B16" i="773"/>
  <c r="M16" i="773" s="1"/>
  <c r="T16" i="773" s="1"/>
  <c r="B17" i="773"/>
  <c r="M17" i="773" s="1"/>
  <c r="T17" i="773" s="1"/>
  <c r="B18" i="773"/>
  <c r="M18" i="773" s="1"/>
  <c r="T18" i="773" s="1"/>
  <c r="B19" i="773"/>
  <c r="M19" i="773" s="1"/>
  <c r="T19" i="773" s="1"/>
  <c r="B35" i="773"/>
  <c r="M35" i="773" s="1"/>
  <c r="T35" i="773" s="1"/>
  <c r="B41" i="773"/>
  <c r="M41" i="773" s="1"/>
  <c r="T41" i="773" s="1"/>
  <c r="B42" i="773"/>
  <c r="M42" i="773" s="1"/>
  <c r="T42" i="773" s="1"/>
  <c r="B43" i="773"/>
  <c r="M43" i="773" s="1"/>
  <c r="T43" i="773" s="1"/>
  <c r="B44" i="773"/>
  <c r="M44" i="773" s="1"/>
  <c r="T44" i="773" s="1"/>
  <c r="B45" i="773"/>
  <c r="M45" i="773" s="1"/>
  <c r="T45" i="773" s="1"/>
  <c r="B46" i="773"/>
  <c r="M46" i="773" s="1"/>
  <c r="T46" i="773" s="1"/>
  <c r="B49" i="773"/>
  <c r="M49" i="773" s="1"/>
  <c r="T49" i="773" s="1"/>
  <c r="B50" i="773"/>
  <c r="M50" i="773" s="1"/>
  <c r="T50" i="773" s="1"/>
  <c r="B51" i="773"/>
  <c r="M51" i="773" s="1"/>
  <c r="T51" i="773" s="1"/>
  <c r="B52" i="773"/>
  <c r="M52" i="773" s="1"/>
  <c r="T52" i="773" s="1"/>
  <c r="B53" i="773"/>
  <c r="M53" i="773" s="1"/>
  <c r="T53" i="773" s="1"/>
  <c r="B54" i="773"/>
  <c r="M54" i="773" s="1"/>
  <c r="T54" i="773" s="1"/>
  <c r="B55" i="773"/>
  <c r="M55" i="773" s="1"/>
  <c r="T55" i="773" s="1"/>
  <c r="B56" i="773"/>
  <c r="M56" i="773" s="1"/>
  <c r="T56" i="773" s="1"/>
  <c r="B57" i="773"/>
  <c r="M57" i="773" s="1"/>
  <c r="T57" i="773" s="1"/>
  <c r="B58" i="773"/>
  <c r="M58" i="773" s="1"/>
  <c r="T58" i="773" s="1"/>
  <c r="B59" i="773"/>
  <c r="M59" i="773" s="1"/>
  <c r="T59" i="773" s="1"/>
  <c r="B60" i="773"/>
  <c r="M60" i="773" s="1"/>
  <c r="T60" i="773" s="1"/>
  <c r="B68" i="773"/>
  <c r="M68" i="773" s="1"/>
  <c r="T68" i="773" s="1"/>
  <c r="B90" i="773"/>
  <c r="M90" i="773" s="1"/>
  <c r="T90" i="773" s="1"/>
  <c r="B40" i="773"/>
  <c r="M40" i="773" s="1"/>
  <c r="T40" i="773" s="1"/>
  <c r="I11" i="773"/>
  <c r="F12" i="773"/>
  <c r="B20" i="773"/>
  <c r="M20" i="773" s="1"/>
  <c r="T20" i="773" s="1"/>
  <c r="B36" i="773"/>
  <c r="M36" i="773" s="1"/>
  <c r="T36" i="773" s="1"/>
  <c r="B89" i="773"/>
  <c r="M89" i="773" s="1"/>
  <c r="T89" i="773" s="1"/>
  <c r="B21" i="773"/>
  <c r="M21" i="773" s="1"/>
  <c r="T21" i="773" s="1"/>
  <c r="B22" i="773"/>
  <c r="M22" i="773" s="1"/>
  <c r="T22" i="773" s="1"/>
  <c r="B23" i="773"/>
  <c r="M23" i="773" s="1"/>
  <c r="T23" i="773" s="1"/>
  <c r="B24" i="773"/>
  <c r="M24" i="773" s="1"/>
  <c r="T24" i="773" s="1"/>
  <c r="B25" i="773"/>
  <c r="M25" i="773" s="1"/>
  <c r="T25" i="773" s="1"/>
  <c r="B26" i="773"/>
  <c r="M26" i="773" s="1"/>
  <c r="T26" i="773" s="1"/>
  <c r="B27" i="773"/>
  <c r="T27" i="773" s="1"/>
  <c r="B28" i="773"/>
  <c r="M28" i="773" s="1"/>
  <c r="T28" i="773" s="1"/>
  <c r="B29" i="773"/>
  <c r="M29" i="773" s="1"/>
  <c r="T29" i="773" s="1"/>
  <c r="B30" i="773"/>
  <c r="M30" i="773" s="1"/>
  <c r="T30" i="773" s="1"/>
  <c r="B31" i="773"/>
  <c r="M31" i="773" s="1"/>
  <c r="T31" i="773" s="1"/>
  <c r="B32" i="773"/>
  <c r="M32" i="773" s="1"/>
  <c r="T32" i="773" s="1"/>
  <c r="B33" i="773"/>
  <c r="M33" i="773" s="1"/>
  <c r="T33" i="773" s="1"/>
  <c r="B91" i="773" l="1"/>
  <c r="M91" i="773" s="1"/>
  <c r="T91" i="773" s="1"/>
  <c r="B92" i="773"/>
  <c r="M92" i="773" s="1"/>
  <c r="T92" i="773" s="1"/>
  <c r="I2" i="773"/>
  <c r="I12" i="773"/>
  <c r="B93" i="773"/>
  <c r="M93" i="773" s="1"/>
  <c r="T93" i="773" s="1"/>
  <c r="B63" i="773"/>
  <c r="M63" i="773" s="1"/>
  <c r="T63" i="773" s="1"/>
  <c r="B103" i="770" l="1"/>
  <c r="M103" i="770" s="1"/>
  <c r="T103" i="770" s="1"/>
  <c r="B99" i="770"/>
  <c r="M99" i="770" s="1"/>
  <c r="T99" i="770" s="1"/>
  <c r="B98" i="770"/>
  <c r="M98" i="770" s="1"/>
  <c r="T98" i="770" s="1"/>
  <c r="T97" i="770"/>
  <c r="C97" i="770"/>
  <c r="B97" i="770"/>
  <c r="M97" i="770" s="1"/>
  <c r="B95" i="770"/>
  <c r="M95" i="770" s="1"/>
  <c r="T95" i="770" s="1"/>
  <c r="C94" i="770"/>
  <c r="B94" i="770"/>
  <c r="M94" i="770" s="1"/>
  <c r="T94" i="770" s="1"/>
  <c r="B93" i="770"/>
  <c r="M93" i="770" s="1"/>
  <c r="T93" i="770" s="1"/>
  <c r="B92" i="770"/>
  <c r="M92" i="770" s="1"/>
  <c r="T92" i="770" s="1"/>
  <c r="C91" i="770"/>
  <c r="B91" i="770"/>
  <c r="M91" i="770" s="1"/>
  <c r="T91" i="770" s="1"/>
  <c r="B90" i="770"/>
  <c r="M90" i="770" s="1"/>
  <c r="T90" i="770" s="1"/>
  <c r="M89" i="770"/>
  <c r="T89" i="770" s="1"/>
  <c r="B89" i="770"/>
  <c r="C88" i="770"/>
  <c r="B88" i="770"/>
  <c r="M88" i="770" s="1"/>
  <c r="T88" i="770" s="1"/>
  <c r="B87" i="770"/>
  <c r="M87" i="770" s="1"/>
  <c r="T87" i="770" s="1"/>
  <c r="B86" i="770"/>
  <c r="M86" i="770" s="1"/>
  <c r="T86" i="770" s="1"/>
  <c r="C85" i="770"/>
  <c r="B85" i="770"/>
  <c r="M85" i="770" s="1"/>
  <c r="T85" i="770" s="1"/>
  <c r="B83" i="770"/>
  <c r="M83" i="770" s="1"/>
  <c r="T83" i="770" s="1"/>
  <c r="C82" i="770"/>
  <c r="B82" i="770"/>
  <c r="M82" i="770" s="1"/>
  <c r="T82" i="770" s="1"/>
  <c r="B81" i="770"/>
  <c r="M81" i="770" s="1"/>
  <c r="T81" i="770" s="1"/>
  <c r="C77" i="770"/>
  <c r="C76" i="770"/>
  <c r="C75" i="770"/>
  <c r="C74" i="770"/>
  <c r="C73" i="770"/>
  <c r="C72" i="770"/>
  <c r="C71" i="770"/>
  <c r="C70" i="770"/>
  <c r="C69" i="770"/>
  <c r="C68" i="770"/>
  <c r="C67" i="770"/>
  <c r="C66" i="770"/>
  <c r="C65" i="770"/>
  <c r="C64" i="770"/>
  <c r="C63" i="770"/>
  <c r="C62" i="770"/>
  <c r="C61" i="770"/>
  <c r="C60" i="770"/>
  <c r="C59" i="770"/>
  <c r="C58" i="770"/>
  <c r="C57" i="770"/>
  <c r="C56" i="770"/>
  <c r="C55" i="770"/>
  <c r="C54" i="770"/>
  <c r="C53" i="770"/>
  <c r="F52" i="770"/>
  <c r="C52" i="770"/>
  <c r="F51" i="770"/>
  <c r="C51" i="770"/>
  <c r="F50" i="770"/>
  <c r="C50" i="770"/>
  <c r="F49" i="770"/>
  <c r="C49" i="770"/>
  <c r="F48" i="770"/>
  <c r="C48" i="770"/>
  <c r="F47" i="770"/>
  <c r="C47" i="770"/>
  <c r="T46" i="770"/>
  <c r="F46" i="770"/>
  <c r="C46" i="770"/>
  <c r="B46" i="770"/>
  <c r="M46" i="770" s="1"/>
  <c r="F45" i="770"/>
  <c r="C45" i="770"/>
  <c r="F44" i="770"/>
  <c r="C44" i="770"/>
  <c r="C43" i="770"/>
  <c r="C42" i="770"/>
  <c r="C41" i="770"/>
  <c r="C40" i="770"/>
  <c r="C39" i="770"/>
  <c r="C38" i="770"/>
  <c r="C37" i="770"/>
  <c r="C36" i="770"/>
  <c r="C35" i="770"/>
  <c r="C34" i="770"/>
  <c r="C33" i="770"/>
  <c r="C32" i="770"/>
  <c r="C31" i="770"/>
  <c r="C30" i="770"/>
  <c r="C29" i="770"/>
  <c r="C28" i="770"/>
  <c r="C27" i="770"/>
  <c r="C26" i="770"/>
  <c r="C25" i="770"/>
  <c r="C24" i="770"/>
  <c r="C23" i="770"/>
  <c r="C22" i="770"/>
  <c r="C21" i="770"/>
  <c r="C20" i="770"/>
  <c r="C19" i="770"/>
  <c r="C18" i="770"/>
  <c r="C17" i="770"/>
  <c r="C16" i="770"/>
  <c r="C15" i="770"/>
  <c r="G12" i="770"/>
  <c r="F12" i="770"/>
  <c r="G11" i="770"/>
  <c r="F11" i="770"/>
  <c r="B80" i="770" s="1"/>
  <c r="M80" i="770" s="1"/>
  <c r="T80" i="770" s="1"/>
  <c r="E11" i="770"/>
  <c r="D11" i="770"/>
  <c r="B78" i="770" s="1"/>
  <c r="M78" i="770" s="1"/>
  <c r="T78" i="770" s="1"/>
  <c r="C11" i="770"/>
  <c r="B100" i="770" s="1"/>
  <c r="M100" i="770" s="1"/>
  <c r="T100" i="770" s="1"/>
  <c r="I10" i="770"/>
  <c r="I9" i="770"/>
  <c r="I8" i="770"/>
  <c r="I7" i="770"/>
  <c r="B76" i="770" s="1"/>
  <c r="M76" i="770" s="1"/>
  <c r="T76" i="770" s="1"/>
  <c r="I5" i="770"/>
  <c r="B74" i="770" s="1"/>
  <c r="M74" i="770" s="1"/>
  <c r="T74" i="770" s="1"/>
  <c r="B84" i="770"/>
  <c r="M84" i="770" s="1"/>
  <c r="T84" i="770" s="1"/>
  <c r="E6" i="769"/>
  <c r="E5" i="769"/>
  <c r="C12" i="770" l="1"/>
  <c r="B50" i="770"/>
  <c r="M50" i="770" s="1"/>
  <c r="T50" i="770" s="1"/>
  <c r="B96" i="770"/>
  <c r="M96" i="770" s="1"/>
  <c r="T96" i="770" s="1"/>
  <c r="I6" i="770"/>
  <c r="B79" i="770"/>
  <c r="M79" i="770" s="1"/>
  <c r="T79" i="770" s="1"/>
  <c r="E12" i="770"/>
  <c r="B102" i="770"/>
  <c r="M102" i="770" s="1"/>
  <c r="T102" i="770" s="1"/>
  <c r="D12" i="770"/>
  <c r="B47" i="770"/>
  <c r="M47" i="770" s="1"/>
  <c r="T47" i="770" s="1"/>
  <c r="B15" i="770"/>
  <c r="M15" i="770" s="1"/>
  <c r="T15" i="770" s="1"/>
  <c r="B17" i="770"/>
  <c r="M17" i="770" s="1"/>
  <c r="T17" i="770" s="1"/>
  <c r="B18" i="770"/>
  <c r="M18" i="770" s="1"/>
  <c r="T18" i="770" s="1"/>
  <c r="B20" i="770"/>
  <c r="M20" i="770" s="1"/>
  <c r="T20" i="770" s="1"/>
  <c r="B22" i="770"/>
  <c r="M22" i="770" s="1"/>
  <c r="T22" i="770" s="1"/>
  <c r="B23" i="770"/>
  <c r="M23" i="770" s="1"/>
  <c r="T23" i="770" s="1"/>
  <c r="B25" i="770"/>
  <c r="M25" i="770" s="1"/>
  <c r="T25" i="770" s="1"/>
  <c r="B26" i="770"/>
  <c r="M26" i="770" s="1"/>
  <c r="T26" i="770" s="1"/>
  <c r="B28" i="770"/>
  <c r="M28" i="770" s="1"/>
  <c r="T28" i="770" s="1"/>
  <c r="B29" i="770"/>
  <c r="M29" i="770" s="1"/>
  <c r="T29" i="770" s="1"/>
  <c r="B31" i="770"/>
  <c r="M31" i="770" s="1"/>
  <c r="T31" i="770" s="1"/>
  <c r="B32" i="770"/>
  <c r="M32" i="770" s="1"/>
  <c r="T32" i="770" s="1"/>
  <c r="B34" i="770"/>
  <c r="M34" i="770" s="1"/>
  <c r="T34" i="770" s="1"/>
  <c r="B35" i="770"/>
  <c r="M35" i="770" s="1"/>
  <c r="T35" i="770" s="1"/>
  <c r="B37" i="770"/>
  <c r="M37" i="770" s="1"/>
  <c r="T37" i="770" s="1"/>
  <c r="B38" i="770"/>
  <c r="M38" i="770" s="1"/>
  <c r="T38" i="770" s="1"/>
  <c r="B40" i="770"/>
  <c r="M40" i="770" s="1"/>
  <c r="T40" i="770" s="1"/>
  <c r="B41" i="770"/>
  <c r="M41" i="770" s="1"/>
  <c r="T41" i="770" s="1"/>
  <c r="B43" i="770"/>
  <c r="M43" i="770" s="1"/>
  <c r="T43" i="770" s="1"/>
  <c r="B44" i="770"/>
  <c r="M44" i="770" s="1"/>
  <c r="T44" i="770" s="1"/>
  <c r="B52" i="770"/>
  <c r="M52" i="770" s="1"/>
  <c r="T52" i="770" s="1"/>
  <c r="B101" i="770"/>
  <c r="M101" i="770" s="1"/>
  <c r="T101" i="770" s="1"/>
  <c r="I11" i="770"/>
  <c r="B49" i="770"/>
  <c r="M49" i="770" s="1"/>
  <c r="T49" i="770" s="1"/>
  <c r="B53" i="770"/>
  <c r="M53" i="770" s="1"/>
  <c r="T53" i="770" s="1"/>
  <c r="B55" i="770"/>
  <c r="M55" i="770" s="1"/>
  <c r="T55" i="770" s="1"/>
  <c r="B56" i="770"/>
  <c r="M56" i="770" s="1"/>
  <c r="T56" i="770" s="1"/>
  <c r="B58" i="770"/>
  <c r="M58" i="770" s="1"/>
  <c r="T58" i="770" s="1"/>
  <c r="B59" i="770"/>
  <c r="M59" i="770" s="1"/>
  <c r="T59" i="770" s="1"/>
  <c r="B61" i="770"/>
  <c r="M61" i="770" s="1"/>
  <c r="T61" i="770" s="1"/>
  <c r="B62" i="770"/>
  <c r="M62" i="770" s="1"/>
  <c r="T62" i="770" s="1"/>
  <c r="B64" i="770"/>
  <c r="M64" i="770" s="1"/>
  <c r="T64" i="770" s="1"/>
  <c r="B65" i="770"/>
  <c r="M65" i="770" s="1"/>
  <c r="T65" i="770" s="1"/>
  <c r="B67" i="770"/>
  <c r="M67" i="770" s="1"/>
  <c r="T67" i="770" s="1"/>
  <c r="B68" i="770"/>
  <c r="M68" i="770" s="1"/>
  <c r="T68" i="770" s="1"/>
  <c r="B70" i="770"/>
  <c r="M70" i="770" s="1"/>
  <c r="T70" i="770" s="1"/>
  <c r="B71" i="770"/>
  <c r="M71" i="770" s="1"/>
  <c r="T71" i="770" s="1"/>
  <c r="B73" i="770"/>
  <c r="M73" i="770" s="1"/>
  <c r="T73" i="770" s="1"/>
  <c r="B77" i="770"/>
  <c r="M77" i="770" s="1"/>
  <c r="T77" i="770" s="1"/>
  <c r="B99" i="769"/>
  <c r="M99" i="769" s="1"/>
  <c r="T99" i="769" s="1"/>
  <c r="M98" i="769"/>
  <c r="T98" i="769" s="1"/>
  <c r="B98" i="769"/>
  <c r="M97" i="769"/>
  <c r="T97" i="769" s="1"/>
  <c r="C97" i="769"/>
  <c r="B97" i="769"/>
  <c r="B96" i="769"/>
  <c r="M96" i="769" s="1"/>
  <c r="T96" i="769" s="1"/>
  <c r="B95" i="769"/>
  <c r="M95" i="769" s="1"/>
  <c r="T95" i="769" s="1"/>
  <c r="C94" i="769"/>
  <c r="B94" i="769"/>
  <c r="M94" i="769" s="1"/>
  <c r="T94" i="769" s="1"/>
  <c r="B93" i="769"/>
  <c r="M93" i="769" s="1"/>
  <c r="T93" i="769" s="1"/>
  <c r="B92" i="769"/>
  <c r="M92" i="769" s="1"/>
  <c r="T92" i="769" s="1"/>
  <c r="M91" i="769"/>
  <c r="T91" i="769" s="1"/>
  <c r="C91" i="769"/>
  <c r="B91" i="769"/>
  <c r="B90" i="769"/>
  <c r="M90" i="769" s="1"/>
  <c r="T90" i="769" s="1"/>
  <c r="B89" i="769"/>
  <c r="M89" i="769" s="1"/>
  <c r="T89" i="769" s="1"/>
  <c r="C88" i="769"/>
  <c r="B88" i="769"/>
  <c r="M88" i="769" s="1"/>
  <c r="T88" i="769" s="1"/>
  <c r="T87" i="769"/>
  <c r="B87" i="769"/>
  <c r="M87" i="769" s="1"/>
  <c r="B86" i="769"/>
  <c r="M86" i="769" s="1"/>
  <c r="T86" i="769" s="1"/>
  <c r="M85" i="769"/>
  <c r="T85" i="769" s="1"/>
  <c r="C85" i="769"/>
  <c r="B85" i="769"/>
  <c r="B84" i="769"/>
  <c r="M84" i="769" s="1"/>
  <c r="T84" i="769" s="1"/>
  <c r="B83" i="769"/>
  <c r="M83" i="769" s="1"/>
  <c r="T83" i="769" s="1"/>
  <c r="C82" i="769"/>
  <c r="B82" i="769"/>
  <c r="M82" i="769" s="1"/>
  <c r="T82" i="769" s="1"/>
  <c r="M80" i="769"/>
  <c r="T80" i="769" s="1"/>
  <c r="C77" i="769"/>
  <c r="C76" i="769"/>
  <c r="C75" i="769"/>
  <c r="C74" i="769"/>
  <c r="C73" i="769"/>
  <c r="C72" i="769"/>
  <c r="C71" i="769"/>
  <c r="C70" i="769"/>
  <c r="C69" i="769"/>
  <c r="C68" i="769"/>
  <c r="C67" i="769"/>
  <c r="C66" i="769"/>
  <c r="C65" i="769"/>
  <c r="C64" i="769"/>
  <c r="C63" i="769"/>
  <c r="C62" i="769"/>
  <c r="C61" i="769"/>
  <c r="C60" i="769"/>
  <c r="C59" i="769"/>
  <c r="C58" i="769"/>
  <c r="C57" i="769"/>
  <c r="C56" i="769"/>
  <c r="C55" i="769"/>
  <c r="C54" i="769"/>
  <c r="C53" i="769"/>
  <c r="F52" i="769"/>
  <c r="C52" i="769"/>
  <c r="F51" i="769"/>
  <c r="C51" i="769"/>
  <c r="F50" i="769"/>
  <c r="C50" i="769"/>
  <c r="F49" i="769"/>
  <c r="C49" i="769"/>
  <c r="F48" i="769"/>
  <c r="C48" i="769"/>
  <c r="F47" i="769"/>
  <c r="C47" i="769"/>
  <c r="F46" i="769"/>
  <c r="C46" i="769"/>
  <c r="F45" i="769"/>
  <c r="C45" i="769"/>
  <c r="F44" i="769"/>
  <c r="C44" i="769"/>
  <c r="C43" i="769"/>
  <c r="C42" i="769"/>
  <c r="C41" i="769"/>
  <c r="C40" i="769"/>
  <c r="C39" i="769"/>
  <c r="C38" i="769"/>
  <c r="C37" i="769"/>
  <c r="C36" i="769"/>
  <c r="C35" i="769"/>
  <c r="C34" i="769"/>
  <c r="C33" i="769"/>
  <c r="C32" i="769"/>
  <c r="C31" i="769"/>
  <c r="C30" i="769"/>
  <c r="C29" i="769"/>
  <c r="C28" i="769"/>
  <c r="C27" i="769"/>
  <c r="C26" i="769"/>
  <c r="C25" i="769"/>
  <c r="C24" i="769"/>
  <c r="C23" i="769"/>
  <c r="C22" i="769"/>
  <c r="C21" i="769"/>
  <c r="B21" i="769"/>
  <c r="M21" i="769" s="1"/>
  <c r="T21" i="769" s="1"/>
  <c r="C20" i="769"/>
  <c r="C19" i="769"/>
  <c r="C18" i="769"/>
  <c r="C17" i="769"/>
  <c r="C16" i="769"/>
  <c r="C15" i="769"/>
  <c r="F12" i="769"/>
  <c r="G11" i="769"/>
  <c r="F11" i="769"/>
  <c r="B80" i="769" s="1"/>
  <c r="E11" i="769"/>
  <c r="B102" i="769" s="1"/>
  <c r="M102" i="769" s="1"/>
  <c r="T102" i="769" s="1"/>
  <c r="D11" i="769"/>
  <c r="D12" i="769" s="1"/>
  <c r="C11" i="769"/>
  <c r="B77" i="769" s="1"/>
  <c r="M77" i="769" s="1"/>
  <c r="T77" i="769" s="1"/>
  <c r="I10" i="769"/>
  <c r="I9" i="769"/>
  <c r="I8" i="769"/>
  <c r="I7" i="769"/>
  <c r="B46" i="769" s="1"/>
  <c r="M46" i="769" s="1"/>
  <c r="T46" i="769" s="1"/>
  <c r="I6" i="769"/>
  <c r="B51" i="769" s="1"/>
  <c r="M51" i="769" s="1"/>
  <c r="T51" i="769" s="1"/>
  <c r="I5" i="769"/>
  <c r="B47" i="769" s="1"/>
  <c r="M47" i="769" s="1"/>
  <c r="T47" i="769" s="1"/>
  <c r="C54" i="768"/>
  <c r="C53" i="768"/>
  <c r="C39" i="768"/>
  <c r="F39" i="768"/>
  <c r="C40" i="768"/>
  <c r="F40" i="768"/>
  <c r="F36" i="768"/>
  <c r="C36" i="768"/>
  <c r="F35" i="768"/>
  <c r="C35" i="768"/>
  <c r="E6" i="768"/>
  <c r="B83" i="768" s="1"/>
  <c r="M83" i="768" s="1"/>
  <c r="T83" i="768" s="1"/>
  <c r="E5" i="768"/>
  <c r="B78" i="768" s="1"/>
  <c r="M78" i="768" s="1"/>
  <c r="T78" i="768" s="1"/>
  <c r="B85" i="768"/>
  <c r="M85" i="768" s="1"/>
  <c r="T85" i="768" s="1"/>
  <c r="B84" i="768"/>
  <c r="M84" i="768" s="1"/>
  <c r="T84" i="768" s="1"/>
  <c r="B82" i="768"/>
  <c r="M82" i="768" s="1"/>
  <c r="T82" i="768" s="1"/>
  <c r="C81" i="768"/>
  <c r="B81" i="768"/>
  <c r="M81" i="768" s="1"/>
  <c r="T81" i="768" s="1"/>
  <c r="B80" i="768"/>
  <c r="M80" i="768" s="1"/>
  <c r="T80" i="768" s="1"/>
  <c r="B79" i="768"/>
  <c r="M79" i="768" s="1"/>
  <c r="T79" i="768" s="1"/>
  <c r="B77" i="768"/>
  <c r="M77" i="768" s="1"/>
  <c r="T77" i="768" s="1"/>
  <c r="C76" i="768"/>
  <c r="B76" i="768"/>
  <c r="M76" i="768" s="1"/>
  <c r="T76" i="768" s="1"/>
  <c r="B75" i="768"/>
  <c r="M75" i="768" s="1"/>
  <c r="T75" i="768" s="1"/>
  <c r="M74" i="768"/>
  <c r="T74" i="768" s="1"/>
  <c r="B72" i="768"/>
  <c r="M72" i="768" s="1"/>
  <c r="T72" i="768" s="1"/>
  <c r="C71" i="768"/>
  <c r="B71" i="768"/>
  <c r="M71" i="768" s="1"/>
  <c r="T71" i="768" s="1"/>
  <c r="B70" i="768"/>
  <c r="M70" i="768" s="1"/>
  <c r="T70" i="768" s="1"/>
  <c r="B69" i="768"/>
  <c r="M69" i="768" s="1"/>
  <c r="T69" i="768" s="1"/>
  <c r="B67" i="768"/>
  <c r="M67" i="768" s="1"/>
  <c r="T67" i="768" s="1"/>
  <c r="C66" i="768"/>
  <c r="B66" i="768"/>
  <c r="M66" i="768" s="1"/>
  <c r="T66" i="768" s="1"/>
  <c r="C61" i="768"/>
  <c r="C60" i="768"/>
  <c r="C59" i="768"/>
  <c r="C58" i="768"/>
  <c r="C57" i="768"/>
  <c r="C56" i="768"/>
  <c r="C55" i="768"/>
  <c r="C52" i="768"/>
  <c r="C51" i="768"/>
  <c r="C50" i="768"/>
  <c r="C49" i="768"/>
  <c r="C48" i="768"/>
  <c r="C47" i="768"/>
  <c r="C46" i="768"/>
  <c r="C45" i="768"/>
  <c r="C44" i="768"/>
  <c r="C43" i="768"/>
  <c r="F42" i="768"/>
  <c r="C42" i="768"/>
  <c r="F41" i="768"/>
  <c r="C41" i="768"/>
  <c r="F38" i="768"/>
  <c r="C38" i="768"/>
  <c r="F37" i="768"/>
  <c r="C37" i="768"/>
  <c r="C34" i="768"/>
  <c r="C33" i="768"/>
  <c r="C32" i="768"/>
  <c r="C31" i="768"/>
  <c r="C30" i="768"/>
  <c r="C29" i="768"/>
  <c r="C28" i="768"/>
  <c r="C27" i="768"/>
  <c r="C26" i="768"/>
  <c r="C25" i="768"/>
  <c r="C24" i="768"/>
  <c r="C23" i="768"/>
  <c r="C22" i="768"/>
  <c r="C21" i="768"/>
  <c r="C20" i="768"/>
  <c r="C19" i="768"/>
  <c r="C18" i="768"/>
  <c r="C17" i="768"/>
  <c r="C16" i="768"/>
  <c r="C15" i="768"/>
  <c r="G11" i="768"/>
  <c r="F11" i="768"/>
  <c r="B89" i="768" s="1"/>
  <c r="M89" i="768" s="1"/>
  <c r="T89" i="768" s="1"/>
  <c r="D11" i="768"/>
  <c r="D12" i="768" s="1"/>
  <c r="C11" i="768"/>
  <c r="I10" i="768"/>
  <c r="I9" i="768"/>
  <c r="I8" i="768"/>
  <c r="I7" i="768"/>
  <c r="I6" i="768"/>
  <c r="B40" i="768" s="1"/>
  <c r="M40" i="768" s="1"/>
  <c r="T40" i="768" s="1"/>
  <c r="I5" i="768" l="1"/>
  <c r="B19" i="768" s="1"/>
  <c r="M19" i="768" s="1"/>
  <c r="T19" i="768" s="1"/>
  <c r="B104" i="770"/>
  <c r="M104" i="770" s="1"/>
  <c r="T104" i="770" s="1"/>
  <c r="B105" i="770"/>
  <c r="M105" i="770" s="1"/>
  <c r="T105" i="770" s="1"/>
  <c r="I2" i="770"/>
  <c r="B106" i="770"/>
  <c r="M106" i="770" s="1"/>
  <c r="T106" i="770" s="1"/>
  <c r="I12" i="770"/>
  <c r="B75" i="770"/>
  <c r="M75" i="770" s="1"/>
  <c r="T75" i="770" s="1"/>
  <c r="B72" i="770"/>
  <c r="M72" i="770" s="1"/>
  <c r="T72" i="770" s="1"/>
  <c r="B69" i="770"/>
  <c r="M69" i="770" s="1"/>
  <c r="T69" i="770" s="1"/>
  <c r="B66" i="770"/>
  <c r="M66" i="770" s="1"/>
  <c r="T66" i="770" s="1"/>
  <c r="B63" i="770"/>
  <c r="M63" i="770" s="1"/>
  <c r="T63" i="770" s="1"/>
  <c r="B60" i="770"/>
  <c r="M60" i="770" s="1"/>
  <c r="T60" i="770" s="1"/>
  <c r="B57" i="770"/>
  <c r="M57" i="770" s="1"/>
  <c r="T57" i="770" s="1"/>
  <c r="B54" i="770"/>
  <c r="M54" i="770" s="1"/>
  <c r="T54" i="770" s="1"/>
  <c r="B45" i="770"/>
  <c r="M45" i="770" s="1"/>
  <c r="T45" i="770" s="1"/>
  <c r="B48" i="770"/>
  <c r="M48" i="770" s="1"/>
  <c r="T48" i="770" s="1"/>
  <c r="B42" i="770"/>
  <c r="M42" i="770" s="1"/>
  <c r="T42" i="770" s="1"/>
  <c r="B39" i="770"/>
  <c r="M39" i="770" s="1"/>
  <c r="T39" i="770" s="1"/>
  <c r="B36" i="770"/>
  <c r="M36" i="770" s="1"/>
  <c r="T36" i="770" s="1"/>
  <c r="B33" i="770"/>
  <c r="M33" i="770" s="1"/>
  <c r="T33" i="770" s="1"/>
  <c r="B30" i="770"/>
  <c r="M30" i="770" s="1"/>
  <c r="T30" i="770" s="1"/>
  <c r="B27" i="770"/>
  <c r="M27" i="770" s="1"/>
  <c r="T27" i="770" s="1"/>
  <c r="B24" i="770"/>
  <c r="M24" i="770" s="1"/>
  <c r="T24" i="770" s="1"/>
  <c r="B21" i="770"/>
  <c r="M21" i="770" s="1"/>
  <c r="T21" i="770" s="1"/>
  <c r="B19" i="770"/>
  <c r="M19" i="770" s="1"/>
  <c r="T19" i="770" s="1"/>
  <c r="B16" i="770"/>
  <c r="M16" i="770" s="1"/>
  <c r="T16" i="770" s="1"/>
  <c r="B51" i="770"/>
  <c r="M51" i="770" s="1"/>
  <c r="T51" i="770" s="1"/>
  <c r="B66" i="769"/>
  <c r="M66" i="769" s="1"/>
  <c r="T66" i="769" s="1"/>
  <c r="B42" i="769"/>
  <c r="M42" i="769" s="1"/>
  <c r="T42" i="769" s="1"/>
  <c r="B19" i="769"/>
  <c r="M19" i="769" s="1"/>
  <c r="T19" i="769" s="1"/>
  <c r="B30" i="769"/>
  <c r="M30" i="769" s="1"/>
  <c r="T30" i="769" s="1"/>
  <c r="B33" i="769"/>
  <c r="M33" i="769" s="1"/>
  <c r="T33" i="769" s="1"/>
  <c r="B16" i="769"/>
  <c r="M16" i="769" s="1"/>
  <c r="T16" i="769" s="1"/>
  <c r="B57" i="769"/>
  <c r="M57" i="769" s="1"/>
  <c r="T57" i="769" s="1"/>
  <c r="B38" i="769"/>
  <c r="M38" i="769" s="1"/>
  <c r="T38" i="769" s="1"/>
  <c r="B53" i="769"/>
  <c r="M53" i="769" s="1"/>
  <c r="T53" i="769" s="1"/>
  <c r="B15" i="769"/>
  <c r="M15" i="769" s="1"/>
  <c r="T15" i="769" s="1"/>
  <c r="B24" i="769"/>
  <c r="M24" i="769" s="1"/>
  <c r="T24" i="769" s="1"/>
  <c r="B29" i="769"/>
  <c r="M29" i="769" s="1"/>
  <c r="T29" i="769" s="1"/>
  <c r="B36" i="769"/>
  <c r="M36" i="769" s="1"/>
  <c r="T36" i="769" s="1"/>
  <c r="B41" i="769"/>
  <c r="M41" i="769" s="1"/>
  <c r="T41" i="769" s="1"/>
  <c r="B45" i="769"/>
  <c r="M45" i="769" s="1"/>
  <c r="T45" i="769" s="1"/>
  <c r="B48" i="769"/>
  <c r="M48" i="769" s="1"/>
  <c r="T48" i="769" s="1"/>
  <c r="B56" i="769"/>
  <c r="M56" i="769" s="1"/>
  <c r="T56" i="769" s="1"/>
  <c r="B60" i="769"/>
  <c r="M60" i="769" s="1"/>
  <c r="T60" i="769" s="1"/>
  <c r="B62" i="769"/>
  <c r="M62" i="769" s="1"/>
  <c r="T62" i="769" s="1"/>
  <c r="B71" i="769"/>
  <c r="M71" i="769" s="1"/>
  <c r="T71" i="769" s="1"/>
  <c r="B75" i="769"/>
  <c r="M75" i="769" s="1"/>
  <c r="T75" i="769" s="1"/>
  <c r="B79" i="769"/>
  <c r="M79" i="769" s="1"/>
  <c r="T79" i="769" s="1"/>
  <c r="B18" i="769"/>
  <c r="M18" i="769" s="1"/>
  <c r="T18" i="769" s="1"/>
  <c r="B20" i="769"/>
  <c r="M20" i="769" s="1"/>
  <c r="T20" i="769" s="1"/>
  <c r="B27" i="769"/>
  <c r="M27" i="769" s="1"/>
  <c r="T27" i="769" s="1"/>
  <c r="B32" i="769"/>
  <c r="M32" i="769" s="1"/>
  <c r="T32" i="769" s="1"/>
  <c r="B39" i="769"/>
  <c r="M39" i="769" s="1"/>
  <c r="T39" i="769" s="1"/>
  <c r="B44" i="769"/>
  <c r="M44" i="769" s="1"/>
  <c r="T44" i="769" s="1"/>
  <c r="B54" i="769"/>
  <c r="M54" i="769" s="1"/>
  <c r="T54" i="769" s="1"/>
  <c r="B65" i="769"/>
  <c r="M65" i="769" s="1"/>
  <c r="T65" i="769" s="1"/>
  <c r="B69" i="769"/>
  <c r="M69" i="769" s="1"/>
  <c r="T69" i="769" s="1"/>
  <c r="B26" i="769"/>
  <c r="M26" i="769" s="1"/>
  <c r="T26" i="769" s="1"/>
  <c r="E12" i="769"/>
  <c r="B23" i="769"/>
  <c r="M23" i="769" s="1"/>
  <c r="T23" i="769" s="1"/>
  <c r="B35" i="769"/>
  <c r="M35" i="769" s="1"/>
  <c r="T35" i="769" s="1"/>
  <c r="B59" i="769"/>
  <c r="M59" i="769" s="1"/>
  <c r="T59" i="769" s="1"/>
  <c r="B63" i="769"/>
  <c r="M63" i="769" s="1"/>
  <c r="T63" i="769" s="1"/>
  <c r="B68" i="769"/>
  <c r="M68" i="769" s="1"/>
  <c r="T68" i="769" s="1"/>
  <c r="B72" i="769"/>
  <c r="M72" i="769" s="1"/>
  <c r="T72" i="769" s="1"/>
  <c r="B74" i="769"/>
  <c r="M74" i="769" s="1"/>
  <c r="T74" i="769" s="1"/>
  <c r="B52" i="769"/>
  <c r="M52" i="769" s="1"/>
  <c r="T52" i="769" s="1"/>
  <c r="B61" i="769"/>
  <c r="M61" i="769" s="1"/>
  <c r="T61" i="769" s="1"/>
  <c r="B73" i="769"/>
  <c r="M73" i="769" s="1"/>
  <c r="T73" i="769" s="1"/>
  <c r="B100" i="769"/>
  <c r="M100" i="769" s="1"/>
  <c r="T100" i="769" s="1"/>
  <c r="C12" i="769"/>
  <c r="B81" i="769"/>
  <c r="M81" i="769" s="1"/>
  <c r="T81" i="769" s="1"/>
  <c r="G12" i="769"/>
  <c r="B17" i="769"/>
  <c r="M17" i="769" s="1"/>
  <c r="T17" i="769" s="1"/>
  <c r="B25" i="769"/>
  <c r="M25" i="769" s="1"/>
  <c r="T25" i="769" s="1"/>
  <c r="B31" i="769"/>
  <c r="M31" i="769" s="1"/>
  <c r="T31" i="769" s="1"/>
  <c r="B37" i="769"/>
  <c r="M37" i="769" s="1"/>
  <c r="T37" i="769" s="1"/>
  <c r="B43" i="769"/>
  <c r="M43" i="769" s="1"/>
  <c r="T43" i="769" s="1"/>
  <c r="B49" i="769"/>
  <c r="M49" i="769" s="1"/>
  <c r="T49" i="769" s="1"/>
  <c r="B55" i="769"/>
  <c r="M55" i="769" s="1"/>
  <c r="T55" i="769" s="1"/>
  <c r="B67" i="769"/>
  <c r="M67" i="769" s="1"/>
  <c r="T67" i="769" s="1"/>
  <c r="I11" i="769"/>
  <c r="B58" i="769"/>
  <c r="M58" i="769" s="1"/>
  <c r="T58" i="769" s="1"/>
  <c r="B70" i="769"/>
  <c r="M70" i="769" s="1"/>
  <c r="T70" i="769" s="1"/>
  <c r="B78" i="769"/>
  <c r="M78" i="769" s="1"/>
  <c r="T78" i="769" s="1"/>
  <c r="B22" i="769"/>
  <c r="M22" i="769" s="1"/>
  <c r="T22" i="769" s="1"/>
  <c r="B28" i="769"/>
  <c r="M28" i="769" s="1"/>
  <c r="T28" i="769" s="1"/>
  <c r="B34" i="769"/>
  <c r="M34" i="769" s="1"/>
  <c r="T34" i="769" s="1"/>
  <c r="B40" i="769"/>
  <c r="M40" i="769" s="1"/>
  <c r="T40" i="769" s="1"/>
  <c r="B64" i="769"/>
  <c r="M64" i="769" s="1"/>
  <c r="T64" i="769" s="1"/>
  <c r="B76" i="769"/>
  <c r="M76" i="769" s="1"/>
  <c r="T76" i="769" s="1"/>
  <c r="B101" i="769"/>
  <c r="M101" i="769" s="1"/>
  <c r="T101" i="769" s="1"/>
  <c r="B50" i="769"/>
  <c r="M50" i="769" s="1"/>
  <c r="T50" i="769" s="1"/>
  <c r="B103" i="769"/>
  <c r="M103" i="769" s="1"/>
  <c r="T103" i="769" s="1"/>
  <c r="B54" i="768"/>
  <c r="M54" i="768" s="1"/>
  <c r="T54" i="768" s="1"/>
  <c r="E11" i="768"/>
  <c r="B88" i="768" s="1"/>
  <c r="M88" i="768" s="1"/>
  <c r="T88" i="768" s="1"/>
  <c r="B53" i="768"/>
  <c r="M53" i="768" s="1"/>
  <c r="T53" i="768" s="1"/>
  <c r="B73" i="768"/>
  <c r="M73" i="768" s="1"/>
  <c r="T73" i="768" s="1"/>
  <c r="B68" i="768"/>
  <c r="M68" i="768" s="1"/>
  <c r="T68" i="768" s="1"/>
  <c r="B39" i="768"/>
  <c r="M39" i="768" s="1"/>
  <c r="T39" i="768" s="1"/>
  <c r="B35" i="768"/>
  <c r="M35" i="768" s="1"/>
  <c r="T35" i="768" s="1"/>
  <c r="B36" i="768"/>
  <c r="M36" i="768" s="1"/>
  <c r="T36" i="768" s="1"/>
  <c r="B30" i="768"/>
  <c r="M30" i="768" s="1"/>
  <c r="T30" i="768" s="1"/>
  <c r="B42" i="768"/>
  <c r="M42" i="768" s="1"/>
  <c r="T42" i="768" s="1"/>
  <c r="B28" i="768"/>
  <c r="M28" i="768" s="1"/>
  <c r="T28" i="768" s="1"/>
  <c r="B22" i="768"/>
  <c r="M22" i="768" s="1"/>
  <c r="T22" i="768" s="1"/>
  <c r="B20" i="768"/>
  <c r="M20" i="768" s="1"/>
  <c r="T20" i="768" s="1"/>
  <c r="B87" i="768"/>
  <c r="M87" i="768" s="1"/>
  <c r="T87" i="768" s="1"/>
  <c r="B16" i="768"/>
  <c r="M16" i="768" s="1"/>
  <c r="T16" i="768" s="1"/>
  <c r="B24" i="768"/>
  <c r="M24" i="768" s="1"/>
  <c r="T24" i="768" s="1"/>
  <c r="B32" i="768"/>
  <c r="M32" i="768" s="1"/>
  <c r="T32" i="768" s="1"/>
  <c r="B18" i="768"/>
  <c r="M18" i="768" s="1"/>
  <c r="T18" i="768" s="1"/>
  <c r="B26" i="768"/>
  <c r="M26" i="768" s="1"/>
  <c r="T26" i="768" s="1"/>
  <c r="B34" i="768"/>
  <c r="M34" i="768" s="1"/>
  <c r="T34" i="768" s="1"/>
  <c r="B38" i="768"/>
  <c r="M38" i="768" s="1"/>
  <c r="T38" i="768" s="1"/>
  <c r="B15" i="768"/>
  <c r="M15" i="768" s="1"/>
  <c r="T15" i="768" s="1"/>
  <c r="B17" i="768"/>
  <c r="M17" i="768" s="1"/>
  <c r="T17" i="768" s="1"/>
  <c r="B23" i="768"/>
  <c r="M23" i="768" s="1"/>
  <c r="T23" i="768" s="1"/>
  <c r="B25" i="768"/>
  <c r="M25" i="768" s="1"/>
  <c r="T25" i="768" s="1"/>
  <c r="B31" i="768"/>
  <c r="M31" i="768" s="1"/>
  <c r="T31" i="768" s="1"/>
  <c r="B33" i="768"/>
  <c r="M33" i="768" s="1"/>
  <c r="T33" i="768" s="1"/>
  <c r="B64" i="768"/>
  <c r="M64" i="768" s="1"/>
  <c r="T64" i="768" s="1"/>
  <c r="F12" i="768"/>
  <c r="B41" i="768"/>
  <c r="M41" i="768" s="1"/>
  <c r="T41" i="768" s="1"/>
  <c r="B61" i="768"/>
  <c r="M61" i="768" s="1"/>
  <c r="T61" i="768" s="1"/>
  <c r="C12" i="768"/>
  <c r="B86" i="768"/>
  <c r="M86" i="768" s="1"/>
  <c r="T86" i="768" s="1"/>
  <c r="B65" i="768"/>
  <c r="M65" i="768" s="1"/>
  <c r="T65" i="768" s="1"/>
  <c r="G12" i="768"/>
  <c r="B44" i="768"/>
  <c r="M44" i="768" s="1"/>
  <c r="T44" i="768" s="1"/>
  <c r="B45" i="768"/>
  <c r="M45" i="768" s="1"/>
  <c r="T45" i="768" s="1"/>
  <c r="B46" i="768"/>
  <c r="M46" i="768" s="1"/>
  <c r="T46" i="768" s="1"/>
  <c r="B48" i="768"/>
  <c r="M48" i="768" s="1"/>
  <c r="T48" i="768" s="1"/>
  <c r="B49" i="768"/>
  <c r="M49" i="768" s="1"/>
  <c r="T49" i="768" s="1"/>
  <c r="B50" i="768"/>
  <c r="M50" i="768" s="1"/>
  <c r="T50" i="768" s="1"/>
  <c r="B52" i="768"/>
  <c r="M52" i="768" s="1"/>
  <c r="T52" i="768" s="1"/>
  <c r="B55" i="768"/>
  <c r="M55" i="768" s="1"/>
  <c r="T55" i="768" s="1"/>
  <c r="B56" i="768"/>
  <c r="M56" i="768" s="1"/>
  <c r="T56" i="768" s="1"/>
  <c r="B58" i="768"/>
  <c r="M58" i="768" s="1"/>
  <c r="T58" i="768" s="1"/>
  <c r="B59" i="768"/>
  <c r="M59" i="768" s="1"/>
  <c r="T59" i="768" s="1"/>
  <c r="B60" i="768"/>
  <c r="M60" i="768" s="1"/>
  <c r="T60" i="768" s="1"/>
  <c r="B62" i="768"/>
  <c r="M62" i="768" s="1"/>
  <c r="T62" i="768" s="1"/>
  <c r="B57" i="768" l="1"/>
  <c r="M57" i="768" s="1"/>
  <c r="T57" i="768" s="1"/>
  <c r="B51" i="768"/>
  <c r="M51" i="768" s="1"/>
  <c r="T51" i="768" s="1"/>
  <c r="B47" i="768"/>
  <c r="M47" i="768" s="1"/>
  <c r="T47" i="768" s="1"/>
  <c r="B43" i="768"/>
  <c r="M43" i="768" s="1"/>
  <c r="T43" i="768" s="1"/>
  <c r="B29" i="768"/>
  <c r="M29" i="768" s="1"/>
  <c r="T29" i="768" s="1"/>
  <c r="B21" i="768"/>
  <c r="M21" i="768" s="1"/>
  <c r="T21" i="768" s="1"/>
  <c r="B37" i="768"/>
  <c r="M37" i="768" s="1"/>
  <c r="T37" i="768" s="1"/>
  <c r="B27" i="768"/>
  <c r="M27" i="768" s="1"/>
  <c r="T27" i="768" s="1"/>
  <c r="B106" i="769"/>
  <c r="M106" i="769" s="1"/>
  <c r="T106" i="769" s="1"/>
  <c r="I12" i="769"/>
  <c r="B104" i="769"/>
  <c r="M104" i="769" s="1"/>
  <c r="T104" i="769" s="1"/>
  <c r="I2" i="769"/>
  <c r="B105" i="769"/>
  <c r="M105" i="769" s="1"/>
  <c r="T105" i="769" s="1"/>
  <c r="E12" i="768"/>
  <c r="I11" i="768"/>
  <c r="I12" i="768" s="1"/>
  <c r="B63" i="768"/>
  <c r="M63" i="768" s="1"/>
  <c r="T63" i="768" s="1"/>
  <c r="B91" i="768"/>
  <c r="M91" i="768" s="1"/>
  <c r="T91" i="768" s="1"/>
  <c r="B90" i="768" l="1"/>
  <c r="M90" i="768" s="1"/>
  <c r="T90" i="768" s="1"/>
  <c r="I2" i="768"/>
  <c r="B92" i="768"/>
  <c r="M92" i="768" s="1"/>
  <c r="T92" i="768" s="1"/>
  <c r="M15" i="753"/>
  <c r="C36" i="763"/>
  <c r="C76" i="766" l="1"/>
  <c r="C75" i="766"/>
  <c r="C74" i="766"/>
  <c r="C28" i="766"/>
  <c r="C27" i="766"/>
  <c r="B102" i="766"/>
  <c r="M102" i="766" s="1"/>
  <c r="T102" i="766" s="1"/>
  <c r="B101" i="766"/>
  <c r="M101" i="766" s="1"/>
  <c r="T101" i="766" s="1"/>
  <c r="C100" i="766"/>
  <c r="B100" i="766"/>
  <c r="M100" i="766" s="1"/>
  <c r="T100" i="766" s="1"/>
  <c r="B99" i="766"/>
  <c r="M99" i="766" s="1"/>
  <c r="T99" i="766" s="1"/>
  <c r="B98" i="766"/>
  <c r="M98" i="766" s="1"/>
  <c r="T98" i="766" s="1"/>
  <c r="C97" i="766"/>
  <c r="B97" i="766"/>
  <c r="M97" i="766" s="1"/>
  <c r="T97" i="766" s="1"/>
  <c r="B96" i="766"/>
  <c r="M96" i="766" s="1"/>
  <c r="T96" i="766" s="1"/>
  <c r="B95" i="766"/>
  <c r="M95" i="766" s="1"/>
  <c r="T95" i="766" s="1"/>
  <c r="C94" i="766"/>
  <c r="B94" i="766"/>
  <c r="M94" i="766" s="1"/>
  <c r="T94" i="766" s="1"/>
  <c r="B93" i="766"/>
  <c r="M93" i="766" s="1"/>
  <c r="T93" i="766" s="1"/>
  <c r="B92" i="766"/>
  <c r="M92" i="766" s="1"/>
  <c r="T92" i="766" s="1"/>
  <c r="C91" i="766"/>
  <c r="B91" i="766"/>
  <c r="M91" i="766" s="1"/>
  <c r="T91" i="766" s="1"/>
  <c r="B90" i="766"/>
  <c r="M90" i="766" s="1"/>
  <c r="T90" i="766" s="1"/>
  <c r="B89" i="766"/>
  <c r="M89" i="766" s="1"/>
  <c r="T89" i="766" s="1"/>
  <c r="C88" i="766"/>
  <c r="B88" i="766"/>
  <c r="M88" i="766" s="1"/>
  <c r="T88" i="766" s="1"/>
  <c r="B87" i="766"/>
  <c r="M87" i="766" s="1"/>
  <c r="T87" i="766" s="1"/>
  <c r="B86" i="766"/>
  <c r="M86" i="766" s="1"/>
  <c r="T86" i="766" s="1"/>
  <c r="C85" i="766"/>
  <c r="B85" i="766"/>
  <c r="M85" i="766" s="1"/>
  <c r="T85" i="766" s="1"/>
  <c r="C80" i="766"/>
  <c r="C79" i="766"/>
  <c r="C78" i="766"/>
  <c r="C77" i="766"/>
  <c r="C73" i="766"/>
  <c r="C72" i="766"/>
  <c r="C71" i="766"/>
  <c r="C70" i="766"/>
  <c r="C69" i="766"/>
  <c r="C68" i="766"/>
  <c r="C67" i="766"/>
  <c r="C66" i="766"/>
  <c r="C65" i="766"/>
  <c r="C64" i="766"/>
  <c r="C63" i="766"/>
  <c r="C62" i="766"/>
  <c r="C61" i="766"/>
  <c r="C60" i="766"/>
  <c r="C59" i="766"/>
  <c r="C58" i="766"/>
  <c r="C57" i="766"/>
  <c r="C56" i="766"/>
  <c r="C52" i="766"/>
  <c r="C51" i="766"/>
  <c r="C50" i="766"/>
  <c r="C49" i="766"/>
  <c r="C48" i="766"/>
  <c r="C47" i="766"/>
  <c r="C46" i="766"/>
  <c r="C45" i="766"/>
  <c r="C44" i="766"/>
  <c r="C43" i="766"/>
  <c r="C42" i="766"/>
  <c r="C41" i="766"/>
  <c r="C40" i="766"/>
  <c r="C39" i="766"/>
  <c r="C38" i="766"/>
  <c r="C37" i="766"/>
  <c r="C36" i="766"/>
  <c r="C35" i="766"/>
  <c r="C34" i="766"/>
  <c r="C33" i="766"/>
  <c r="C32" i="766"/>
  <c r="C31" i="766"/>
  <c r="C30" i="766"/>
  <c r="C29" i="766"/>
  <c r="C23" i="766"/>
  <c r="C22" i="766"/>
  <c r="C21" i="766"/>
  <c r="C20" i="766"/>
  <c r="C19" i="766"/>
  <c r="C18" i="766"/>
  <c r="C17" i="766"/>
  <c r="C16" i="766"/>
  <c r="C15" i="766"/>
  <c r="G11" i="766"/>
  <c r="G12" i="766" s="1"/>
  <c r="F11" i="766"/>
  <c r="B83" i="766" s="1"/>
  <c r="M83" i="766" s="1"/>
  <c r="T83" i="766" s="1"/>
  <c r="E11" i="766"/>
  <c r="D11" i="766"/>
  <c r="B81" i="766" s="1"/>
  <c r="M81" i="766" s="1"/>
  <c r="T81" i="766" s="1"/>
  <c r="C11" i="766"/>
  <c r="B103" i="766" s="1"/>
  <c r="M103" i="766" s="1"/>
  <c r="T103" i="766" s="1"/>
  <c r="I10" i="766"/>
  <c r="I9" i="766"/>
  <c r="I8" i="766"/>
  <c r="I7" i="766"/>
  <c r="I6" i="766"/>
  <c r="I5" i="766"/>
  <c r="M26" i="766" l="1"/>
  <c r="T26" i="766" s="1"/>
  <c r="M53" i="766"/>
  <c r="T53" i="766" s="1"/>
  <c r="B52" i="766"/>
  <c r="M52" i="766" s="1"/>
  <c r="T52" i="766" s="1"/>
  <c r="M55" i="766"/>
  <c r="T55" i="766" s="1"/>
  <c r="B48" i="766"/>
  <c r="M48" i="766" s="1"/>
  <c r="T48" i="766" s="1"/>
  <c r="M54" i="766"/>
  <c r="T54" i="766" s="1"/>
  <c r="B75" i="766"/>
  <c r="M75" i="766" s="1"/>
  <c r="T75" i="766" s="1"/>
  <c r="B76" i="766"/>
  <c r="M76" i="766" s="1"/>
  <c r="T76" i="766" s="1"/>
  <c r="B74" i="766"/>
  <c r="M74" i="766" s="1"/>
  <c r="T74" i="766" s="1"/>
  <c r="B28" i="766"/>
  <c r="M28" i="766" s="1"/>
  <c r="T28" i="766" s="1"/>
  <c r="B84" i="766"/>
  <c r="M84" i="766" s="1"/>
  <c r="T84" i="766" s="1"/>
  <c r="B27" i="766"/>
  <c r="M27" i="766" s="1"/>
  <c r="T27" i="766" s="1"/>
  <c r="F12" i="766"/>
  <c r="B46" i="766"/>
  <c r="M46" i="766" s="1"/>
  <c r="T46" i="766" s="1"/>
  <c r="B49" i="766"/>
  <c r="M49" i="766" s="1"/>
  <c r="T49" i="766" s="1"/>
  <c r="B58" i="766"/>
  <c r="M58" i="766" s="1"/>
  <c r="T58" i="766" s="1"/>
  <c r="B61" i="766"/>
  <c r="M61" i="766" s="1"/>
  <c r="T61" i="766" s="1"/>
  <c r="B64" i="766"/>
  <c r="M64" i="766" s="1"/>
  <c r="T64" i="766" s="1"/>
  <c r="B67" i="766"/>
  <c r="M67" i="766" s="1"/>
  <c r="T67" i="766" s="1"/>
  <c r="B70" i="766"/>
  <c r="M70" i="766" s="1"/>
  <c r="T70" i="766" s="1"/>
  <c r="B73" i="766"/>
  <c r="M73" i="766" s="1"/>
  <c r="T73" i="766" s="1"/>
  <c r="B79" i="766"/>
  <c r="M79" i="766" s="1"/>
  <c r="T79" i="766" s="1"/>
  <c r="B106" i="766"/>
  <c r="M106" i="766" s="1"/>
  <c r="T106" i="766" s="1"/>
  <c r="B63" i="766"/>
  <c r="M63" i="766" s="1"/>
  <c r="T63" i="766" s="1"/>
  <c r="B78" i="766"/>
  <c r="M78" i="766" s="1"/>
  <c r="T78" i="766" s="1"/>
  <c r="B45" i="766"/>
  <c r="M45" i="766" s="1"/>
  <c r="T45" i="766" s="1"/>
  <c r="B66" i="766"/>
  <c r="M66" i="766" s="1"/>
  <c r="T66" i="766" s="1"/>
  <c r="B60" i="766"/>
  <c r="M60" i="766" s="1"/>
  <c r="T60" i="766" s="1"/>
  <c r="B72" i="766"/>
  <c r="M72" i="766" s="1"/>
  <c r="T72" i="766" s="1"/>
  <c r="B57" i="766"/>
  <c r="M57" i="766" s="1"/>
  <c r="T57" i="766" s="1"/>
  <c r="B69" i="766"/>
  <c r="M69" i="766" s="1"/>
  <c r="T69" i="766" s="1"/>
  <c r="B80" i="766"/>
  <c r="M80" i="766" s="1"/>
  <c r="T80" i="766" s="1"/>
  <c r="C12" i="766"/>
  <c r="B44" i="766"/>
  <c r="M44" i="766" s="1"/>
  <c r="T44" i="766" s="1"/>
  <c r="B41" i="766"/>
  <c r="M41" i="766" s="1"/>
  <c r="T41" i="766" s="1"/>
  <c r="B38" i="766"/>
  <c r="B35" i="766"/>
  <c r="M35" i="766" s="1"/>
  <c r="T35" i="766" s="1"/>
  <c r="B32" i="766"/>
  <c r="M32" i="766" s="1"/>
  <c r="T32" i="766" s="1"/>
  <c r="B29" i="766"/>
  <c r="M29" i="766" s="1"/>
  <c r="T29" i="766" s="1"/>
  <c r="B23" i="766"/>
  <c r="M23" i="766" s="1"/>
  <c r="T23" i="766" s="1"/>
  <c r="B20" i="766"/>
  <c r="M20" i="766" s="1"/>
  <c r="T20" i="766" s="1"/>
  <c r="B18" i="766"/>
  <c r="M18" i="766" s="1"/>
  <c r="T18" i="766" s="1"/>
  <c r="B15" i="766"/>
  <c r="M15" i="766" s="1"/>
  <c r="T15" i="766" s="1"/>
  <c r="B47" i="766"/>
  <c r="M47" i="766" s="1"/>
  <c r="T47" i="766" s="1"/>
  <c r="B50" i="766"/>
  <c r="M50" i="766" s="1"/>
  <c r="T50" i="766" s="1"/>
  <c r="B82" i="766"/>
  <c r="M82" i="766" s="1"/>
  <c r="T82" i="766" s="1"/>
  <c r="E12" i="766"/>
  <c r="B105" i="766"/>
  <c r="M105" i="766" s="1"/>
  <c r="T105" i="766" s="1"/>
  <c r="B68" i="766"/>
  <c r="M68" i="766" s="1"/>
  <c r="T68" i="766" s="1"/>
  <c r="B77" i="766"/>
  <c r="M77" i="766" s="1"/>
  <c r="T77" i="766" s="1"/>
  <c r="B56" i="766"/>
  <c r="M56" i="766" s="1"/>
  <c r="T56" i="766" s="1"/>
  <c r="B62" i="766"/>
  <c r="M62" i="766" s="1"/>
  <c r="T62" i="766" s="1"/>
  <c r="B65" i="766"/>
  <c r="M65" i="766" s="1"/>
  <c r="T65" i="766" s="1"/>
  <c r="B71" i="766"/>
  <c r="M71" i="766" s="1"/>
  <c r="T71" i="766" s="1"/>
  <c r="B59" i="766"/>
  <c r="M59" i="766" s="1"/>
  <c r="T59" i="766" s="1"/>
  <c r="B104" i="766"/>
  <c r="M104" i="766" s="1"/>
  <c r="T104" i="766" s="1"/>
  <c r="D12" i="766"/>
  <c r="I11" i="766"/>
  <c r="B51" i="766"/>
  <c r="M51" i="766" s="1"/>
  <c r="T51" i="766" s="1"/>
  <c r="B16" i="766"/>
  <c r="M16" i="766" s="1"/>
  <c r="T16" i="766" s="1"/>
  <c r="B17" i="766"/>
  <c r="M17" i="766" s="1"/>
  <c r="T17" i="766" s="1"/>
  <c r="B19" i="766"/>
  <c r="M19" i="766" s="1"/>
  <c r="T19" i="766" s="1"/>
  <c r="B21" i="766"/>
  <c r="M21" i="766" s="1"/>
  <c r="T21" i="766" s="1"/>
  <c r="B22" i="766"/>
  <c r="M22" i="766" s="1"/>
  <c r="T22" i="766" s="1"/>
  <c r="M24" i="766"/>
  <c r="T24" i="766" s="1"/>
  <c r="M25" i="766"/>
  <c r="T25" i="766" s="1"/>
  <c r="B30" i="766"/>
  <c r="M30" i="766" s="1"/>
  <c r="T30" i="766" s="1"/>
  <c r="B31" i="766"/>
  <c r="M31" i="766" s="1"/>
  <c r="T31" i="766" s="1"/>
  <c r="B33" i="766"/>
  <c r="M33" i="766" s="1"/>
  <c r="T33" i="766" s="1"/>
  <c r="B34" i="766"/>
  <c r="M34" i="766" s="1"/>
  <c r="T34" i="766" s="1"/>
  <c r="B36" i="766"/>
  <c r="M36" i="766" s="1"/>
  <c r="T36" i="766" s="1"/>
  <c r="B37" i="766"/>
  <c r="M37" i="766" s="1"/>
  <c r="T37" i="766" s="1"/>
  <c r="B39" i="766"/>
  <c r="B40" i="766"/>
  <c r="M40" i="766" s="1"/>
  <c r="T40" i="766" s="1"/>
  <c r="B42" i="766"/>
  <c r="M42" i="766" s="1"/>
  <c r="T42" i="766" s="1"/>
  <c r="B43" i="766"/>
  <c r="M43" i="766" s="1"/>
  <c r="T43" i="766" s="1"/>
  <c r="F43" i="765"/>
  <c r="C43" i="765"/>
  <c r="F42" i="765"/>
  <c r="C42" i="765"/>
  <c r="F41" i="765"/>
  <c r="C41" i="765"/>
  <c r="B93" i="765"/>
  <c r="M93" i="765" s="1"/>
  <c r="T93" i="765" s="1"/>
  <c r="B92" i="765"/>
  <c r="M92" i="765" s="1"/>
  <c r="T92" i="765" s="1"/>
  <c r="C91" i="765"/>
  <c r="B91" i="765"/>
  <c r="M91" i="765" s="1"/>
  <c r="T91" i="765" s="1"/>
  <c r="B90" i="765"/>
  <c r="M90" i="765" s="1"/>
  <c r="T90" i="765" s="1"/>
  <c r="B89" i="765"/>
  <c r="M89" i="765" s="1"/>
  <c r="T89" i="765" s="1"/>
  <c r="C88" i="765"/>
  <c r="B88" i="765"/>
  <c r="M88" i="765" s="1"/>
  <c r="T88" i="765" s="1"/>
  <c r="B87" i="765"/>
  <c r="M87" i="765" s="1"/>
  <c r="T87" i="765" s="1"/>
  <c r="B86" i="765"/>
  <c r="M86" i="765" s="1"/>
  <c r="T86" i="765" s="1"/>
  <c r="C85" i="765"/>
  <c r="B85" i="765"/>
  <c r="M85" i="765" s="1"/>
  <c r="T85" i="765" s="1"/>
  <c r="B84" i="765"/>
  <c r="M84" i="765" s="1"/>
  <c r="T84" i="765" s="1"/>
  <c r="B83" i="765"/>
  <c r="M83" i="765" s="1"/>
  <c r="T83" i="765" s="1"/>
  <c r="C82" i="765"/>
  <c r="B82" i="765"/>
  <c r="M82" i="765" s="1"/>
  <c r="T82" i="765" s="1"/>
  <c r="B81" i="765"/>
  <c r="M81" i="765" s="1"/>
  <c r="T81" i="765" s="1"/>
  <c r="B80" i="765"/>
  <c r="M80" i="765" s="1"/>
  <c r="T80" i="765" s="1"/>
  <c r="C79" i="765"/>
  <c r="B79" i="765"/>
  <c r="M79" i="765" s="1"/>
  <c r="T79" i="765" s="1"/>
  <c r="B78" i="765"/>
  <c r="M78" i="765" s="1"/>
  <c r="T78" i="765" s="1"/>
  <c r="B77" i="765"/>
  <c r="M77" i="765" s="1"/>
  <c r="T77" i="765" s="1"/>
  <c r="C76" i="765"/>
  <c r="B76" i="765"/>
  <c r="M76" i="765" s="1"/>
  <c r="T76" i="765" s="1"/>
  <c r="C71" i="765"/>
  <c r="C70" i="765"/>
  <c r="C69" i="765"/>
  <c r="C68" i="765"/>
  <c r="C67" i="765"/>
  <c r="C66" i="765"/>
  <c r="C65" i="765"/>
  <c r="C64" i="765"/>
  <c r="C63" i="765"/>
  <c r="C62" i="765"/>
  <c r="C61" i="765"/>
  <c r="C60" i="765"/>
  <c r="C59" i="765"/>
  <c r="C58" i="765"/>
  <c r="C57" i="765"/>
  <c r="C56" i="765"/>
  <c r="C55" i="765"/>
  <c r="C54" i="765"/>
  <c r="C53" i="765"/>
  <c r="C52" i="765"/>
  <c r="C51" i="765"/>
  <c r="C50" i="765"/>
  <c r="F49" i="765"/>
  <c r="C49" i="765"/>
  <c r="F48" i="765"/>
  <c r="C48" i="765"/>
  <c r="F47" i="765"/>
  <c r="C47" i="765"/>
  <c r="F46" i="765"/>
  <c r="C46" i="765"/>
  <c r="F45" i="765"/>
  <c r="C45" i="765"/>
  <c r="F44" i="765"/>
  <c r="C44" i="765"/>
  <c r="C40" i="765"/>
  <c r="C39" i="765"/>
  <c r="C38" i="765"/>
  <c r="C37" i="765"/>
  <c r="C36" i="765"/>
  <c r="C35" i="765"/>
  <c r="C34" i="765"/>
  <c r="C33" i="765"/>
  <c r="C32" i="765"/>
  <c r="C31" i="765"/>
  <c r="C30" i="765"/>
  <c r="C29" i="765"/>
  <c r="C28" i="765"/>
  <c r="C27" i="765"/>
  <c r="C26" i="765"/>
  <c r="C25" i="765"/>
  <c r="C24" i="765"/>
  <c r="C23" i="765"/>
  <c r="C22" i="765"/>
  <c r="C21" i="765"/>
  <c r="C20" i="765"/>
  <c r="C19" i="765"/>
  <c r="C18" i="765"/>
  <c r="C17" i="765"/>
  <c r="C16" i="765"/>
  <c r="C15" i="765"/>
  <c r="G11" i="765"/>
  <c r="F11" i="765"/>
  <c r="B74" i="765" s="1"/>
  <c r="M74" i="765" s="1"/>
  <c r="T74" i="765" s="1"/>
  <c r="E11" i="765"/>
  <c r="B96" i="765" s="1"/>
  <c r="M96" i="765" s="1"/>
  <c r="T96" i="765" s="1"/>
  <c r="D11" i="765"/>
  <c r="C11" i="765"/>
  <c r="I10" i="765"/>
  <c r="I9" i="765"/>
  <c r="I8" i="765"/>
  <c r="I7" i="765"/>
  <c r="B17" i="765" s="1"/>
  <c r="M17" i="765" s="1"/>
  <c r="T17" i="765" s="1"/>
  <c r="I6" i="765"/>
  <c r="B48" i="765" s="1"/>
  <c r="M48" i="765" s="1"/>
  <c r="T48" i="765" s="1"/>
  <c r="I5" i="765"/>
  <c r="B89" i="764"/>
  <c r="M89" i="764" s="1"/>
  <c r="T89" i="764" s="1"/>
  <c r="B88" i="764"/>
  <c r="M88" i="764" s="1"/>
  <c r="T88" i="764" s="1"/>
  <c r="B87" i="764"/>
  <c r="M87" i="764" s="1"/>
  <c r="T87" i="764" s="1"/>
  <c r="B86" i="764"/>
  <c r="M86" i="764" s="1"/>
  <c r="T86" i="764" s="1"/>
  <c r="C85" i="764"/>
  <c r="B85" i="764"/>
  <c r="M85" i="764" s="1"/>
  <c r="T85" i="764" s="1"/>
  <c r="B84" i="764"/>
  <c r="M84" i="764" s="1"/>
  <c r="T84" i="764" s="1"/>
  <c r="B83" i="764"/>
  <c r="M83" i="764" s="1"/>
  <c r="T83" i="764" s="1"/>
  <c r="B82" i="764"/>
  <c r="M82" i="764" s="1"/>
  <c r="T82" i="764" s="1"/>
  <c r="B81" i="764"/>
  <c r="M81" i="764" s="1"/>
  <c r="T81" i="764" s="1"/>
  <c r="C80" i="764"/>
  <c r="B80" i="764"/>
  <c r="M80" i="764" s="1"/>
  <c r="T80" i="764" s="1"/>
  <c r="B79" i="764"/>
  <c r="M79" i="764" s="1"/>
  <c r="T79" i="764" s="1"/>
  <c r="M78" i="764"/>
  <c r="T78" i="764" s="1"/>
  <c r="B77" i="764"/>
  <c r="M77" i="764" s="1"/>
  <c r="T77" i="764" s="1"/>
  <c r="B76" i="764"/>
  <c r="M76" i="764" s="1"/>
  <c r="T76" i="764" s="1"/>
  <c r="C75" i="764"/>
  <c r="B75" i="764"/>
  <c r="M75" i="764" s="1"/>
  <c r="T75" i="764" s="1"/>
  <c r="B74" i="764"/>
  <c r="M74" i="764" s="1"/>
  <c r="T74" i="764" s="1"/>
  <c r="B73" i="764"/>
  <c r="M73" i="764" s="1"/>
  <c r="T73" i="764" s="1"/>
  <c r="M72" i="764"/>
  <c r="T72" i="764" s="1"/>
  <c r="B72" i="764"/>
  <c r="B71" i="764"/>
  <c r="M71" i="764" s="1"/>
  <c r="T71" i="764" s="1"/>
  <c r="C70" i="764"/>
  <c r="B70" i="764"/>
  <c r="M70" i="764" s="1"/>
  <c r="T70" i="764" s="1"/>
  <c r="C65" i="764"/>
  <c r="C64" i="764"/>
  <c r="C63" i="764"/>
  <c r="C62" i="764"/>
  <c r="C61" i="764"/>
  <c r="C60" i="764"/>
  <c r="C59" i="764"/>
  <c r="C58" i="764"/>
  <c r="C57" i="764"/>
  <c r="C56" i="764"/>
  <c r="C55" i="764"/>
  <c r="C54" i="764"/>
  <c r="C53" i="764"/>
  <c r="C52" i="764"/>
  <c r="C51" i="764"/>
  <c r="C50" i="764"/>
  <c r="C49" i="764"/>
  <c r="C48" i="764"/>
  <c r="C47" i="764"/>
  <c r="C46" i="764"/>
  <c r="C45" i="764"/>
  <c r="C44" i="764"/>
  <c r="C43" i="764"/>
  <c r="C42" i="764"/>
  <c r="C41" i="764"/>
  <c r="F40" i="764"/>
  <c r="C40" i="764"/>
  <c r="F39" i="764"/>
  <c r="C39" i="764"/>
  <c r="F38" i="764"/>
  <c r="C38" i="764"/>
  <c r="F37" i="764"/>
  <c r="C37" i="764"/>
  <c r="F36" i="764"/>
  <c r="C36" i="764"/>
  <c r="F35" i="764"/>
  <c r="C35" i="764"/>
  <c r="F34" i="764"/>
  <c r="C34" i="764"/>
  <c r="F33" i="764"/>
  <c r="C33" i="764"/>
  <c r="C32" i="764"/>
  <c r="C31" i="764"/>
  <c r="C30" i="764"/>
  <c r="C29" i="764"/>
  <c r="C28" i="764"/>
  <c r="C27" i="764"/>
  <c r="C26" i="764"/>
  <c r="C25" i="764"/>
  <c r="C24" i="764"/>
  <c r="C23" i="764"/>
  <c r="C22" i="764"/>
  <c r="C21" i="764"/>
  <c r="C20" i="764"/>
  <c r="C19" i="764"/>
  <c r="C18" i="764"/>
  <c r="C17" i="764"/>
  <c r="C16" i="764"/>
  <c r="C15" i="764"/>
  <c r="G11" i="764"/>
  <c r="B69" i="764" s="1"/>
  <c r="M69" i="764" s="1"/>
  <c r="T69" i="764" s="1"/>
  <c r="F11" i="764"/>
  <c r="B68" i="764" s="1"/>
  <c r="M68" i="764" s="1"/>
  <c r="T68" i="764" s="1"/>
  <c r="E11" i="764"/>
  <c r="B67" i="764" s="1"/>
  <c r="M67" i="764" s="1"/>
  <c r="T67" i="764" s="1"/>
  <c r="D11" i="764"/>
  <c r="C11" i="764"/>
  <c r="B90" i="764" s="1"/>
  <c r="M90" i="764" s="1"/>
  <c r="T90" i="764" s="1"/>
  <c r="I10" i="764"/>
  <c r="I9" i="764"/>
  <c r="I8" i="764"/>
  <c r="I7" i="764"/>
  <c r="I6" i="764"/>
  <c r="B40" i="764" s="1"/>
  <c r="M40" i="764" s="1"/>
  <c r="T40" i="764" s="1"/>
  <c r="I5" i="764"/>
  <c r="B37" i="764" s="1"/>
  <c r="M37" i="764" s="1"/>
  <c r="T37" i="764" s="1"/>
  <c r="C56" i="763"/>
  <c r="C55" i="763"/>
  <c r="M89" i="763"/>
  <c r="T89" i="763" s="1"/>
  <c r="B89" i="763"/>
  <c r="B88" i="763"/>
  <c r="M88" i="763" s="1"/>
  <c r="T88" i="763" s="1"/>
  <c r="B87" i="763"/>
  <c r="M87" i="763" s="1"/>
  <c r="T87" i="763" s="1"/>
  <c r="B86" i="763"/>
  <c r="M86" i="763" s="1"/>
  <c r="T86" i="763" s="1"/>
  <c r="C85" i="763"/>
  <c r="B85" i="763"/>
  <c r="M85" i="763" s="1"/>
  <c r="T85" i="763" s="1"/>
  <c r="B84" i="763"/>
  <c r="M84" i="763" s="1"/>
  <c r="T84" i="763" s="1"/>
  <c r="B83" i="763"/>
  <c r="M83" i="763" s="1"/>
  <c r="T83" i="763" s="1"/>
  <c r="B82" i="763"/>
  <c r="M82" i="763" s="1"/>
  <c r="T82" i="763" s="1"/>
  <c r="B81" i="763"/>
  <c r="M81" i="763" s="1"/>
  <c r="T81" i="763" s="1"/>
  <c r="C80" i="763"/>
  <c r="B80" i="763"/>
  <c r="M80" i="763" s="1"/>
  <c r="T80" i="763" s="1"/>
  <c r="B79" i="763"/>
  <c r="M79" i="763" s="1"/>
  <c r="T79" i="763" s="1"/>
  <c r="M78" i="763"/>
  <c r="T78" i="763" s="1"/>
  <c r="M77" i="763"/>
  <c r="T77" i="763" s="1"/>
  <c r="B77" i="763"/>
  <c r="B76" i="763"/>
  <c r="M76" i="763" s="1"/>
  <c r="T76" i="763" s="1"/>
  <c r="C75" i="763"/>
  <c r="B75" i="763"/>
  <c r="M75" i="763" s="1"/>
  <c r="T75" i="763" s="1"/>
  <c r="B74" i="763"/>
  <c r="M74" i="763" s="1"/>
  <c r="T74" i="763" s="1"/>
  <c r="B73" i="763"/>
  <c r="M73" i="763" s="1"/>
  <c r="T73" i="763" s="1"/>
  <c r="B72" i="763"/>
  <c r="M72" i="763" s="1"/>
  <c r="T72" i="763" s="1"/>
  <c r="B71" i="763"/>
  <c r="M71" i="763" s="1"/>
  <c r="T71" i="763" s="1"/>
  <c r="C70" i="763"/>
  <c r="B70" i="763"/>
  <c r="M70" i="763" s="1"/>
  <c r="T70" i="763" s="1"/>
  <c r="C65" i="763"/>
  <c r="C64" i="763"/>
  <c r="C63" i="763"/>
  <c r="C62" i="763"/>
  <c r="C61" i="763"/>
  <c r="C60" i="763"/>
  <c r="C59" i="763"/>
  <c r="C58" i="763"/>
  <c r="C57" i="763"/>
  <c r="C54" i="763"/>
  <c r="C53" i="763"/>
  <c r="C52" i="763"/>
  <c r="C51" i="763"/>
  <c r="C50" i="763"/>
  <c r="C49" i="763"/>
  <c r="C48" i="763"/>
  <c r="C47" i="763"/>
  <c r="C46" i="763"/>
  <c r="C45" i="763"/>
  <c r="C44" i="763"/>
  <c r="C43" i="763"/>
  <c r="C42" i="763"/>
  <c r="C41" i="763"/>
  <c r="F40" i="763"/>
  <c r="C40" i="763"/>
  <c r="F39" i="763"/>
  <c r="C39" i="763"/>
  <c r="F38" i="763"/>
  <c r="C38" i="763"/>
  <c r="F37" i="763"/>
  <c r="C37" i="763"/>
  <c r="F36" i="763"/>
  <c r="F35" i="763"/>
  <c r="C35" i="763"/>
  <c r="F34" i="763"/>
  <c r="C34" i="763"/>
  <c r="F33" i="763"/>
  <c r="C33" i="763"/>
  <c r="C32" i="763"/>
  <c r="C31" i="763"/>
  <c r="C30" i="763"/>
  <c r="C29" i="763"/>
  <c r="C28" i="763"/>
  <c r="C27" i="763"/>
  <c r="C26" i="763"/>
  <c r="C25" i="763"/>
  <c r="C24" i="763"/>
  <c r="C23" i="763"/>
  <c r="C22" i="763"/>
  <c r="C21" i="763"/>
  <c r="C20" i="763"/>
  <c r="C19" i="763"/>
  <c r="C18" i="763"/>
  <c r="C17" i="763"/>
  <c r="C16" i="763"/>
  <c r="C15" i="763"/>
  <c r="G11" i="763"/>
  <c r="G12" i="763" s="1"/>
  <c r="F11" i="763"/>
  <c r="B68" i="763" s="1"/>
  <c r="M68" i="763" s="1"/>
  <c r="T68" i="763" s="1"/>
  <c r="E11" i="763"/>
  <c r="B67" i="763" s="1"/>
  <c r="M67" i="763" s="1"/>
  <c r="T67" i="763" s="1"/>
  <c r="D11" i="763"/>
  <c r="B91" i="763" s="1"/>
  <c r="M91" i="763" s="1"/>
  <c r="T91" i="763" s="1"/>
  <c r="C11" i="763"/>
  <c r="B90" i="763" s="1"/>
  <c r="M90" i="763" s="1"/>
  <c r="T90" i="763" s="1"/>
  <c r="I10" i="763"/>
  <c r="I9" i="763"/>
  <c r="I8" i="763"/>
  <c r="I7" i="763"/>
  <c r="I6" i="763"/>
  <c r="B40" i="763" s="1"/>
  <c r="M40" i="763" s="1"/>
  <c r="T40" i="763" s="1"/>
  <c r="I5" i="763"/>
  <c r="B39" i="763" s="1"/>
  <c r="M39" i="763" s="1"/>
  <c r="T39" i="763" s="1"/>
  <c r="B87" i="762"/>
  <c r="M87" i="762" s="1"/>
  <c r="T87" i="762" s="1"/>
  <c r="B86" i="762"/>
  <c r="M86" i="762" s="1"/>
  <c r="T86" i="762" s="1"/>
  <c r="B85" i="762"/>
  <c r="M85" i="762" s="1"/>
  <c r="T85" i="762" s="1"/>
  <c r="B84" i="762"/>
  <c r="M84" i="762" s="1"/>
  <c r="T84" i="762" s="1"/>
  <c r="C83" i="762"/>
  <c r="B83" i="762"/>
  <c r="M83" i="762" s="1"/>
  <c r="T83" i="762" s="1"/>
  <c r="B82" i="762"/>
  <c r="M82" i="762" s="1"/>
  <c r="T82" i="762" s="1"/>
  <c r="B81" i="762"/>
  <c r="M81" i="762" s="1"/>
  <c r="T81" i="762" s="1"/>
  <c r="B80" i="762"/>
  <c r="M80" i="762" s="1"/>
  <c r="T80" i="762" s="1"/>
  <c r="B79" i="762"/>
  <c r="M79" i="762" s="1"/>
  <c r="T79" i="762" s="1"/>
  <c r="C78" i="762"/>
  <c r="B78" i="762"/>
  <c r="M78" i="762" s="1"/>
  <c r="T78" i="762" s="1"/>
  <c r="B77" i="762"/>
  <c r="M77" i="762" s="1"/>
  <c r="T77" i="762" s="1"/>
  <c r="M76" i="762"/>
  <c r="T76" i="762" s="1"/>
  <c r="B75" i="762"/>
  <c r="M75" i="762" s="1"/>
  <c r="T75" i="762" s="1"/>
  <c r="B74" i="762"/>
  <c r="M74" i="762" s="1"/>
  <c r="T74" i="762" s="1"/>
  <c r="C73" i="762"/>
  <c r="B73" i="762"/>
  <c r="M73" i="762" s="1"/>
  <c r="T73" i="762" s="1"/>
  <c r="B72" i="762"/>
  <c r="M72" i="762" s="1"/>
  <c r="T72" i="762" s="1"/>
  <c r="B71" i="762"/>
  <c r="M71" i="762" s="1"/>
  <c r="T71" i="762" s="1"/>
  <c r="B70" i="762"/>
  <c r="M70" i="762" s="1"/>
  <c r="T70" i="762" s="1"/>
  <c r="B69" i="762"/>
  <c r="M69" i="762" s="1"/>
  <c r="T69" i="762" s="1"/>
  <c r="C68" i="762"/>
  <c r="B68" i="762"/>
  <c r="M68" i="762" s="1"/>
  <c r="T68" i="762" s="1"/>
  <c r="C63" i="762"/>
  <c r="C62" i="762"/>
  <c r="C61" i="762"/>
  <c r="C60" i="762"/>
  <c r="C59" i="762"/>
  <c r="C58" i="762"/>
  <c r="C57" i="762"/>
  <c r="C56" i="762"/>
  <c r="C55" i="762"/>
  <c r="C54" i="762"/>
  <c r="C53" i="762"/>
  <c r="C52" i="762"/>
  <c r="C51" i="762"/>
  <c r="C50" i="762"/>
  <c r="C49" i="762"/>
  <c r="C48" i="762"/>
  <c r="C47" i="762"/>
  <c r="C46" i="762"/>
  <c r="C45" i="762"/>
  <c r="C44" i="762"/>
  <c r="C43" i="762"/>
  <c r="C42" i="762"/>
  <c r="C41" i="762"/>
  <c r="F40" i="762"/>
  <c r="C40" i="762"/>
  <c r="F39" i="762"/>
  <c r="C39" i="762"/>
  <c r="F38" i="762"/>
  <c r="C38" i="762"/>
  <c r="F37" i="762"/>
  <c r="C37" i="762"/>
  <c r="F36" i="762"/>
  <c r="C36" i="762"/>
  <c r="F35" i="762"/>
  <c r="C35" i="762"/>
  <c r="F34" i="762"/>
  <c r="C34" i="762"/>
  <c r="F33" i="762"/>
  <c r="C33" i="762"/>
  <c r="C32" i="762"/>
  <c r="C31" i="762"/>
  <c r="C30" i="762"/>
  <c r="C29" i="762"/>
  <c r="C28" i="762"/>
  <c r="C27" i="762"/>
  <c r="C26" i="762"/>
  <c r="C25" i="762"/>
  <c r="C24" i="762"/>
  <c r="C23" i="762"/>
  <c r="C22" i="762"/>
  <c r="C21" i="762"/>
  <c r="C20" i="762"/>
  <c r="C19" i="762"/>
  <c r="C18" i="762"/>
  <c r="C17" i="762"/>
  <c r="C16" i="762"/>
  <c r="C15" i="762"/>
  <c r="F12" i="762"/>
  <c r="G11" i="762"/>
  <c r="G12" i="762" s="1"/>
  <c r="F11" i="762"/>
  <c r="B66" i="762" s="1"/>
  <c r="M66" i="762" s="1"/>
  <c r="T66" i="762" s="1"/>
  <c r="E11" i="762"/>
  <c r="B65" i="762" s="1"/>
  <c r="M65" i="762" s="1"/>
  <c r="T65" i="762" s="1"/>
  <c r="D11" i="762"/>
  <c r="D12" i="762" s="1"/>
  <c r="C11" i="762"/>
  <c r="B88" i="762" s="1"/>
  <c r="M88" i="762" s="1"/>
  <c r="T88" i="762" s="1"/>
  <c r="I10" i="762"/>
  <c r="I9" i="762"/>
  <c r="I8" i="762"/>
  <c r="I7" i="762"/>
  <c r="I6" i="762"/>
  <c r="B40" i="762" s="1"/>
  <c r="M40" i="762" s="1"/>
  <c r="T40" i="762" s="1"/>
  <c r="I5" i="762"/>
  <c r="B39" i="762" s="1"/>
  <c r="M39" i="762" s="1"/>
  <c r="T39" i="762" s="1"/>
  <c r="B103" i="760"/>
  <c r="M103" i="760" s="1"/>
  <c r="T103" i="760" s="1"/>
  <c r="B102" i="760"/>
  <c r="M102" i="760" s="1"/>
  <c r="T102" i="760" s="1"/>
  <c r="C101" i="760"/>
  <c r="B101" i="760"/>
  <c r="M101" i="760" s="1"/>
  <c r="T101" i="760" s="1"/>
  <c r="B100" i="760"/>
  <c r="M100" i="760" s="1"/>
  <c r="T100" i="760" s="1"/>
  <c r="M99" i="760"/>
  <c r="T99" i="760" s="1"/>
  <c r="B99" i="760"/>
  <c r="C98" i="760"/>
  <c r="B98" i="760"/>
  <c r="M98" i="760" s="1"/>
  <c r="T98" i="760" s="1"/>
  <c r="B97" i="760"/>
  <c r="M97" i="760" s="1"/>
  <c r="T97" i="760" s="1"/>
  <c r="B96" i="760"/>
  <c r="M96" i="760" s="1"/>
  <c r="T96" i="760" s="1"/>
  <c r="C95" i="760"/>
  <c r="B95" i="760"/>
  <c r="M95" i="760" s="1"/>
  <c r="T95" i="760" s="1"/>
  <c r="B94" i="760"/>
  <c r="M94" i="760" s="1"/>
  <c r="T94" i="760" s="1"/>
  <c r="B93" i="760"/>
  <c r="M93" i="760" s="1"/>
  <c r="T93" i="760" s="1"/>
  <c r="M92" i="760"/>
  <c r="T92" i="760" s="1"/>
  <c r="C92" i="760"/>
  <c r="B92" i="760"/>
  <c r="B91" i="760"/>
  <c r="M91" i="760" s="1"/>
  <c r="T91" i="760" s="1"/>
  <c r="B90" i="760"/>
  <c r="M90" i="760" s="1"/>
  <c r="T90" i="760" s="1"/>
  <c r="C89" i="760"/>
  <c r="B89" i="760"/>
  <c r="M89" i="760" s="1"/>
  <c r="T89" i="760" s="1"/>
  <c r="B88" i="760"/>
  <c r="M88" i="760" s="1"/>
  <c r="T88" i="760" s="1"/>
  <c r="B87" i="760"/>
  <c r="M87" i="760" s="1"/>
  <c r="T87" i="760" s="1"/>
  <c r="C86" i="760"/>
  <c r="B86" i="760"/>
  <c r="M86" i="760" s="1"/>
  <c r="T86" i="760" s="1"/>
  <c r="C82" i="760"/>
  <c r="C81" i="760"/>
  <c r="C80" i="760"/>
  <c r="C79" i="760"/>
  <c r="C78" i="760"/>
  <c r="C77" i="760"/>
  <c r="C76" i="760"/>
  <c r="C75" i="760"/>
  <c r="C74" i="760"/>
  <c r="C73" i="760"/>
  <c r="C72" i="760"/>
  <c r="C71" i="760"/>
  <c r="C70" i="760"/>
  <c r="C69" i="760"/>
  <c r="C68" i="760"/>
  <c r="C67" i="760"/>
  <c r="C66" i="760"/>
  <c r="C65" i="760"/>
  <c r="C64" i="760"/>
  <c r="C63" i="760"/>
  <c r="C62" i="760"/>
  <c r="C61" i="760"/>
  <c r="C60" i="760"/>
  <c r="C59" i="760"/>
  <c r="C58" i="760"/>
  <c r="C57" i="760"/>
  <c r="C56" i="760"/>
  <c r="C55" i="760"/>
  <c r="C54" i="760"/>
  <c r="C53" i="760"/>
  <c r="C52" i="760"/>
  <c r="C51" i="760"/>
  <c r="C50" i="760"/>
  <c r="C49" i="760"/>
  <c r="C48" i="760"/>
  <c r="C47" i="760"/>
  <c r="F46" i="760"/>
  <c r="C46" i="760"/>
  <c r="F45" i="760"/>
  <c r="C45" i="760"/>
  <c r="F44" i="760"/>
  <c r="C44" i="760"/>
  <c r="F43" i="760"/>
  <c r="C43" i="760"/>
  <c r="F42" i="760"/>
  <c r="C42" i="760"/>
  <c r="F41" i="760"/>
  <c r="C41" i="760"/>
  <c r="F40" i="760"/>
  <c r="C40" i="760"/>
  <c r="F39" i="760"/>
  <c r="C39" i="760"/>
  <c r="F38" i="760"/>
  <c r="C38" i="760"/>
  <c r="C37" i="760"/>
  <c r="C36" i="760"/>
  <c r="C35" i="760"/>
  <c r="C34" i="760"/>
  <c r="C33" i="760"/>
  <c r="C32" i="760"/>
  <c r="C31" i="760"/>
  <c r="C30" i="760"/>
  <c r="C29" i="760"/>
  <c r="C28" i="760"/>
  <c r="C27" i="760"/>
  <c r="C26" i="760"/>
  <c r="C25" i="760"/>
  <c r="C24" i="760"/>
  <c r="B24" i="760"/>
  <c r="M24" i="760" s="1"/>
  <c r="T24" i="760" s="1"/>
  <c r="C23" i="760"/>
  <c r="C22" i="760"/>
  <c r="C21" i="760"/>
  <c r="C20" i="760"/>
  <c r="C19" i="760"/>
  <c r="C18" i="760"/>
  <c r="C17" i="760"/>
  <c r="C16" i="760"/>
  <c r="C15" i="760"/>
  <c r="G11" i="760"/>
  <c r="G12" i="760" s="1"/>
  <c r="F11" i="760"/>
  <c r="F12" i="760" s="1"/>
  <c r="E11" i="760"/>
  <c r="B106" i="760" s="1"/>
  <c r="M106" i="760" s="1"/>
  <c r="T106" i="760" s="1"/>
  <c r="D11" i="760"/>
  <c r="B105" i="760" s="1"/>
  <c r="M105" i="760" s="1"/>
  <c r="T105" i="760" s="1"/>
  <c r="C11" i="760"/>
  <c r="B104" i="760" s="1"/>
  <c r="M104" i="760" s="1"/>
  <c r="T104" i="760" s="1"/>
  <c r="I10" i="760"/>
  <c r="I9" i="760"/>
  <c r="I8" i="760"/>
  <c r="I7" i="760"/>
  <c r="B40" i="760" s="1"/>
  <c r="M40" i="760" s="1"/>
  <c r="T40" i="760" s="1"/>
  <c r="I6" i="760"/>
  <c r="B81" i="760" s="1"/>
  <c r="M81" i="760" s="1"/>
  <c r="T81" i="760" s="1"/>
  <c r="I5" i="760"/>
  <c r="B44" i="760" s="1"/>
  <c r="M44" i="760" s="1"/>
  <c r="T44" i="760" s="1"/>
  <c r="F40" i="759"/>
  <c r="C40" i="759"/>
  <c r="F39" i="759"/>
  <c r="C39" i="759"/>
  <c r="F38" i="759"/>
  <c r="C38" i="759"/>
  <c r="M38" i="766" l="1"/>
  <c r="T38" i="766" s="1"/>
  <c r="M39" i="766"/>
  <c r="T39" i="766" s="1"/>
  <c r="B56" i="763"/>
  <c r="M56" i="763" s="1"/>
  <c r="T56" i="763" s="1"/>
  <c r="B93" i="764"/>
  <c r="M93" i="764" s="1"/>
  <c r="T93" i="764" s="1"/>
  <c r="F12" i="765"/>
  <c r="B26" i="760"/>
  <c r="M26" i="760" s="1"/>
  <c r="T26" i="760" s="1"/>
  <c r="F12" i="764"/>
  <c r="B108" i="766"/>
  <c r="M108" i="766" s="1"/>
  <c r="T108" i="766" s="1"/>
  <c r="B109" i="766"/>
  <c r="M109" i="766" s="1"/>
  <c r="T109" i="766" s="1"/>
  <c r="I12" i="766"/>
  <c r="I2" i="766"/>
  <c r="B107" i="766"/>
  <c r="M107" i="766" s="1"/>
  <c r="T107" i="766" s="1"/>
  <c r="B41" i="765"/>
  <c r="M41" i="765" s="1"/>
  <c r="T41" i="765" s="1"/>
  <c r="B42" i="765"/>
  <c r="M42" i="765" s="1"/>
  <c r="T42" i="765" s="1"/>
  <c r="B43" i="765"/>
  <c r="M43" i="765" s="1"/>
  <c r="T43" i="765" s="1"/>
  <c r="B50" i="765"/>
  <c r="M50" i="765" s="1"/>
  <c r="T50" i="765" s="1"/>
  <c r="E12" i="765"/>
  <c r="B59" i="765"/>
  <c r="M59" i="765" s="1"/>
  <c r="T59" i="765" s="1"/>
  <c r="B62" i="765"/>
  <c r="M62" i="765" s="1"/>
  <c r="T62" i="765" s="1"/>
  <c r="B23" i="765"/>
  <c r="M23" i="765" s="1"/>
  <c r="T23" i="765" s="1"/>
  <c r="B26" i="765"/>
  <c r="M26" i="765" s="1"/>
  <c r="T26" i="765" s="1"/>
  <c r="B29" i="765"/>
  <c r="M29" i="765" s="1"/>
  <c r="T29" i="765" s="1"/>
  <c r="B32" i="765"/>
  <c r="M32" i="765" s="1"/>
  <c r="T32" i="765" s="1"/>
  <c r="B35" i="765"/>
  <c r="M35" i="765" s="1"/>
  <c r="T35" i="765" s="1"/>
  <c r="B38" i="765"/>
  <c r="M38" i="765" s="1"/>
  <c r="T38" i="765" s="1"/>
  <c r="B44" i="765"/>
  <c r="M44" i="765" s="1"/>
  <c r="T44" i="765" s="1"/>
  <c r="B53" i="765"/>
  <c r="M53" i="765" s="1"/>
  <c r="T53" i="765" s="1"/>
  <c r="B65" i="765"/>
  <c r="M65" i="765" s="1"/>
  <c r="T65" i="765" s="1"/>
  <c r="B20" i="765"/>
  <c r="M20" i="765" s="1"/>
  <c r="T20" i="765" s="1"/>
  <c r="B15" i="765"/>
  <c r="M15" i="765" s="1"/>
  <c r="T15" i="765" s="1"/>
  <c r="B18" i="765"/>
  <c r="M18" i="765" s="1"/>
  <c r="T18" i="765" s="1"/>
  <c r="B56" i="765"/>
  <c r="M56" i="765" s="1"/>
  <c r="T56" i="765" s="1"/>
  <c r="B68" i="765"/>
  <c r="M68" i="765" s="1"/>
  <c r="T68" i="765" s="1"/>
  <c r="B24" i="765"/>
  <c r="M24" i="765" s="1"/>
  <c r="T24" i="765" s="1"/>
  <c r="B36" i="765"/>
  <c r="M36" i="765" s="1"/>
  <c r="T36" i="765" s="1"/>
  <c r="B27" i="765"/>
  <c r="M27" i="765" s="1"/>
  <c r="T27" i="765" s="1"/>
  <c r="B39" i="765"/>
  <c r="M39" i="765" s="1"/>
  <c r="T39" i="765" s="1"/>
  <c r="B57" i="765"/>
  <c r="M57" i="765" s="1"/>
  <c r="T57" i="765" s="1"/>
  <c r="B66" i="765"/>
  <c r="M66" i="765" s="1"/>
  <c r="T66" i="765" s="1"/>
  <c r="B51" i="765"/>
  <c r="M51" i="765" s="1"/>
  <c r="T51" i="765" s="1"/>
  <c r="B16" i="765"/>
  <c r="M16" i="765" s="1"/>
  <c r="T16" i="765" s="1"/>
  <c r="B30" i="765"/>
  <c r="M30" i="765" s="1"/>
  <c r="T30" i="765" s="1"/>
  <c r="B54" i="765"/>
  <c r="M54" i="765" s="1"/>
  <c r="T54" i="765" s="1"/>
  <c r="B63" i="765"/>
  <c r="M63" i="765" s="1"/>
  <c r="T63" i="765" s="1"/>
  <c r="B69" i="765"/>
  <c r="M69" i="765" s="1"/>
  <c r="T69" i="765" s="1"/>
  <c r="B19" i="765"/>
  <c r="M19" i="765" s="1"/>
  <c r="T19" i="765" s="1"/>
  <c r="B21" i="765"/>
  <c r="M21" i="765" s="1"/>
  <c r="T21" i="765" s="1"/>
  <c r="B33" i="765"/>
  <c r="M33" i="765" s="1"/>
  <c r="T33" i="765" s="1"/>
  <c r="B45" i="765"/>
  <c r="M45" i="765" s="1"/>
  <c r="T45" i="765" s="1"/>
  <c r="B60" i="765"/>
  <c r="M60" i="765" s="1"/>
  <c r="T60" i="765" s="1"/>
  <c r="B73" i="765"/>
  <c r="M73" i="765" s="1"/>
  <c r="T73" i="765" s="1"/>
  <c r="B22" i="765"/>
  <c r="M22" i="765" s="1"/>
  <c r="T22" i="765" s="1"/>
  <c r="B28" i="765"/>
  <c r="M28" i="765" s="1"/>
  <c r="T28" i="765" s="1"/>
  <c r="B34" i="765"/>
  <c r="M34" i="765" s="1"/>
  <c r="T34" i="765" s="1"/>
  <c r="B40" i="765"/>
  <c r="M40" i="765" s="1"/>
  <c r="T40" i="765" s="1"/>
  <c r="B52" i="765"/>
  <c r="M52" i="765" s="1"/>
  <c r="T52" i="765" s="1"/>
  <c r="B67" i="765"/>
  <c r="M67" i="765" s="1"/>
  <c r="T67" i="765" s="1"/>
  <c r="B64" i="765"/>
  <c r="M64" i="765" s="1"/>
  <c r="T64" i="765" s="1"/>
  <c r="B61" i="765"/>
  <c r="M61" i="765" s="1"/>
  <c r="T61" i="765" s="1"/>
  <c r="B46" i="765"/>
  <c r="M46" i="765" s="1"/>
  <c r="T46" i="765" s="1"/>
  <c r="B70" i="765"/>
  <c r="M70" i="765" s="1"/>
  <c r="T70" i="765" s="1"/>
  <c r="B58" i="765"/>
  <c r="M58" i="765" s="1"/>
  <c r="T58" i="765" s="1"/>
  <c r="B55" i="765"/>
  <c r="M55" i="765" s="1"/>
  <c r="T55" i="765" s="1"/>
  <c r="B71" i="765"/>
  <c r="M71" i="765" s="1"/>
  <c r="T71" i="765" s="1"/>
  <c r="C12" i="765"/>
  <c r="B94" i="765"/>
  <c r="M94" i="765" s="1"/>
  <c r="T94" i="765" s="1"/>
  <c r="B75" i="765"/>
  <c r="M75" i="765" s="1"/>
  <c r="T75" i="765" s="1"/>
  <c r="G12" i="765"/>
  <c r="B25" i="765"/>
  <c r="M25" i="765" s="1"/>
  <c r="T25" i="765" s="1"/>
  <c r="B31" i="765"/>
  <c r="M31" i="765" s="1"/>
  <c r="T31" i="765" s="1"/>
  <c r="B37" i="765"/>
  <c r="M37" i="765" s="1"/>
  <c r="T37" i="765" s="1"/>
  <c r="B49" i="765"/>
  <c r="M49" i="765" s="1"/>
  <c r="T49" i="765" s="1"/>
  <c r="D12" i="765"/>
  <c r="B72" i="765"/>
  <c r="M72" i="765" s="1"/>
  <c r="T72" i="765" s="1"/>
  <c r="I11" i="765"/>
  <c r="B95" i="765"/>
  <c r="M95" i="765" s="1"/>
  <c r="T95" i="765" s="1"/>
  <c r="B47" i="765"/>
  <c r="M47" i="765" s="1"/>
  <c r="T47" i="765" s="1"/>
  <c r="B97" i="765"/>
  <c r="M97" i="765" s="1"/>
  <c r="T97" i="765" s="1"/>
  <c r="B92" i="764"/>
  <c r="M92" i="764" s="1"/>
  <c r="T92" i="764" s="1"/>
  <c r="B46" i="764"/>
  <c r="M46" i="764" s="1"/>
  <c r="T46" i="764" s="1"/>
  <c r="B54" i="764"/>
  <c r="M54" i="764" s="1"/>
  <c r="T54" i="764" s="1"/>
  <c r="B22" i="764"/>
  <c r="M22" i="764" s="1"/>
  <c r="T22" i="764" s="1"/>
  <c r="B62" i="764"/>
  <c r="M62" i="764" s="1"/>
  <c r="T62" i="764" s="1"/>
  <c r="B30" i="764"/>
  <c r="M30" i="764" s="1"/>
  <c r="T30" i="764" s="1"/>
  <c r="B20" i="764"/>
  <c r="M20" i="764" s="1"/>
  <c r="T20" i="764" s="1"/>
  <c r="B28" i="764"/>
  <c r="M28" i="764" s="1"/>
  <c r="T28" i="764" s="1"/>
  <c r="B38" i="764"/>
  <c r="M38" i="764" s="1"/>
  <c r="T38" i="764" s="1"/>
  <c r="B44" i="764"/>
  <c r="M44" i="764" s="1"/>
  <c r="T44" i="764" s="1"/>
  <c r="B52" i="764"/>
  <c r="M52" i="764" s="1"/>
  <c r="T52" i="764" s="1"/>
  <c r="B60" i="764"/>
  <c r="M60" i="764" s="1"/>
  <c r="T60" i="764" s="1"/>
  <c r="B18" i="764"/>
  <c r="M18" i="764" s="1"/>
  <c r="T18" i="764" s="1"/>
  <c r="B26" i="764"/>
  <c r="M26" i="764" s="1"/>
  <c r="T26" i="764" s="1"/>
  <c r="B42" i="764"/>
  <c r="M42" i="764" s="1"/>
  <c r="T42" i="764" s="1"/>
  <c r="B50" i="764"/>
  <c r="M50" i="764" s="1"/>
  <c r="T50" i="764" s="1"/>
  <c r="B58" i="764"/>
  <c r="M58" i="764" s="1"/>
  <c r="T58" i="764" s="1"/>
  <c r="B16" i="764"/>
  <c r="M16" i="764" s="1"/>
  <c r="T16" i="764" s="1"/>
  <c r="B24" i="764"/>
  <c r="M24" i="764" s="1"/>
  <c r="T24" i="764" s="1"/>
  <c r="B32" i="764"/>
  <c r="M32" i="764" s="1"/>
  <c r="T32" i="764" s="1"/>
  <c r="B34" i="764"/>
  <c r="M34" i="764" s="1"/>
  <c r="T34" i="764" s="1"/>
  <c r="B48" i="764"/>
  <c r="M48" i="764" s="1"/>
  <c r="T48" i="764" s="1"/>
  <c r="B56" i="764"/>
  <c r="M56" i="764" s="1"/>
  <c r="T56" i="764" s="1"/>
  <c r="B64" i="764"/>
  <c r="M64" i="764" s="1"/>
  <c r="T64" i="764" s="1"/>
  <c r="D12" i="764"/>
  <c r="B91" i="764"/>
  <c r="M91" i="764" s="1"/>
  <c r="T91" i="764" s="1"/>
  <c r="I11" i="764"/>
  <c r="G12" i="764"/>
  <c r="B66" i="764"/>
  <c r="M66" i="764" s="1"/>
  <c r="T66" i="764" s="1"/>
  <c r="B35" i="764"/>
  <c r="M35" i="764" s="1"/>
  <c r="T35" i="764" s="1"/>
  <c r="B39" i="764"/>
  <c r="M39" i="764" s="1"/>
  <c r="T39" i="764" s="1"/>
  <c r="C12" i="764"/>
  <c r="B15" i="764"/>
  <c r="M15" i="764" s="1"/>
  <c r="T15" i="764" s="1"/>
  <c r="B17" i="764"/>
  <c r="M17" i="764" s="1"/>
  <c r="T17" i="764" s="1"/>
  <c r="E12" i="764"/>
  <c r="B19" i="764"/>
  <c r="M19" i="764" s="1"/>
  <c r="T19" i="764" s="1"/>
  <c r="B21" i="764"/>
  <c r="M21" i="764" s="1"/>
  <c r="T21" i="764" s="1"/>
  <c r="B23" i="764"/>
  <c r="M23" i="764" s="1"/>
  <c r="T23" i="764" s="1"/>
  <c r="B25" i="764"/>
  <c r="M25" i="764" s="1"/>
  <c r="T25" i="764" s="1"/>
  <c r="B27" i="764"/>
  <c r="M27" i="764" s="1"/>
  <c r="T27" i="764" s="1"/>
  <c r="B29" i="764"/>
  <c r="M29" i="764" s="1"/>
  <c r="T29" i="764" s="1"/>
  <c r="B31" i="764"/>
  <c r="M31" i="764" s="1"/>
  <c r="T31" i="764" s="1"/>
  <c r="B33" i="764"/>
  <c r="M33" i="764" s="1"/>
  <c r="T33" i="764" s="1"/>
  <c r="B41" i="764"/>
  <c r="M41" i="764" s="1"/>
  <c r="T41" i="764" s="1"/>
  <c r="B43" i="764"/>
  <c r="M43" i="764" s="1"/>
  <c r="T43" i="764" s="1"/>
  <c r="B45" i="764"/>
  <c r="M45" i="764" s="1"/>
  <c r="T45" i="764" s="1"/>
  <c r="B47" i="764"/>
  <c r="M47" i="764" s="1"/>
  <c r="T47" i="764" s="1"/>
  <c r="B49" i="764"/>
  <c r="M49" i="764" s="1"/>
  <c r="T49" i="764" s="1"/>
  <c r="B51" i="764"/>
  <c r="M51" i="764" s="1"/>
  <c r="T51" i="764" s="1"/>
  <c r="B53" i="764"/>
  <c r="M53" i="764" s="1"/>
  <c r="T53" i="764" s="1"/>
  <c r="B55" i="764"/>
  <c r="M55" i="764" s="1"/>
  <c r="T55" i="764" s="1"/>
  <c r="B57" i="764"/>
  <c r="M57" i="764" s="1"/>
  <c r="T57" i="764" s="1"/>
  <c r="B59" i="764"/>
  <c r="M59" i="764" s="1"/>
  <c r="T59" i="764" s="1"/>
  <c r="B61" i="764"/>
  <c r="M61" i="764" s="1"/>
  <c r="T61" i="764" s="1"/>
  <c r="B63" i="764"/>
  <c r="M63" i="764" s="1"/>
  <c r="T63" i="764" s="1"/>
  <c r="B65" i="764"/>
  <c r="M65" i="764" s="1"/>
  <c r="T65" i="764" s="1"/>
  <c r="B36" i="764"/>
  <c r="M36" i="764" s="1"/>
  <c r="T36" i="764" s="1"/>
  <c r="B55" i="763"/>
  <c r="M55" i="763" s="1"/>
  <c r="T55" i="763" s="1"/>
  <c r="D12" i="763"/>
  <c r="B36" i="763"/>
  <c r="M36" i="763" s="1"/>
  <c r="T36" i="763" s="1"/>
  <c r="E12" i="763"/>
  <c r="B15" i="763"/>
  <c r="M15" i="763" s="1"/>
  <c r="T15" i="763" s="1"/>
  <c r="B16" i="763"/>
  <c r="M16" i="763" s="1"/>
  <c r="T16" i="763" s="1"/>
  <c r="B17" i="763"/>
  <c r="M17" i="763" s="1"/>
  <c r="T17" i="763" s="1"/>
  <c r="B18" i="763"/>
  <c r="M18" i="763" s="1"/>
  <c r="T18" i="763" s="1"/>
  <c r="B19" i="763"/>
  <c r="M19" i="763" s="1"/>
  <c r="T19" i="763" s="1"/>
  <c r="B20" i="763"/>
  <c r="M20" i="763" s="1"/>
  <c r="T20" i="763" s="1"/>
  <c r="B21" i="763"/>
  <c r="M21" i="763" s="1"/>
  <c r="T21" i="763" s="1"/>
  <c r="B22" i="763"/>
  <c r="M22" i="763" s="1"/>
  <c r="T22" i="763" s="1"/>
  <c r="B23" i="763"/>
  <c r="M23" i="763" s="1"/>
  <c r="T23" i="763" s="1"/>
  <c r="B24" i="763"/>
  <c r="M24" i="763" s="1"/>
  <c r="T24" i="763" s="1"/>
  <c r="B25" i="763"/>
  <c r="M25" i="763" s="1"/>
  <c r="T25" i="763" s="1"/>
  <c r="B26" i="763"/>
  <c r="M26" i="763" s="1"/>
  <c r="T26" i="763" s="1"/>
  <c r="B27" i="763"/>
  <c r="M27" i="763" s="1"/>
  <c r="T27" i="763" s="1"/>
  <c r="B28" i="763"/>
  <c r="M28" i="763" s="1"/>
  <c r="T28" i="763" s="1"/>
  <c r="B29" i="763"/>
  <c r="M29" i="763" s="1"/>
  <c r="T29" i="763" s="1"/>
  <c r="B30" i="763"/>
  <c r="M30" i="763" s="1"/>
  <c r="T30" i="763" s="1"/>
  <c r="B31" i="763"/>
  <c r="M31" i="763" s="1"/>
  <c r="T31" i="763" s="1"/>
  <c r="B32" i="763"/>
  <c r="M32" i="763" s="1"/>
  <c r="T32" i="763" s="1"/>
  <c r="B33" i="763"/>
  <c r="M33" i="763" s="1"/>
  <c r="T33" i="763" s="1"/>
  <c r="B37" i="763"/>
  <c r="M37" i="763" s="1"/>
  <c r="T37" i="763" s="1"/>
  <c r="B41" i="763"/>
  <c r="M41" i="763" s="1"/>
  <c r="T41" i="763" s="1"/>
  <c r="B42" i="763"/>
  <c r="M42" i="763" s="1"/>
  <c r="T42" i="763" s="1"/>
  <c r="B43" i="763"/>
  <c r="M43" i="763" s="1"/>
  <c r="T43" i="763" s="1"/>
  <c r="B44" i="763"/>
  <c r="M44" i="763" s="1"/>
  <c r="T44" i="763" s="1"/>
  <c r="B45" i="763"/>
  <c r="M45" i="763" s="1"/>
  <c r="T45" i="763" s="1"/>
  <c r="B46" i="763"/>
  <c r="M46" i="763" s="1"/>
  <c r="T46" i="763" s="1"/>
  <c r="B47" i="763"/>
  <c r="M47" i="763" s="1"/>
  <c r="T47" i="763" s="1"/>
  <c r="B48" i="763"/>
  <c r="M48" i="763" s="1"/>
  <c r="T48" i="763" s="1"/>
  <c r="B49" i="763"/>
  <c r="M49" i="763" s="1"/>
  <c r="T49" i="763" s="1"/>
  <c r="B50" i="763"/>
  <c r="M50" i="763" s="1"/>
  <c r="T50" i="763" s="1"/>
  <c r="B51" i="763"/>
  <c r="M51" i="763" s="1"/>
  <c r="T51" i="763" s="1"/>
  <c r="B52" i="763"/>
  <c r="M52" i="763" s="1"/>
  <c r="T52" i="763" s="1"/>
  <c r="B53" i="763"/>
  <c r="M53" i="763" s="1"/>
  <c r="T53" i="763" s="1"/>
  <c r="B54" i="763"/>
  <c r="M54" i="763" s="1"/>
  <c r="T54" i="763" s="1"/>
  <c r="B57" i="763"/>
  <c r="M57" i="763" s="1"/>
  <c r="T57" i="763" s="1"/>
  <c r="B58" i="763"/>
  <c r="M58" i="763" s="1"/>
  <c r="T58" i="763" s="1"/>
  <c r="B59" i="763"/>
  <c r="M59" i="763" s="1"/>
  <c r="T59" i="763" s="1"/>
  <c r="B60" i="763"/>
  <c r="M60" i="763" s="1"/>
  <c r="T60" i="763" s="1"/>
  <c r="B61" i="763"/>
  <c r="M61" i="763" s="1"/>
  <c r="T61" i="763" s="1"/>
  <c r="B62" i="763"/>
  <c r="M62" i="763" s="1"/>
  <c r="T62" i="763" s="1"/>
  <c r="B63" i="763"/>
  <c r="M63" i="763" s="1"/>
  <c r="T63" i="763" s="1"/>
  <c r="B64" i="763"/>
  <c r="M64" i="763" s="1"/>
  <c r="T64" i="763" s="1"/>
  <c r="B65" i="763"/>
  <c r="M65" i="763" s="1"/>
  <c r="T65" i="763" s="1"/>
  <c r="B66" i="763"/>
  <c r="M66" i="763" s="1"/>
  <c r="T66" i="763" s="1"/>
  <c r="B93" i="763"/>
  <c r="M93" i="763" s="1"/>
  <c r="T93" i="763" s="1"/>
  <c r="I11" i="763"/>
  <c r="F12" i="763"/>
  <c r="B34" i="763"/>
  <c r="M34" i="763" s="1"/>
  <c r="T34" i="763" s="1"/>
  <c r="B38" i="763"/>
  <c r="M38" i="763" s="1"/>
  <c r="T38" i="763" s="1"/>
  <c r="B69" i="763"/>
  <c r="M69" i="763" s="1"/>
  <c r="T69" i="763" s="1"/>
  <c r="B92" i="763"/>
  <c r="M92" i="763" s="1"/>
  <c r="T92" i="763" s="1"/>
  <c r="C12" i="763"/>
  <c r="B35" i="763"/>
  <c r="M35" i="763" s="1"/>
  <c r="T35" i="763" s="1"/>
  <c r="I11" i="762"/>
  <c r="B92" i="762" s="1"/>
  <c r="M92" i="762" s="1"/>
  <c r="T92" i="762" s="1"/>
  <c r="E12" i="762"/>
  <c r="B15" i="762"/>
  <c r="M15" i="762" s="1"/>
  <c r="T15" i="762" s="1"/>
  <c r="B16" i="762"/>
  <c r="M16" i="762" s="1"/>
  <c r="T16" i="762" s="1"/>
  <c r="B17" i="762"/>
  <c r="M17" i="762" s="1"/>
  <c r="T17" i="762" s="1"/>
  <c r="B18" i="762"/>
  <c r="M18" i="762" s="1"/>
  <c r="T18" i="762" s="1"/>
  <c r="B19" i="762"/>
  <c r="M19" i="762" s="1"/>
  <c r="T19" i="762" s="1"/>
  <c r="B20" i="762"/>
  <c r="M20" i="762" s="1"/>
  <c r="T20" i="762" s="1"/>
  <c r="B21" i="762"/>
  <c r="M21" i="762" s="1"/>
  <c r="T21" i="762" s="1"/>
  <c r="B22" i="762"/>
  <c r="M22" i="762" s="1"/>
  <c r="T22" i="762" s="1"/>
  <c r="B23" i="762"/>
  <c r="M23" i="762" s="1"/>
  <c r="T23" i="762" s="1"/>
  <c r="B24" i="762"/>
  <c r="M24" i="762" s="1"/>
  <c r="T24" i="762" s="1"/>
  <c r="B25" i="762"/>
  <c r="M25" i="762" s="1"/>
  <c r="T25" i="762" s="1"/>
  <c r="B26" i="762"/>
  <c r="M26" i="762" s="1"/>
  <c r="T26" i="762" s="1"/>
  <c r="B27" i="762"/>
  <c r="M27" i="762" s="1"/>
  <c r="T27" i="762" s="1"/>
  <c r="B28" i="762"/>
  <c r="M28" i="762" s="1"/>
  <c r="T28" i="762" s="1"/>
  <c r="B29" i="762"/>
  <c r="M29" i="762" s="1"/>
  <c r="T29" i="762" s="1"/>
  <c r="B30" i="762"/>
  <c r="M30" i="762" s="1"/>
  <c r="T30" i="762" s="1"/>
  <c r="B31" i="762"/>
  <c r="M31" i="762" s="1"/>
  <c r="T31" i="762" s="1"/>
  <c r="B32" i="762"/>
  <c r="M32" i="762" s="1"/>
  <c r="T32" i="762" s="1"/>
  <c r="B33" i="762"/>
  <c r="M33" i="762" s="1"/>
  <c r="T33" i="762" s="1"/>
  <c r="B37" i="762"/>
  <c r="M37" i="762" s="1"/>
  <c r="T37" i="762" s="1"/>
  <c r="B41" i="762"/>
  <c r="M41" i="762" s="1"/>
  <c r="T41" i="762" s="1"/>
  <c r="B42" i="762"/>
  <c r="M42" i="762" s="1"/>
  <c r="T42" i="762" s="1"/>
  <c r="B43" i="762"/>
  <c r="M43" i="762" s="1"/>
  <c r="T43" i="762" s="1"/>
  <c r="B44" i="762"/>
  <c r="M44" i="762" s="1"/>
  <c r="T44" i="762" s="1"/>
  <c r="B45" i="762"/>
  <c r="M45" i="762" s="1"/>
  <c r="T45" i="762" s="1"/>
  <c r="B46" i="762"/>
  <c r="M46" i="762" s="1"/>
  <c r="T46" i="762" s="1"/>
  <c r="B47" i="762"/>
  <c r="M47" i="762" s="1"/>
  <c r="T47" i="762" s="1"/>
  <c r="B48" i="762"/>
  <c r="M48" i="762" s="1"/>
  <c r="T48" i="762" s="1"/>
  <c r="B49" i="762"/>
  <c r="M49" i="762" s="1"/>
  <c r="T49" i="762" s="1"/>
  <c r="B50" i="762"/>
  <c r="M50" i="762" s="1"/>
  <c r="T50" i="762" s="1"/>
  <c r="B51" i="762"/>
  <c r="M51" i="762" s="1"/>
  <c r="T51" i="762" s="1"/>
  <c r="B52" i="762"/>
  <c r="M52" i="762" s="1"/>
  <c r="T52" i="762" s="1"/>
  <c r="B53" i="762"/>
  <c r="M53" i="762" s="1"/>
  <c r="T53" i="762" s="1"/>
  <c r="B54" i="762"/>
  <c r="M54" i="762" s="1"/>
  <c r="T54" i="762" s="1"/>
  <c r="B55" i="762"/>
  <c r="M55" i="762" s="1"/>
  <c r="T55" i="762" s="1"/>
  <c r="B56" i="762"/>
  <c r="M56" i="762" s="1"/>
  <c r="T56" i="762" s="1"/>
  <c r="B57" i="762"/>
  <c r="M57" i="762" s="1"/>
  <c r="T57" i="762" s="1"/>
  <c r="B58" i="762"/>
  <c r="M58" i="762" s="1"/>
  <c r="T58" i="762" s="1"/>
  <c r="B59" i="762"/>
  <c r="M59" i="762" s="1"/>
  <c r="T59" i="762" s="1"/>
  <c r="B60" i="762"/>
  <c r="M60" i="762" s="1"/>
  <c r="T60" i="762" s="1"/>
  <c r="B61" i="762"/>
  <c r="M61" i="762" s="1"/>
  <c r="T61" i="762" s="1"/>
  <c r="B62" i="762"/>
  <c r="M62" i="762" s="1"/>
  <c r="T62" i="762" s="1"/>
  <c r="B63" i="762"/>
  <c r="M63" i="762" s="1"/>
  <c r="T63" i="762" s="1"/>
  <c r="B64" i="762"/>
  <c r="M64" i="762" s="1"/>
  <c r="T64" i="762" s="1"/>
  <c r="B91" i="762"/>
  <c r="M91" i="762" s="1"/>
  <c r="T91" i="762" s="1"/>
  <c r="B34" i="762"/>
  <c r="M34" i="762" s="1"/>
  <c r="T34" i="762" s="1"/>
  <c r="B38" i="762"/>
  <c r="M38" i="762" s="1"/>
  <c r="T38" i="762" s="1"/>
  <c r="B67" i="762"/>
  <c r="M67" i="762" s="1"/>
  <c r="T67" i="762" s="1"/>
  <c r="B90" i="762"/>
  <c r="M90" i="762" s="1"/>
  <c r="T90" i="762" s="1"/>
  <c r="C12" i="762"/>
  <c r="B35" i="762"/>
  <c r="M35" i="762" s="1"/>
  <c r="T35" i="762" s="1"/>
  <c r="B89" i="762"/>
  <c r="M89" i="762" s="1"/>
  <c r="T89" i="762" s="1"/>
  <c r="I2" i="762"/>
  <c r="B36" i="762"/>
  <c r="M36" i="762" s="1"/>
  <c r="T36" i="762" s="1"/>
  <c r="B31" i="760"/>
  <c r="M31" i="760" s="1"/>
  <c r="T31" i="760" s="1"/>
  <c r="B18" i="760"/>
  <c r="M18" i="760" s="1"/>
  <c r="T18" i="760" s="1"/>
  <c r="B20" i="760"/>
  <c r="M20" i="760" s="1"/>
  <c r="T20" i="760" s="1"/>
  <c r="B29" i="760"/>
  <c r="M29" i="760" s="1"/>
  <c r="T29" i="760" s="1"/>
  <c r="B36" i="760"/>
  <c r="M36" i="760" s="1"/>
  <c r="T36" i="760" s="1"/>
  <c r="B38" i="760"/>
  <c r="M38" i="760" s="1"/>
  <c r="T38" i="760" s="1"/>
  <c r="B15" i="760"/>
  <c r="M15" i="760" s="1"/>
  <c r="T15" i="760" s="1"/>
  <c r="B33" i="760"/>
  <c r="M33" i="760" s="1"/>
  <c r="T33" i="760" s="1"/>
  <c r="B16" i="760"/>
  <c r="M16" i="760" s="1"/>
  <c r="T16" i="760" s="1"/>
  <c r="B23" i="760"/>
  <c r="M23" i="760" s="1"/>
  <c r="T23" i="760" s="1"/>
  <c r="B25" i="760"/>
  <c r="M25" i="760" s="1"/>
  <c r="T25" i="760" s="1"/>
  <c r="B32" i="760"/>
  <c r="M32" i="760" s="1"/>
  <c r="T32" i="760" s="1"/>
  <c r="B34" i="760"/>
  <c r="M34" i="760" s="1"/>
  <c r="T34" i="760" s="1"/>
  <c r="B42" i="760"/>
  <c r="M42" i="760" s="1"/>
  <c r="T42" i="760" s="1"/>
  <c r="E12" i="760"/>
  <c r="B19" i="760"/>
  <c r="M19" i="760" s="1"/>
  <c r="T19" i="760" s="1"/>
  <c r="B21" i="760"/>
  <c r="M21" i="760" s="1"/>
  <c r="T21" i="760" s="1"/>
  <c r="B28" i="760"/>
  <c r="M28" i="760" s="1"/>
  <c r="T28" i="760" s="1"/>
  <c r="B37" i="760"/>
  <c r="M37" i="760" s="1"/>
  <c r="T37" i="760" s="1"/>
  <c r="B22" i="760"/>
  <c r="M22" i="760" s="1"/>
  <c r="T22" i="760" s="1"/>
  <c r="B35" i="760"/>
  <c r="M35" i="760" s="1"/>
  <c r="T35" i="760" s="1"/>
  <c r="D12" i="760"/>
  <c r="B41" i="760"/>
  <c r="M41" i="760" s="1"/>
  <c r="T41" i="760" s="1"/>
  <c r="B45" i="760"/>
  <c r="M45" i="760" s="1"/>
  <c r="T45" i="760" s="1"/>
  <c r="B85" i="760"/>
  <c r="M85" i="760" s="1"/>
  <c r="T85" i="760" s="1"/>
  <c r="B107" i="760"/>
  <c r="M107" i="760" s="1"/>
  <c r="T107" i="760" s="1"/>
  <c r="B46" i="760"/>
  <c r="M46" i="760" s="1"/>
  <c r="T46" i="760" s="1"/>
  <c r="B84" i="760"/>
  <c r="M84" i="760" s="1"/>
  <c r="T84" i="760" s="1"/>
  <c r="B17" i="760"/>
  <c r="M17" i="760" s="1"/>
  <c r="T17" i="760" s="1"/>
  <c r="B30" i="760"/>
  <c r="M30" i="760" s="1"/>
  <c r="T30" i="760" s="1"/>
  <c r="I11" i="760"/>
  <c r="B39" i="760"/>
  <c r="M39" i="760" s="1"/>
  <c r="T39" i="760" s="1"/>
  <c r="B43" i="760"/>
  <c r="M43" i="760" s="1"/>
  <c r="T43" i="760" s="1"/>
  <c r="B47" i="760"/>
  <c r="M47" i="760" s="1"/>
  <c r="T47" i="760" s="1"/>
  <c r="B48" i="760"/>
  <c r="M48" i="760" s="1"/>
  <c r="T48" i="760" s="1"/>
  <c r="B49" i="760"/>
  <c r="M49" i="760" s="1"/>
  <c r="T49" i="760" s="1"/>
  <c r="B50" i="760"/>
  <c r="M50" i="760" s="1"/>
  <c r="T50" i="760" s="1"/>
  <c r="B51" i="760"/>
  <c r="M51" i="760" s="1"/>
  <c r="T51" i="760" s="1"/>
  <c r="B52" i="760"/>
  <c r="M52" i="760" s="1"/>
  <c r="T52" i="760" s="1"/>
  <c r="B53" i="760"/>
  <c r="M53" i="760" s="1"/>
  <c r="T53" i="760" s="1"/>
  <c r="B54" i="760"/>
  <c r="M54" i="760" s="1"/>
  <c r="T54" i="760" s="1"/>
  <c r="B55" i="760"/>
  <c r="M55" i="760" s="1"/>
  <c r="T55" i="760" s="1"/>
  <c r="B56" i="760"/>
  <c r="M56" i="760" s="1"/>
  <c r="T56" i="760" s="1"/>
  <c r="B57" i="760"/>
  <c r="M57" i="760" s="1"/>
  <c r="T57" i="760" s="1"/>
  <c r="B58" i="760"/>
  <c r="M58" i="760" s="1"/>
  <c r="T58" i="760" s="1"/>
  <c r="B59" i="760"/>
  <c r="M59" i="760" s="1"/>
  <c r="T59" i="760" s="1"/>
  <c r="B60" i="760"/>
  <c r="M60" i="760" s="1"/>
  <c r="T60" i="760" s="1"/>
  <c r="B61" i="760"/>
  <c r="M61" i="760" s="1"/>
  <c r="T61" i="760" s="1"/>
  <c r="B62" i="760"/>
  <c r="M62" i="760" s="1"/>
  <c r="T62" i="760" s="1"/>
  <c r="B63" i="760"/>
  <c r="M63" i="760" s="1"/>
  <c r="T63" i="760" s="1"/>
  <c r="B64" i="760"/>
  <c r="M64" i="760" s="1"/>
  <c r="T64" i="760" s="1"/>
  <c r="B65" i="760"/>
  <c r="M65" i="760" s="1"/>
  <c r="T65" i="760" s="1"/>
  <c r="B66" i="760"/>
  <c r="M66" i="760" s="1"/>
  <c r="T66" i="760" s="1"/>
  <c r="B67" i="760"/>
  <c r="M67" i="760" s="1"/>
  <c r="T67" i="760" s="1"/>
  <c r="B68" i="760"/>
  <c r="M68" i="760" s="1"/>
  <c r="T68" i="760" s="1"/>
  <c r="B69" i="760"/>
  <c r="M69" i="760" s="1"/>
  <c r="T69" i="760" s="1"/>
  <c r="B70" i="760"/>
  <c r="M70" i="760" s="1"/>
  <c r="T70" i="760" s="1"/>
  <c r="B71" i="760"/>
  <c r="M71" i="760" s="1"/>
  <c r="T71" i="760" s="1"/>
  <c r="B72" i="760"/>
  <c r="M72" i="760" s="1"/>
  <c r="T72" i="760" s="1"/>
  <c r="B73" i="760"/>
  <c r="M73" i="760" s="1"/>
  <c r="T73" i="760" s="1"/>
  <c r="B74" i="760"/>
  <c r="M74" i="760" s="1"/>
  <c r="T74" i="760" s="1"/>
  <c r="B75" i="760"/>
  <c r="M75" i="760" s="1"/>
  <c r="T75" i="760" s="1"/>
  <c r="B76" i="760"/>
  <c r="M76" i="760" s="1"/>
  <c r="T76" i="760" s="1"/>
  <c r="B77" i="760"/>
  <c r="M77" i="760" s="1"/>
  <c r="T77" i="760" s="1"/>
  <c r="B78" i="760"/>
  <c r="M78" i="760" s="1"/>
  <c r="T78" i="760" s="1"/>
  <c r="B79" i="760"/>
  <c r="M79" i="760" s="1"/>
  <c r="T79" i="760" s="1"/>
  <c r="B80" i="760"/>
  <c r="M80" i="760" s="1"/>
  <c r="T80" i="760" s="1"/>
  <c r="B82" i="760"/>
  <c r="M82" i="760" s="1"/>
  <c r="T82" i="760" s="1"/>
  <c r="B83" i="760"/>
  <c r="M83" i="760" s="1"/>
  <c r="T83" i="760" s="1"/>
  <c r="B27" i="760"/>
  <c r="M27" i="760" s="1"/>
  <c r="T27" i="760" s="1"/>
  <c r="C12" i="760"/>
  <c r="B100" i="765" l="1"/>
  <c r="M100" i="765" s="1"/>
  <c r="T100" i="765" s="1"/>
  <c r="I12" i="765"/>
  <c r="B98" i="765"/>
  <c r="M98" i="765" s="1"/>
  <c r="T98" i="765" s="1"/>
  <c r="I2" i="765"/>
  <c r="B99" i="765"/>
  <c r="M99" i="765" s="1"/>
  <c r="T99" i="765" s="1"/>
  <c r="B94" i="764"/>
  <c r="M94" i="764" s="1"/>
  <c r="T94" i="764" s="1"/>
  <c r="I12" i="764"/>
  <c r="B95" i="764"/>
  <c r="M95" i="764" s="1"/>
  <c r="T95" i="764" s="1"/>
  <c r="B96" i="764"/>
  <c r="M96" i="764" s="1"/>
  <c r="T96" i="764" s="1"/>
  <c r="I2" i="764"/>
  <c r="B94" i="763"/>
  <c r="M94" i="763" s="1"/>
  <c r="T94" i="763" s="1"/>
  <c r="B95" i="763"/>
  <c r="M95" i="763" s="1"/>
  <c r="T95" i="763" s="1"/>
  <c r="B96" i="763"/>
  <c r="M96" i="763" s="1"/>
  <c r="T96" i="763" s="1"/>
  <c r="I2" i="763"/>
  <c r="I12" i="763"/>
  <c r="I12" i="762"/>
  <c r="B93" i="762"/>
  <c r="M93" i="762" s="1"/>
  <c r="T93" i="762" s="1"/>
  <c r="B94" i="762"/>
  <c r="M94" i="762" s="1"/>
  <c r="T94" i="762" s="1"/>
  <c r="B108" i="760"/>
  <c r="M108" i="760" s="1"/>
  <c r="T108" i="760" s="1"/>
  <c r="I2" i="760"/>
  <c r="B109" i="760"/>
  <c r="M109" i="760" s="1"/>
  <c r="T109" i="760" s="1"/>
  <c r="B110" i="760"/>
  <c r="M110" i="760" s="1"/>
  <c r="T110" i="760" s="1"/>
  <c r="I12" i="760"/>
  <c r="B103" i="759" l="1"/>
  <c r="M103" i="759" s="1"/>
  <c r="T103" i="759" s="1"/>
  <c r="B102" i="759"/>
  <c r="M102" i="759" s="1"/>
  <c r="T102" i="759" s="1"/>
  <c r="C101" i="759"/>
  <c r="B101" i="759"/>
  <c r="M101" i="759" s="1"/>
  <c r="T101" i="759" s="1"/>
  <c r="B100" i="759"/>
  <c r="M100" i="759" s="1"/>
  <c r="T100" i="759" s="1"/>
  <c r="B99" i="759"/>
  <c r="M99" i="759" s="1"/>
  <c r="T99" i="759" s="1"/>
  <c r="C98" i="759"/>
  <c r="B98" i="759"/>
  <c r="M98" i="759" s="1"/>
  <c r="T98" i="759" s="1"/>
  <c r="B97" i="759"/>
  <c r="M97" i="759" s="1"/>
  <c r="T97" i="759" s="1"/>
  <c r="B96" i="759"/>
  <c r="M96" i="759" s="1"/>
  <c r="T96" i="759" s="1"/>
  <c r="C95" i="759"/>
  <c r="B95" i="759"/>
  <c r="M95" i="759" s="1"/>
  <c r="T95" i="759" s="1"/>
  <c r="B94" i="759"/>
  <c r="M94" i="759" s="1"/>
  <c r="T94" i="759" s="1"/>
  <c r="B93" i="759"/>
  <c r="M93" i="759" s="1"/>
  <c r="T93" i="759" s="1"/>
  <c r="C92" i="759"/>
  <c r="B92" i="759"/>
  <c r="M92" i="759" s="1"/>
  <c r="T92" i="759" s="1"/>
  <c r="B91" i="759"/>
  <c r="M91" i="759" s="1"/>
  <c r="T91" i="759" s="1"/>
  <c r="B90" i="759"/>
  <c r="M90" i="759" s="1"/>
  <c r="T90" i="759" s="1"/>
  <c r="C89" i="759"/>
  <c r="B89" i="759"/>
  <c r="M89" i="759" s="1"/>
  <c r="T89" i="759" s="1"/>
  <c r="B88" i="759"/>
  <c r="M88" i="759" s="1"/>
  <c r="T88" i="759" s="1"/>
  <c r="B87" i="759"/>
  <c r="M87" i="759" s="1"/>
  <c r="T87" i="759" s="1"/>
  <c r="C86" i="759"/>
  <c r="B86" i="759"/>
  <c r="M86" i="759" s="1"/>
  <c r="T86" i="759" s="1"/>
  <c r="C82" i="759"/>
  <c r="C81" i="759"/>
  <c r="C80" i="759"/>
  <c r="C79" i="759"/>
  <c r="C78" i="759"/>
  <c r="C77" i="759"/>
  <c r="C76" i="759"/>
  <c r="C75" i="759"/>
  <c r="C74" i="759"/>
  <c r="C73" i="759"/>
  <c r="C72" i="759"/>
  <c r="C71" i="759"/>
  <c r="C70" i="759"/>
  <c r="C69" i="759"/>
  <c r="C68" i="759"/>
  <c r="C67" i="759"/>
  <c r="C66" i="759"/>
  <c r="C65" i="759"/>
  <c r="C64" i="759"/>
  <c r="C63" i="759"/>
  <c r="C62" i="759"/>
  <c r="C61" i="759"/>
  <c r="C60" i="759"/>
  <c r="C59" i="759"/>
  <c r="C58" i="759"/>
  <c r="C57" i="759"/>
  <c r="C56" i="759"/>
  <c r="C55" i="759"/>
  <c r="C54" i="759"/>
  <c r="C53" i="759"/>
  <c r="C52" i="759"/>
  <c r="C51" i="759"/>
  <c r="C50" i="759"/>
  <c r="C49" i="759"/>
  <c r="C48" i="759"/>
  <c r="C47" i="759"/>
  <c r="F46" i="759"/>
  <c r="C46" i="759"/>
  <c r="F45" i="759"/>
  <c r="C45" i="759"/>
  <c r="F44" i="759"/>
  <c r="C44" i="759"/>
  <c r="F43" i="759"/>
  <c r="C43" i="759"/>
  <c r="F42" i="759"/>
  <c r="C42" i="759"/>
  <c r="F41" i="759"/>
  <c r="C41" i="759"/>
  <c r="C37" i="759"/>
  <c r="C36" i="759"/>
  <c r="C35" i="759"/>
  <c r="C34" i="759"/>
  <c r="C33" i="759"/>
  <c r="C32" i="759"/>
  <c r="C31" i="759"/>
  <c r="C30" i="759"/>
  <c r="C29" i="759"/>
  <c r="C28" i="759"/>
  <c r="C27" i="759"/>
  <c r="C26" i="759"/>
  <c r="C25" i="759"/>
  <c r="C24" i="759"/>
  <c r="C23" i="759"/>
  <c r="C22" i="759"/>
  <c r="C21" i="759"/>
  <c r="C20" i="759"/>
  <c r="C19" i="759"/>
  <c r="C18" i="759"/>
  <c r="C17" i="759"/>
  <c r="C16" i="759"/>
  <c r="C15" i="759"/>
  <c r="G11" i="759"/>
  <c r="G12" i="759" s="1"/>
  <c r="F11" i="759"/>
  <c r="F12" i="759" s="1"/>
  <c r="E11" i="759"/>
  <c r="D11" i="759"/>
  <c r="C11" i="759"/>
  <c r="B104" i="759" s="1"/>
  <c r="M104" i="759" s="1"/>
  <c r="T104" i="759" s="1"/>
  <c r="I10" i="759"/>
  <c r="I9" i="759"/>
  <c r="I8" i="759"/>
  <c r="I7" i="759"/>
  <c r="B40" i="759" s="1"/>
  <c r="M40" i="759" s="1"/>
  <c r="T40" i="759" s="1"/>
  <c r="I6" i="759"/>
  <c r="B39" i="759" s="1"/>
  <c r="M39" i="759" s="1"/>
  <c r="T39" i="759" s="1"/>
  <c r="I5" i="759"/>
  <c r="B38" i="759" s="1"/>
  <c r="M38" i="759" s="1"/>
  <c r="T38" i="759" s="1"/>
  <c r="F40" i="758"/>
  <c r="C40" i="758"/>
  <c r="F39" i="758"/>
  <c r="C39" i="758"/>
  <c r="B79" i="759" l="1"/>
  <c r="M79" i="759" s="1"/>
  <c r="T79" i="759" s="1"/>
  <c r="B44" i="759"/>
  <c r="M44" i="759" s="1"/>
  <c r="T44" i="759" s="1"/>
  <c r="B45" i="759"/>
  <c r="M45" i="759" s="1"/>
  <c r="T45" i="759" s="1"/>
  <c r="C12" i="759"/>
  <c r="B43" i="759"/>
  <c r="M43" i="759" s="1"/>
  <c r="T43" i="759" s="1"/>
  <c r="B105" i="759"/>
  <c r="M105" i="759" s="1"/>
  <c r="T105" i="759" s="1"/>
  <c r="B83" i="759"/>
  <c r="M83" i="759" s="1"/>
  <c r="T83" i="759" s="1"/>
  <c r="I11" i="759"/>
  <c r="B80" i="759"/>
  <c r="M80" i="759" s="1"/>
  <c r="T80" i="759" s="1"/>
  <c r="B77" i="759"/>
  <c r="M77" i="759" s="1"/>
  <c r="T77" i="759" s="1"/>
  <c r="B74" i="759"/>
  <c r="M74" i="759" s="1"/>
  <c r="T74" i="759" s="1"/>
  <c r="B71" i="759"/>
  <c r="M71" i="759" s="1"/>
  <c r="T71" i="759" s="1"/>
  <c r="B68" i="759"/>
  <c r="M68" i="759" s="1"/>
  <c r="T68" i="759" s="1"/>
  <c r="B65" i="759"/>
  <c r="M65" i="759" s="1"/>
  <c r="T65" i="759" s="1"/>
  <c r="B63" i="759"/>
  <c r="M63" i="759" s="1"/>
  <c r="T63" i="759" s="1"/>
  <c r="B60" i="759"/>
  <c r="M60" i="759" s="1"/>
  <c r="T60" i="759" s="1"/>
  <c r="B57" i="759"/>
  <c r="M57" i="759" s="1"/>
  <c r="T57" i="759" s="1"/>
  <c r="B54" i="759"/>
  <c r="M54" i="759" s="1"/>
  <c r="T54" i="759" s="1"/>
  <c r="B51" i="759"/>
  <c r="M51" i="759" s="1"/>
  <c r="T51" i="759" s="1"/>
  <c r="B49" i="759"/>
  <c r="M49" i="759" s="1"/>
  <c r="T49" i="759" s="1"/>
  <c r="B47" i="759"/>
  <c r="M47" i="759" s="1"/>
  <c r="T47" i="759" s="1"/>
  <c r="B41" i="759"/>
  <c r="M41" i="759" s="1"/>
  <c r="T41" i="759" s="1"/>
  <c r="B36" i="759"/>
  <c r="M36" i="759" s="1"/>
  <c r="T36" i="759" s="1"/>
  <c r="B33" i="759"/>
  <c r="M33" i="759" s="1"/>
  <c r="T33" i="759" s="1"/>
  <c r="B31" i="759"/>
  <c r="M31" i="759" s="1"/>
  <c r="T31" i="759" s="1"/>
  <c r="B28" i="759"/>
  <c r="M28" i="759" s="1"/>
  <c r="T28" i="759" s="1"/>
  <c r="B25" i="759"/>
  <c r="M25" i="759" s="1"/>
  <c r="T25" i="759" s="1"/>
  <c r="B23" i="759"/>
  <c r="M23" i="759" s="1"/>
  <c r="T23" i="759" s="1"/>
  <c r="B20" i="759"/>
  <c r="M20" i="759" s="1"/>
  <c r="T20" i="759" s="1"/>
  <c r="B18" i="759"/>
  <c r="M18" i="759" s="1"/>
  <c r="T18" i="759" s="1"/>
  <c r="B15" i="759"/>
  <c r="M15" i="759" s="1"/>
  <c r="T15" i="759" s="1"/>
  <c r="B106" i="759"/>
  <c r="M106" i="759" s="1"/>
  <c r="T106" i="759" s="1"/>
  <c r="B84" i="759"/>
  <c r="M84" i="759" s="1"/>
  <c r="T84" i="759" s="1"/>
  <c r="E12" i="759"/>
  <c r="D12" i="759"/>
  <c r="B85" i="759"/>
  <c r="M85" i="759" s="1"/>
  <c r="T85" i="759" s="1"/>
  <c r="B107" i="759"/>
  <c r="M107" i="759" s="1"/>
  <c r="T107" i="759" s="1"/>
  <c r="B81" i="759"/>
  <c r="M81" i="759" s="1"/>
  <c r="T81" i="759" s="1"/>
  <c r="B78" i="759"/>
  <c r="M78" i="759" s="1"/>
  <c r="T78" i="759" s="1"/>
  <c r="B75" i="759"/>
  <c r="M75" i="759" s="1"/>
  <c r="T75" i="759" s="1"/>
  <c r="B72" i="759"/>
  <c r="M72" i="759" s="1"/>
  <c r="T72" i="759" s="1"/>
  <c r="B69" i="759"/>
  <c r="M69" i="759" s="1"/>
  <c r="T69" i="759" s="1"/>
  <c r="B66" i="759"/>
  <c r="M66" i="759" s="1"/>
  <c r="T66" i="759" s="1"/>
  <c r="B64" i="759"/>
  <c r="M64" i="759" s="1"/>
  <c r="T64" i="759" s="1"/>
  <c r="B61" i="759"/>
  <c r="M61" i="759" s="1"/>
  <c r="T61" i="759" s="1"/>
  <c r="B58" i="759"/>
  <c r="M58" i="759" s="1"/>
  <c r="T58" i="759" s="1"/>
  <c r="B55" i="759"/>
  <c r="M55" i="759" s="1"/>
  <c r="T55" i="759" s="1"/>
  <c r="B52" i="759"/>
  <c r="M52" i="759" s="1"/>
  <c r="T52" i="759" s="1"/>
  <c r="B50" i="759"/>
  <c r="M50" i="759" s="1"/>
  <c r="T50" i="759" s="1"/>
  <c r="B48" i="759"/>
  <c r="M48" i="759" s="1"/>
  <c r="T48" i="759" s="1"/>
  <c r="B42" i="759"/>
  <c r="M42" i="759" s="1"/>
  <c r="T42" i="759" s="1"/>
  <c r="B37" i="759"/>
  <c r="M37" i="759" s="1"/>
  <c r="T37" i="759" s="1"/>
  <c r="B34" i="759"/>
  <c r="M34" i="759" s="1"/>
  <c r="T34" i="759" s="1"/>
  <c r="B32" i="759"/>
  <c r="M32" i="759" s="1"/>
  <c r="T32" i="759" s="1"/>
  <c r="B29" i="759"/>
  <c r="M29" i="759" s="1"/>
  <c r="T29" i="759" s="1"/>
  <c r="B26" i="759"/>
  <c r="M26" i="759" s="1"/>
  <c r="T26" i="759" s="1"/>
  <c r="B24" i="759"/>
  <c r="M24" i="759" s="1"/>
  <c r="T24" i="759" s="1"/>
  <c r="B21" i="759"/>
  <c r="M21" i="759" s="1"/>
  <c r="T21" i="759" s="1"/>
  <c r="B19" i="759"/>
  <c r="M19" i="759" s="1"/>
  <c r="T19" i="759" s="1"/>
  <c r="B16" i="759"/>
  <c r="M16" i="759" s="1"/>
  <c r="T16" i="759" s="1"/>
  <c r="B17" i="759"/>
  <c r="M17" i="759" s="1"/>
  <c r="T17" i="759" s="1"/>
  <c r="B22" i="759"/>
  <c r="M22" i="759" s="1"/>
  <c r="T22" i="759" s="1"/>
  <c r="B27" i="759"/>
  <c r="M27" i="759" s="1"/>
  <c r="T27" i="759" s="1"/>
  <c r="B30" i="759"/>
  <c r="M30" i="759" s="1"/>
  <c r="T30" i="759" s="1"/>
  <c r="B35" i="759"/>
  <c r="M35" i="759" s="1"/>
  <c r="T35" i="759" s="1"/>
  <c r="B46" i="759"/>
  <c r="M46" i="759" s="1"/>
  <c r="T46" i="759" s="1"/>
  <c r="B53" i="759"/>
  <c r="M53" i="759" s="1"/>
  <c r="T53" i="759" s="1"/>
  <c r="B56" i="759"/>
  <c r="M56" i="759" s="1"/>
  <c r="T56" i="759" s="1"/>
  <c r="B59" i="759"/>
  <c r="M59" i="759" s="1"/>
  <c r="T59" i="759" s="1"/>
  <c r="B62" i="759"/>
  <c r="M62" i="759" s="1"/>
  <c r="T62" i="759" s="1"/>
  <c r="B67" i="759"/>
  <c r="M67" i="759" s="1"/>
  <c r="T67" i="759" s="1"/>
  <c r="B70" i="759"/>
  <c r="M70" i="759" s="1"/>
  <c r="T70" i="759" s="1"/>
  <c r="B73" i="759"/>
  <c r="M73" i="759" s="1"/>
  <c r="T73" i="759" s="1"/>
  <c r="B76" i="759"/>
  <c r="M76" i="759" s="1"/>
  <c r="T76" i="759" s="1"/>
  <c r="B82" i="759"/>
  <c r="M82" i="759" s="1"/>
  <c r="T82" i="759" s="1"/>
  <c r="B71" i="758"/>
  <c r="M71" i="758" s="1"/>
  <c r="T71" i="758" s="1"/>
  <c r="B70" i="758"/>
  <c r="M70" i="758" s="1"/>
  <c r="T70" i="758" s="1"/>
  <c r="C69" i="758"/>
  <c r="B69" i="758"/>
  <c r="M69" i="758" s="1"/>
  <c r="T69" i="758" s="1"/>
  <c r="B68" i="758"/>
  <c r="M68" i="758" s="1"/>
  <c r="T68" i="758" s="1"/>
  <c r="B67" i="758"/>
  <c r="M67" i="758" s="1"/>
  <c r="T67" i="758" s="1"/>
  <c r="C66" i="758"/>
  <c r="B66" i="758"/>
  <c r="M66" i="758" s="1"/>
  <c r="T66" i="758" s="1"/>
  <c r="B65" i="758"/>
  <c r="M65" i="758" s="1"/>
  <c r="T65" i="758" s="1"/>
  <c r="B64" i="758"/>
  <c r="M64" i="758" s="1"/>
  <c r="T64" i="758" s="1"/>
  <c r="C63" i="758"/>
  <c r="B63" i="758"/>
  <c r="M63" i="758" s="1"/>
  <c r="T63" i="758" s="1"/>
  <c r="B62" i="758"/>
  <c r="M62" i="758" s="1"/>
  <c r="T62" i="758" s="1"/>
  <c r="B61" i="758"/>
  <c r="M61" i="758" s="1"/>
  <c r="T61" i="758" s="1"/>
  <c r="C60" i="758"/>
  <c r="B60" i="758"/>
  <c r="M60" i="758" s="1"/>
  <c r="T60" i="758" s="1"/>
  <c r="B59" i="758"/>
  <c r="M59" i="758" s="1"/>
  <c r="T59" i="758" s="1"/>
  <c r="B58" i="758"/>
  <c r="M58" i="758" s="1"/>
  <c r="T58" i="758" s="1"/>
  <c r="C57" i="758"/>
  <c r="B57" i="758"/>
  <c r="M57" i="758" s="1"/>
  <c r="T57" i="758" s="1"/>
  <c r="B56" i="758"/>
  <c r="M56" i="758" s="1"/>
  <c r="T56" i="758" s="1"/>
  <c r="B55" i="758"/>
  <c r="M55" i="758" s="1"/>
  <c r="T55" i="758" s="1"/>
  <c r="C54" i="758"/>
  <c r="B54" i="758"/>
  <c r="M54" i="758" s="1"/>
  <c r="T54" i="758" s="1"/>
  <c r="C49" i="758"/>
  <c r="C48" i="758"/>
  <c r="C47" i="758"/>
  <c r="C46" i="758"/>
  <c r="C45" i="758"/>
  <c r="C44" i="758"/>
  <c r="C43" i="758"/>
  <c r="F42" i="758"/>
  <c r="C42" i="758"/>
  <c r="F41" i="758"/>
  <c r="C41" i="758"/>
  <c r="F38" i="758"/>
  <c r="C38" i="758"/>
  <c r="F37" i="758"/>
  <c r="C37" i="758"/>
  <c r="F36" i="758"/>
  <c r="C36" i="758"/>
  <c r="F35" i="758"/>
  <c r="C35" i="758"/>
  <c r="C34" i="758"/>
  <c r="C33" i="758"/>
  <c r="C32" i="758"/>
  <c r="C31" i="758"/>
  <c r="C30" i="758"/>
  <c r="C29" i="758"/>
  <c r="C28" i="758"/>
  <c r="C27" i="758"/>
  <c r="C26" i="758"/>
  <c r="C25" i="758"/>
  <c r="C24" i="758"/>
  <c r="C23" i="758"/>
  <c r="C22" i="758"/>
  <c r="C21" i="758"/>
  <c r="C20" i="758"/>
  <c r="C19" i="758"/>
  <c r="C18" i="758"/>
  <c r="C17" i="758"/>
  <c r="C16" i="758"/>
  <c r="C15" i="758"/>
  <c r="G11" i="758"/>
  <c r="B53" i="758" s="1"/>
  <c r="M53" i="758" s="1"/>
  <c r="T53" i="758" s="1"/>
  <c r="F11" i="758"/>
  <c r="B52" i="758" s="1"/>
  <c r="M52" i="758" s="1"/>
  <c r="T52" i="758" s="1"/>
  <c r="E11" i="758"/>
  <c r="B51" i="758" s="1"/>
  <c r="M51" i="758" s="1"/>
  <c r="T51" i="758" s="1"/>
  <c r="D11" i="758"/>
  <c r="B50" i="758" s="1"/>
  <c r="M50" i="758" s="1"/>
  <c r="T50" i="758" s="1"/>
  <c r="C11" i="758"/>
  <c r="B72" i="758" s="1"/>
  <c r="M72" i="758" s="1"/>
  <c r="T72" i="758" s="1"/>
  <c r="I10" i="758"/>
  <c r="I9" i="758"/>
  <c r="I8" i="758"/>
  <c r="I7" i="758"/>
  <c r="I6" i="758"/>
  <c r="I5" i="758"/>
  <c r="F43" i="755"/>
  <c r="F46" i="755"/>
  <c r="G12" i="758" l="1"/>
  <c r="B108" i="759"/>
  <c r="M108" i="759" s="1"/>
  <c r="T108" i="759" s="1"/>
  <c r="B109" i="759"/>
  <c r="M109" i="759" s="1"/>
  <c r="T109" i="759" s="1"/>
  <c r="B110" i="759"/>
  <c r="M110" i="759" s="1"/>
  <c r="T110" i="759" s="1"/>
  <c r="I2" i="759"/>
  <c r="I12" i="759"/>
  <c r="B47" i="758"/>
  <c r="M47" i="758" s="1"/>
  <c r="T47" i="758" s="1"/>
  <c r="B39" i="758"/>
  <c r="M39" i="758" s="1"/>
  <c r="T39" i="758" s="1"/>
  <c r="B48" i="758"/>
  <c r="M48" i="758" s="1"/>
  <c r="T48" i="758" s="1"/>
  <c r="B40" i="758"/>
  <c r="M40" i="758" s="1"/>
  <c r="T40" i="758" s="1"/>
  <c r="F12" i="758"/>
  <c r="I11" i="758"/>
  <c r="B76" i="758" s="1"/>
  <c r="M76" i="758" s="1"/>
  <c r="T76" i="758" s="1"/>
  <c r="C12" i="758"/>
  <c r="B38" i="758"/>
  <c r="M38" i="758" s="1"/>
  <c r="T38" i="758" s="1"/>
  <c r="B75" i="758"/>
  <c r="M75" i="758" s="1"/>
  <c r="T75" i="758" s="1"/>
  <c r="D12" i="758"/>
  <c r="E12" i="758"/>
  <c r="B15" i="758"/>
  <c r="M15" i="758" s="1"/>
  <c r="T15" i="758" s="1"/>
  <c r="B16" i="758"/>
  <c r="M16" i="758" s="1"/>
  <c r="T16" i="758" s="1"/>
  <c r="B17" i="758"/>
  <c r="M17" i="758" s="1"/>
  <c r="T17" i="758" s="1"/>
  <c r="B18" i="758"/>
  <c r="M18" i="758" s="1"/>
  <c r="T18" i="758" s="1"/>
  <c r="B19" i="758"/>
  <c r="M19" i="758" s="1"/>
  <c r="T19" i="758" s="1"/>
  <c r="B20" i="758"/>
  <c r="M20" i="758" s="1"/>
  <c r="T20" i="758" s="1"/>
  <c r="B21" i="758"/>
  <c r="M21" i="758" s="1"/>
  <c r="T21" i="758" s="1"/>
  <c r="B22" i="758"/>
  <c r="M22" i="758" s="1"/>
  <c r="T22" i="758" s="1"/>
  <c r="B23" i="758"/>
  <c r="M23" i="758" s="1"/>
  <c r="T23" i="758" s="1"/>
  <c r="B24" i="758"/>
  <c r="M24" i="758" s="1"/>
  <c r="T24" i="758" s="1"/>
  <c r="B25" i="758"/>
  <c r="M25" i="758" s="1"/>
  <c r="T25" i="758" s="1"/>
  <c r="B26" i="758"/>
  <c r="M26" i="758" s="1"/>
  <c r="T26" i="758" s="1"/>
  <c r="B27" i="758"/>
  <c r="M27" i="758" s="1"/>
  <c r="T27" i="758" s="1"/>
  <c r="B28" i="758"/>
  <c r="M28" i="758" s="1"/>
  <c r="T28" i="758" s="1"/>
  <c r="B29" i="758"/>
  <c r="M29" i="758" s="1"/>
  <c r="T29" i="758" s="1"/>
  <c r="B30" i="758"/>
  <c r="M30" i="758" s="1"/>
  <c r="T30" i="758" s="1"/>
  <c r="B31" i="758"/>
  <c r="M31" i="758" s="1"/>
  <c r="T31" i="758" s="1"/>
  <c r="B32" i="758"/>
  <c r="M32" i="758" s="1"/>
  <c r="T32" i="758" s="1"/>
  <c r="B33" i="758"/>
  <c r="M33" i="758" s="1"/>
  <c r="T33" i="758" s="1"/>
  <c r="B34" i="758"/>
  <c r="M34" i="758" s="1"/>
  <c r="T34" i="758" s="1"/>
  <c r="B35" i="758"/>
  <c r="M35" i="758" s="1"/>
  <c r="T35" i="758" s="1"/>
  <c r="B41" i="758"/>
  <c r="M41" i="758" s="1"/>
  <c r="T41" i="758" s="1"/>
  <c r="B74" i="758"/>
  <c r="M74" i="758" s="1"/>
  <c r="T74" i="758" s="1"/>
  <c r="B36" i="758"/>
  <c r="M36" i="758" s="1"/>
  <c r="T36" i="758" s="1"/>
  <c r="B42" i="758"/>
  <c r="M42" i="758" s="1"/>
  <c r="T42" i="758" s="1"/>
  <c r="B73" i="758"/>
  <c r="M73" i="758" s="1"/>
  <c r="T73" i="758" s="1"/>
  <c r="B37" i="758"/>
  <c r="M37" i="758" s="1"/>
  <c r="T37" i="758" s="1"/>
  <c r="B43" i="758"/>
  <c r="M43" i="758" s="1"/>
  <c r="T43" i="758" s="1"/>
  <c r="B44" i="758"/>
  <c r="M44" i="758" s="1"/>
  <c r="T44" i="758" s="1"/>
  <c r="B45" i="758"/>
  <c r="M45" i="758" s="1"/>
  <c r="T45" i="758" s="1"/>
  <c r="B46" i="758"/>
  <c r="M46" i="758" s="1"/>
  <c r="T46" i="758" s="1"/>
  <c r="B49" i="758"/>
  <c r="M49" i="758" s="1"/>
  <c r="T49" i="758" s="1"/>
  <c r="C59" i="756"/>
  <c r="C58" i="756"/>
  <c r="C57" i="756"/>
  <c r="F46" i="756"/>
  <c r="F38" i="756"/>
  <c r="F39" i="756"/>
  <c r="F40" i="756"/>
  <c r="C46" i="756"/>
  <c r="F41" i="756"/>
  <c r="F42" i="756"/>
  <c r="F43" i="756"/>
  <c r="F44" i="756"/>
  <c r="F45" i="756"/>
  <c r="C45" i="756"/>
  <c r="C56" i="756"/>
  <c r="C55" i="756"/>
  <c r="C53" i="756"/>
  <c r="C52" i="756"/>
  <c r="C67" i="756"/>
  <c r="C66" i="756"/>
  <c r="C62" i="756"/>
  <c r="C61" i="756"/>
  <c r="C30" i="756"/>
  <c r="C29" i="756"/>
  <c r="C27" i="756"/>
  <c r="C22" i="756"/>
  <c r="C21" i="756"/>
  <c r="B103" i="756"/>
  <c r="M103" i="756" s="1"/>
  <c r="T103" i="756" s="1"/>
  <c r="B102" i="756"/>
  <c r="M102" i="756" s="1"/>
  <c r="T102" i="756" s="1"/>
  <c r="C101" i="756"/>
  <c r="B101" i="756"/>
  <c r="M101" i="756" s="1"/>
  <c r="T101" i="756" s="1"/>
  <c r="B100" i="756"/>
  <c r="M100" i="756" s="1"/>
  <c r="T100" i="756" s="1"/>
  <c r="B99" i="756"/>
  <c r="M99" i="756" s="1"/>
  <c r="T99" i="756" s="1"/>
  <c r="C98" i="756"/>
  <c r="B98" i="756"/>
  <c r="M98" i="756" s="1"/>
  <c r="T98" i="756" s="1"/>
  <c r="B97" i="756"/>
  <c r="M97" i="756" s="1"/>
  <c r="T97" i="756" s="1"/>
  <c r="B96" i="756"/>
  <c r="M96" i="756" s="1"/>
  <c r="T96" i="756" s="1"/>
  <c r="C95" i="756"/>
  <c r="B95" i="756"/>
  <c r="M95" i="756" s="1"/>
  <c r="T95" i="756" s="1"/>
  <c r="B94" i="756"/>
  <c r="M94" i="756" s="1"/>
  <c r="T94" i="756" s="1"/>
  <c r="B93" i="756"/>
  <c r="M93" i="756" s="1"/>
  <c r="T93" i="756" s="1"/>
  <c r="C92" i="756"/>
  <c r="B92" i="756"/>
  <c r="M92" i="756" s="1"/>
  <c r="T92" i="756" s="1"/>
  <c r="B91" i="756"/>
  <c r="M91" i="756" s="1"/>
  <c r="T91" i="756" s="1"/>
  <c r="B90" i="756"/>
  <c r="M90" i="756" s="1"/>
  <c r="T90" i="756" s="1"/>
  <c r="C89" i="756"/>
  <c r="B89" i="756"/>
  <c r="M89" i="756" s="1"/>
  <c r="T89" i="756" s="1"/>
  <c r="B88" i="756"/>
  <c r="M88" i="756" s="1"/>
  <c r="T88" i="756" s="1"/>
  <c r="B87" i="756"/>
  <c r="M87" i="756" s="1"/>
  <c r="T87" i="756" s="1"/>
  <c r="C86" i="756"/>
  <c r="B86" i="756"/>
  <c r="M86" i="756" s="1"/>
  <c r="T86" i="756" s="1"/>
  <c r="C82" i="756"/>
  <c r="C81" i="756"/>
  <c r="C80" i="756"/>
  <c r="C79" i="756"/>
  <c r="C78" i="756"/>
  <c r="C77" i="756"/>
  <c r="C76" i="756"/>
  <c r="C75" i="756"/>
  <c r="C74" i="756"/>
  <c r="C73" i="756"/>
  <c r="C72" i="756"/>
  <c r="C71" i="756"/>
  <c r="C70" i="756"/>
  <c r="C69" i="756"/>
  <c r="C68" i="756"/>
  <c r="C65" i="756"/>
  <c r="C64" i="756"/>
  <c r="C63" i="756"/>
  <c r="C60" i="756"/>
  <c r="C54" i="756"/>
  <c r="C51" i="756"/>
  <c r="C50" i="756"/>
  <c r="C49" i="756"/>
  <c r="C48" i="756"/>
  <c r="C47" i="756"/>
  <c r="C44" i="756"/>
  <c r="C43" i="756"/>
  <c r="C42" i="756"/>
  <c r="C41" i="756"/>
  <c r="C40" i="756"/>
  <c r="C39" i="756"/>
  <c r="C38" i="756"/>
  <c r="C37" i="756"/>
  <c r="C36" i="756"/>
  <c r="C35" i="756"/>
  <c r="C34" i="756"/>
  <c r="C33" i="756"/>
  <c r="C32" i="756"/>
  <c r="C31" i="756"/>
  <c r="C28" i="756"/>
  <c r="C26" i="756"/>
  <c r="C25" i="756"/>
  <c r="C24" i="756"/>
  <c r="C23" i="756"/>
  <c r="C20" i="756"/>
  <c r="C19" i="756"/>
  <c r="C18" i="756"/>
  <c r="C17" i="756"/>
  <c r="C16" i="756"/>
  <c r="C15" i="756"/>
  <c r="G11" i="756"/>
  <c r="G12" i="756" s="1"/>
  <c r="F11" i="756"/>
  <c r="B107" i="756" s="1"/>
  <c r="M107" i="756" s="1"/>
  <c r="T107" i="756" s="1"/>
  <c r="E11" i="756"/>
  <c r="D11" i="756"/>
  <c r="C11" i="756"/>
  <c r="B104" i="756" s="1"/>
  <c r="M104" i="756" s="1"/>
  <c r="T104" i="756" s="1"/>
  <c r="I10" i="756"/>
  <c r="I9" i="756"/>
  <c r="I8" i="756"/>
  <c r="I7" i="756"/>
  <c r="B43" i="756" s="1"/>
  <c r="M43" i="756" s="1"/>
  <c r="T43" i="756" s="1"/>
  <c r="I6" i="756"/>
  <c r="B39" i="756" s="1"/>
  <c r="M39" i="756" s="1"/>
  <c r="T39" i="756" s="1"/>
  <c r="I5" i="756"/>
  <c r="B44" i="756" s="1"/>
  <c r="T44" i="756" l="1"/>
  <c r="M44" i="756"/>
  <c r="B78" i="758"/>
  <c r="M78" i="758" s="1"/>
  <c r="T78" i="758" s="1"/>
  <c r="I12" i="758"/>
  <c r="B77" i="758"/>
  <c r="M77" i="758" s="1"/>
  <c r="T77" i="758" s="1"/>
  <c r="I2" i="758"/>
  <c r="B57" i="756"/>
  <c r="M57" i="756" s="1"/>
  <c r="T57" i="756" s="1"/>
  <c r="B58" i="756"/>
  <c r="M58" i="756" s="1"/>
  <c r="T58" i="756" s="1"/>
  <c r="B59" i="756"/>
  <c r="M59" i="756" s="1"/>
  <c r="T59" i="756" s="1"/>
  <c r="B46" i="756"/>
  <c r="M46" i="756" s="1"/>
  <c r="B56" i="756"/>
  <c r="M56" i="756" s="1"/>
  <c r="T56" i="756" s="1"/>
  <c r="B45" i="756"/>
  <c r="B52" i="756"/>
  <c r="M52" i="756" s="1"/>
  <c r="T52" i="756" s="1"/>
  <c r="B55" i="756"/>
  <c r="M55" i="756" s="1"/>
  <c r="T55" i="756" s="1"/>
  <c r="B66" i="756"/>
  <c r="M66" i="756" s="1"/>
  <c r="T66" i="756" s="1"/>
  <c r="B53" i="756"/>
  <c r="M53" i="756" s="1"/>
  <c r="T53" i="756" s="1"/>
  <c r="B67" i="756"/>
  <c r="M67" i="756" s="1"/>
  <c r="T67" i="756" s="1"/>
  <c r="B29" i="756"/>
  <c r="M29" i="756" s="1"/>
  <c r="T29" i="756" s="1"/>
  <c r="B61" i="756"/>
  <c r="M61" i="756" s="1"/>
  <c r="T61" i="756" s="1"/>
  <c r="B62" i="756"/>
  <c r="M62" i="756" s="1"/>
  <c r="T62" i="756" s="1"/>
  <c r="B22" i="756"/>
  <c r="M22" i="756" s="1"/>
  <c r="T22" i="756" s="1"/>
  <c r="B30" i="756"/>
  <c r="M30" i="756" s="1"/>
  <c r="T30" i="756" s="1"/>
  <c r="B85" i="756"/>
  <c r="M85" i="756" s="1"/>
  <c r="T85" i="756" s="1"/>
  <c r="B21" i="756"/>
  <c r="M21" i="756" s="1"/>
  <c r="T21" i="756" s="1"/>
  <c r="F12" i="756"/>
  <c r="B17" i="756"/>
  <c r="M17" i="756" s="1"/>
  <c r="T17" i="756" s="1"/>
  <c r="B40" i="756"/>
  <c r="M40" i="756" s="1"/>
  <c r="T40" i="756" s="1"/>
  <c r="B16" i="756"/>
  <c r="M16" i="756" s="1"/>
  <c r="T16" i="756" s="1"/>
  <c r="B19" i="756"/>
  <c r="M19" i="756" s="1"/>
  <c r="T19" i="756" s="1"/>
  <c r="I11" i="756"/>
  <c r="B110" i="756" s="1"/>
  <c r="M110" i="756" s="1"/>
  <c r="T110" i="756" s="1"/>
  <c r="C12" i="756"/>
  <c r="B80" i="756"/>
  <c r="M80" i="756" s="1"/>
  <c r="T80" i="756" s="1"/>
  <c r="B77" i="756"/>
  <c r="M77" i="756" s="1"/>
  <c r="T77" i="756" s="1"/>
  <c r="B74" i="756"/>
  <c r="M74" i="756" s="1"/>
  <c r="T74" i="756" s="1"/>
  <c r="B71" i="756"/>
  <c r="M71" i="756" s="1"/>
  <c r="T71" i="756" s="1"/>
  <c r="B68" i="756"/>
  <c r="M68" i="756" s="1"/>
  <c r="T68" i="756" s="1"/>
  <c r="B65" i="756"/>
  <c r="B63" i="756"/>
  <c r="M63" i="756" s="1"/>
  <c r="T63" i="756" s="1"/>
  <c r="B60" i="756"/>
  <c r="M60" i="756" s="1"/>
  <c r="T60" i="756" s="1"/>
  <c r="B54" i="756"/>
  <c r="M54" i="756" s="1"/>
  <c r="T54" i="756" s="1"/>
  <c r="B51" i="756"/>
  <c r="M51" i="756" s="1"/>
  <c r="T51" i="756" s="1"/>
  <c r="B49" i="756"/>
  <c r="M49" i="756" s="1"/>
  <c r="T49" i="756" s="1"/>
  <c r="B47" i="756"/>
  <c r="M47" i="756" s="1"/>
  <c r="T47" i="756" s="1"/>
  <c r="B38" i="756"/>
  <c r="M38" i="756" s="1"/>
  <c r="T38" i="756" s="1"/>
  <c r="B36" i="756"/>
  <c r="M36" i="756" s="1"/>
  <c r="T36" i="756" s="1"/>
  <c r="B33" i="756"/>
  <c r="M33" i="756" s="1"/>
  <c r="T33" i="756" s="1"/>
  <c r="B31" i="756"/>
  <c r="M31" i="756" s="1"/>
  <c r="T31" i="756" s="1"/>
  <c r="B28" i="756"/>
  <c r="M28" i="756" s="1"/>
  <c r="T28" i="756" s="1"/>
  <c r="B25" i="756"/>
  <c r="M25" i="756" s="1"/>
  <c r="T25" i="756" s="1"/>
  <c r="B23" i="756"/>
  <c r="M23" i="756" s="1"/>
  <c r="T23" i="756" s="1"/>
  <c r="B20" i="756"/>
  <c r="M20" i="756" s="1"/>
  <c r="T20" i="756" s="1"/>
  <c r="B18" i="756"/>
  <c r="M18" i="756" s="1"/>
  <c r="T18" i="756" s="1"/>
  <c r="B15" i="756"/>
  <c r="M15" i="756" s="1"/>
  <c r="T15" i="756" s="1"/>
  <c r="B41" i="756"/>
  <c r="M41" i="756" s="1"/>
  <c r="T41" i="756" s="1"/>
  <c r="E12" i="756"/>
  <c r="B106" i="756"/>
  <c r="M106" i="756" s="1"/>
  <c r="T106" i="756" s="1"/>
  <c r="B84" i="756"/>
  <c r="M84" i="756" s="1"/>
  <c r="T84" i="756" s="1"/>
  <c r="D12" i="756"/>
  <c r="T46" i="756"/>
  <c r="B24" i="756"/>
  <c r="M24" i="756" s="1"/>
  <c r="T24" i="756" s="1"/>
  <c r="B26" i="756"/>
  <c r="M26" i="756" s="1"/>
  <c r="T26" i="756" s="1"/>
  <c r="B27" i="756"/>
  <c r="M27" i="756" s="1"/>
  <c r="T27" i="756" s="1"/>
  <c r="B32" i="756"/>
  <c r="M32" i="756" s="1"/>
  <c r="T32" i="756" s="1"/>
  <c r="B34" i="756"/>
  <c r="M34" i="756" s="1"/>
  <c r="T34" i="756" s="1"/>
  <c r="B35" i="756"/>
  <c r="M35" i="756" s="1"/>
  <c r="T35" i="756" s="1"/>
  <c r="B37" i="756"/>
  <c r="M37" i="756" s="1"/>
  <c r="T37" i="756" s="1"/>
  <c r="B42" i="756"/>
  <c r="M42" i="756" s="1"/>
  <c r="T42" i="756" s="1"/>
  <c r="B48" i="756"/>
  <c r="M48" i="756" s="1"/>
  <c r="T48" i="756" s="1"/>
  <c r="B50" i="756"/>
  <c r="M50" i="756" s="1"/>
  <c r="T50" i="756" s="1"/>
  <c r="B64" i="756"/>
  <c r="M64" i="756" s="1"/>
  <c r="T64" i="756" s="1"/>
  <c r="B69" i="756"/>
  <c r="M69" i="756" s="1"/>
  <c r="T69" i="756" s="1"/>
  <c r="B70" i="756"/>
  <c r="M70" i="756" s="1"/>
  <c r="T70" i="756" s="1"/>
  <c r="B72" i="756"/>
  <c r="M72" i="756" s="1"/>
  <c r="T72" i="756" s="1"/>
  <c r="B73" i="756"/>
  <c r="M73" i="756" s="1"/>
  <c r="T73" i="756" s="1"/>
  <c r="B75" i="756"/>
  <c r="M75" i="756" s="1"/>
  <c r="T75" i="756" s="1"/>
  <c r="B76" i="756"/>
  <c r="M76" i="756" s="1"/>
  <c r="T76" i="756" s="1"/>
  <c r="B78" i="756"/>
  <c r="M78" i="756" s="1"/>
  <c r="T78" i="756" s="1"/>
  <c r="B79" i="756"/>
  <c r="M79" i="756" s="1"/>
  <c r="T79" i="756" s="1"/>
  <c r="B81" i="756"/>
  <c r="M81" i="756" s="1"/>
  <c r="T81" i="756" s="1"/>
  <c r="B82" i="756"/>
  <c r="M82" i="756" s="1"/>
  <c r="T82" i="756" s="1"/>
  <c r="B83" i="756"/>
  <c r="M83" i="756" s="1"/>
  <c r="T83" i="756" s="1"/>
  <c r="B105" i="756"/>
  <c r="M105" i="756" s="1"/>
  <c r="T105" i="756" s="1"/>
  <c r="M45" i="756" l="1"/>
  <c r="T45" i="756" s="1"/>
  <c r="M65" i="756"/>
  <c r="T65" i="756" s="1"/>
  <c r="B108" i="756"/>
  <c r="M108" i="756" s="1"/>
  <c r="T108" i="756" s="1"/>
  <c r="I12" i="756"/>
  <c r="B109" i="756"/>
  <c r="M109" i="756" s="1"/>
  <c r="T109" i="756" s="1"/>
  <c r="I2" i="756"/>
  <c r="C64" i="755" l="1"/>
  <c r="C63" i="755"/>
  <c r="C62" i="755"/>
  <c r="B91" i="755"/>
  <c r="B92" i="755"/>
  <c r="B93" i="755"/>
  <c r="B90" i="755"/>
  <c r="B89" i="755"/>
  <c r="B88" i="755"/>
  <c r="B86" i="755"/>
  <c r="B85" i="755"/>
  <c r="B87" i="755"/>
  <c r="C91" i="755"/>
  <c r="C85" i="755"/>
  <c r="C88" i="755"/>
  <c r="B84" i="755"/>
  <c r="B83" i="755"/>
  <c r="B82" i="755"/>
  <c r="B81" i="755"/>
  <c r="B80" i="755"/>
  <c r="B79" i="755"/>
  <c r="C82" i="755"/>
  <c r="C76" i="755"/>
  <c r="B77" i="755"/>
  <c r="B78" i="755"/>
  <c r="B76" i="755"/>
  <c r="C70" i="755"/>
  <c r="C67" i="755"/>
  <c r="C61" i="755"/>
  <c r="C58" i="755"/>
  <c r="C55" i="755"/>
  <c r="C69" i="755"/>
  <c r="C66" i="755"/>
  <c r="C60" i="755"/>
  <c r="C57" i="755"/>
  <c r="C54" i="755"/>
  <c r="C52" i="755"/>
  <c r="C49" i="755"/>
  <c r="C40" i="755"/>
  <c r="C51" i="755"/>
  <c r="F48" i="755"/>
  <c r="C48" i="755"/>
  <c r="C46" i="755"/>
  <c r="C43" i="755"/>
  <c r="F45" i="755"/>
  <c r="C45" i="755"/>
  <c r="F42" i="755"/>
  <c r="C42" i="755"/>
  <c r="C34" i="755"/>
  <c r="C33" i="755"/>
  <c r="C39" i="755"/>
  <c r="C37" i="755"/>
  <c r="C36" i="755"/>
  <c r="C31" i="755"/>
  <c r="C28" i="755"/>
  <c r="C30" i="755"/>
  <c r="C27" i="755"/>
  <c r="C25" i="755"/>
  <c r="C24" i="755"/>
  <c r="C22" i="755"/>
  <c r="C21" i="755"/>
  <c r="C17" i="755"/>
  <c r="C16" i="755"/>
  <c r="M93" i="755" l="1"/>
  <c r="T93" i="755" s="1"/>
  <c r="M92" i="755"/>
  <c r="T92" i="755" s="1"/>
  <c r="M91" i="755"/>
  <c r="T91" i="755" s="1"/>
  <c r="M90" i="755"/>
  <c r="T90" i="755" s="1"/>
  <c r="M89" i="755"/>
  <c r="T89" i="755" s="1"/>
  <c r="M88" i="755"/>
  <c r="T88" i="755" s="1"/>
  <c r="M87" i="755"/>
  <c r="T87" i="755" s="1"/>
  <c r="M86" i="755"/>
  <c r="T86" i="755" s="1"/>
  <c r="M85" i="755"/>
  <c r="T85" i="755" s="1"/>
  <c r="M84" i="755"/>
  <c r="T84" i="755" s="1"/>
  <c r="M83" i="755"/>
  <c r="T83" i="755" s="1"/>
  <c r="M82" i="755"/>
  <c r="T82" i="755" s="1"/>
  <c r="C79" i="755"/>
  <c r="M81" i="755"/>
  <c r="T81" i="755" s="1"/>
  <c r="M80" i="755"/>
  <c r="T80" i="755" s="1"/>
  <c r="M79" i="755"/>
  <c r="T79" i="755" s="1"/>
  <c r="M78" i="755"/>
  <c r="T78" i="755" s="1"/>
  <c r="M77" i="755"/>
  <c r="T77" i="755" s="1"/>
  <c r="M76" i="755"/>
  <c r="T76" i="755" s="1"/>
  <c r="C71" i="755"/>
  <c r="C68" i="755"/>
  <c r="C65" i="755"/>
  <c r="C59" i="755"/>
  <c r="C56" i="755"/>
  <c r="C53" i="755"/>
  <c r="C50" i="755"/>
  <c r="F49" i="755"/>
  <c r="F47" i="755"/>
  <c r="C47" i="755"/>
  <c r="F44" i="755"/>
  <c r="C44" i="755"/>
  <c r="F41" i="755"/>
  <c r="C41" i="755"/>
  <c r="C38" i="755"/>
  <c r="C35" i="755"/>
  <c r="C32" i="755"/>
  <c r="C29" i="755"/>
  <c r="C26" i="755"/>
  <c r="C23" i="755"/>
  <c r="C20" i="755"/>
  <c r="C19" i="755"/>
  <c r="C18" i="755"/>
  <c r="C15" i="755"/>
  <c r="G11" i="755"/>
  <c r="B75" i="755" s="1"/>
  <c r="M75" i="755" s="1"/>
  <c r="T75" i="755" s="1"/>
  <c r="F11" i="755"/>
  <c r="B74" i="755" s="1"/>
  <c r="M74" i="755" s="1"/>
  <c r="T74" i="755" s="1"/>
  <c r="E11" i="755"/>
  <c r="E12" i="755" s="1"/>
  <c r="D11" i="755"/>
  <c r="B95" i="755" s="1"/>
  <c r="C11" i="755"/>
  <c r="B94" i="755" s="1"/>
  <c r="M94" i="755" s="1"/>
  <c r="T94" i="755" s="1"/>
  <c r="I10" i="755"/>
  <c r="I9" i="755"/>
  <c r="I8" i="755"/>
  <c r="I7" i="755"/>
  <c r="B64" i="755" s="1"/>
  <c r="M64" i="755" s="1"/>
  <c r="T64" i="755" s="1"/>
  <c r="I6" i="755"/>
  <c r="I5" i="755"/>
  <c r="B75" i="754"/>
  <c r="M75" i="754" s="1"/>
  <c r="T75" i="754" s="1"/>
  <c r="B74" i="754"/>
  <c r="M74" i="754" s="1"/>
  <c r="T74" i="754" s="1"/>
  <c r="B73" i="754"/>
  <c r="M73" i="754" s="1"/>
  <c r="T73" i="754" s="1"/>
  <c r="B72" i="754"/>
  <c r="M72" i="754" s="1"/>
  <c r="T72" i="754" s="1"/>
  <c r="M71" i="754"/>
  <c r="T71" i="754" s="1"/>
  <c r="C71" i="754"/>
  <c r="B71" i="754"/>
  <c r="B70" i="754"/>
  <c r="M70" i="754" s="1"/>
  <c r="T70" i="754" s="1"/>
  <c r="B69" i="754"/>
  <c r="M69" i="754" s="1"/>
  <c r="T69" i="754" s="1"/>
  <c r="B68" i="754"/>
  <c r="M68" i="754" s="1"/>
  <c r="T68" i="754" s="1"/>
  <c r="B67" i="754"/>
  <c r="M67" i="754" s="1"/>
  <c r="T67" i="754" s="1"/>
  <c r="M66" i="754"/>
  <c r="T66" i="754" s="1"/>
  <c r="C66" i="754"/>
  <c r="B66" i="754"/>
  <c r="B65" i="754"/>
  <c r="M65" i="754" s="1"/>
  <c r="T65" i="754" s="1"/>
  <c r="M64" i="754"/>
  <c r="T64" i="754" s="1"/>
  <c r="B63" i="754"/>
  <c r="M63" i="754" s="1"/>
  <c r="T63" i="754" s="1"/>
  <c r="B62" i="754"/>
  <c r="M62" i="754" s="1"/>
  <c r="T62" i="754" s="1"/>
  <c r="C61" i="754"/>
  <c r="B61" i="754"/>
  <c r="M61" i="754" s="1"/>
  <c r="T61" i="754" s="1"/>
  <c r="B60" i="754"/>
  <c r="M60" i="754" s="1"/>
  <c r="T60" i="754" s="1"/>
  <c r="T59" i="754"/>
  <c r="B59" i="754"/>
  <c r="M59" i="754" s="1"/>
  <c r="B58" i="754"/>
  <c r="M58" i="754" s="1"/>
  <c r="T58" i="754" s="1"/>
  <c r="B57" i="754"/>
  <c r="M57" i="754" s="1"/>
  <c r="T57" i="754" s="1"/>
  <c r="C56" i="754"/>
  <c r="B56" i="754"/>
  <c r="M56" i="754" s="1"/>
  <c r="T56" i="754" s="1"/>
  <c r="C51" i="754"/>
  <c r="C50" i="754"/>
  <c r="C49" i="754"/>
  <c r="C48" i="754"/>
  <c r="C47" i="754"/>
  <c r="C46" i="754"/>
  <c r="C45" i="754"/>
  <c r="C44" i="754"/>
  <c r="C43" i="754"/>
  <c r="C42" i="754"/>
  <c r="C41" i="754"/>
  <c r="C40" i="754"/>
  <c r="C39" i="754"/>
  <c r="F38" i="754"/>
  <c r="C38" i="754"/>
  <c r="F37" i="754"/>
  <c r="C37" i="754"/>
  <c r="F36" i="754"/>
  <c r="C36" i="754"/>
  <c r="F35" i="754"/>
  <c r="C35" i="754"/>
  <c r="F34" i="754"/>
  <c r="C34" i="754"/>
  <c r="F33" i="754"/>
  <c r="C33" i="754"/>
  <c r="C32" i="754"/>
  <c r="C31" i="754"/>
  <c r="C30" i="754"/>
  <c r="C29" i="754"/>
  <c r="C28" i="754"/>
  <c r="C27" i="754"/>
  <c r="C26" i="754"/>
  <c r="C25" i="754"/>
  <c r="C24" i="754"/>
  <c r="C23" i="754"/>
  <c r="C22" i="754"/>
  <c r="C21" i="754"/>
  <c r="C20" i="754"/>
  <c r="C19" i="754"/>
  <c r="C18" i="754"/>
  <c r="C17" i="754"/>
  <c r="C16" i="754"/>
  <c r="C15" i="754"/>
  <c r="G11" i="754"/>
  <c r="B55" i="754" s="1"/>
  <c r="M55" i="754" s="1"/>
  <c r="T55" i="754" s="1"/>
  <c r="F11" i="754"/>
  <c r="E11" i="754"/>
  <c r="B53" i="754" s="1"/>
  <c r="M53" i="754" s="1"/>
  <c r="T53" i="754" s="1"/>
  <c r="D11" i="754"/>
  <c r="B52" i="754" s="1"/>
  <c r="M52" i="754" s="1"/>
  <c r="T52" i="754" s="1"/>
  <c r="C11" i="754"/>
  <c r="C12" i="754" s="1"/>
  <c r="I10" i="754"/>
  <c r="I9" i="754"/>
  <c r="I8" i="754"/>
  <c r="I7" i="754"/>
  <c r="I6" i="754"/>
  <c r="B24" i="754" s="1"/>
  <c r="M24" i="754" s="1"/>
  <c r="T24" i="754" s="1"/>
  <c r="I5" i="754"/>
  <c r="B35" i="754" s="1"/>
  <c r="M35" i="754" s="1"/>
  <c r="T35" i="754" s="1"/>
  <c r="B75" i="753"/>
  <c r="M75" i="753" s="1"/>
  <c r="T75" i="753" s="1"/>
  <c r="B74" i="753"/>
  <c r="M74" i="753" s="1"/>
  <c r="T74" i="753" s="1"/>
  <c r="B73" i="753"/>
  <c r="M73" i="753" s="1"/>
  <c r="T73" i="753" s="1"/>
  <c r="B72" i="753"/>
  <c r="M72" i="753" s="1"/>
  <c r="T72" i="753" s="1"/>
  <c r="C71" i="753"/>
  <c r="B71" i="753"/>
  <c r="M71" i="753" s="1"/>
  <c r="T71" i="753" s="1"/>
  <c r="B70" i="753"/>
  <c r="M70" i="753" s="1"/>
  <c r="T70" i="753" s="1"/>
  <c r="B69" i="753"/>
  <c r="M69" i="753" s="1"/>
  <c r="T69" i="753" s="1"/>
  <c r="B68" i="753"/>
  <c r="M68" i="753" s="1"/>
  <c r="T68" i="753" s="1"/>
  <c r="B67" i="753"/>
  <c r="M67" i="753" s="1"/>
  <c r="T67" i="753" s="1"/>
  <c r="C66" i="753"/>
  <c r="B66" i="753"/>
  <c r="M66" i="753" s="1"/>
  <c r="T66" i="753" s="1"/>
  <c r="B65" i="753"/>
  <c r="M65" i="753" s="1"/>
  <c r="T65" i="753" s="1"/>
  <c r="T64" i="753"/>
  <c r="M64" i="753"/>
  <c r="B63" i="753"/>
  <c r="M63" i="753" s="1"/>
  <c r="T63" i="753" s="1"/>
  <c r="B62" i="753"/>
  <c r="M62" i="753" s="1"/>
  <c r="T62" i="753" s="1"/>
  <c r="C61" i="753"/>
  <c r="B61" i="753"/>
  <c r="M61" i="753" s="1"/>
  <c r="T61" i="753" s="1"/>
  <c r="M60" i="753"/>
  <c r="T60" i="753" s="1"/>
  <c r="B60" i="753"/>
  <c r="B59" i="753"/>
  <c r="M59" i="753" s="1"/>
  <c r="T59" i="753" s="1"/>
  <c r="B58" i="753"/>
  <c r="M58" i="753" s="1"/>
  <c r="T58" i="753" s="1"/>
  <c r="B57" i="753"/>
  <c r="M57" i="753" s="1"/>
  <c r="T57" i="753" s="1"/>
  <c r="C56" i="753"/>
  <c r="B56" i="753"/>
  <c r="M56" i="753" s="1"/>
  <c r="T56" i="753" s="1"/>
  <c r="C51" i="753"/>
  <c r="C50" i="753"/>
  <c r="C49" i="753"/>
  <c r="C48" i="753"/>
  <c r="C47" i="753"/>
  <c r="C46" i="753"/>
  <c r="C45" i="753"/>
  <c r="C44" i="753"/>
  <c r="C43" i="753"/>
  <c r="C42" i="753"/>
  <c r="C41" i="753"/>
  <c r="C40" i="753"/>
  <c r="C39" i="753"/>
  <c r="F38" i="753"/>
  <c r="C38" i="753"/>
  <c r="F37" i="753"/>
  <c r="C37" i="753"/>
  <c r="F36" i="753"/>
  <c r="C36" i="753"/>
  <c r="F35" i="753"/>
  <c r="C35" i="753"/>
  <c r="F34" i="753"/>
  <c r="C34" i="753"/>
  <c r="F33" i="753"/>
  <c r="C33" i="753"/>
  <c r="C32" i="753"/>
  <c r="C31" i="753"/>
  <c r="C30" i="753"/>
  <c r="C29" i="753"/>
  <c r="C28" i="753"/>
  <c r="C27" i="753"/>
  <c r="C26" i="753"/>
  <c r="C25" i="753"/>
  <c r="C24" i="753"/>
  <c r="C23" i="753"/>
  <c r="C22" i="753"/>
  <c r="C21" i="753"/>
  <c r="C20" i="753"/>
  <c r="C19" i="753"/>
  <c r="C18" i="753"/>
  <c r="C17" i="753"/>
  <c r="C16" i="753"/>
  <c r="C15" i="753"/>
  <c r="G11" i="753"/>
  <c r="B55" i="753" s="1"/>
  <c r="M55" i="753" s="1"/>
  <c r="T55" i="753" s="1"/>
  <c r="F11" i="753"/>
  <c r="F12" i="753" s="1"/>
  <c r="E11" i="753"/>
  <c r="B53" i="753" s="1"/>
  <c r="M53" i="753" s="1"/>
  <c r="T53" i="753" s="1"/>
  <c r="D11" i="753"/>
  <c r="B77" i="753" s="1"/>
  <c r="M77" i="753" s="1"/>
  <c r="T77" i="753" s="1"/>
  <c r="C11" i="753"/>
  <c r="B76" i="753" s="1"/>
  <c r="M76" i="753" s="1"/>
  <c r="T76" i="753" s="1"/>
  <c r="I10" i="753"/>
  <c r="I9" i="753"/>
  <c r="I8" i="753"/>
  <c r="I7" i="753"/>
  <c r="I6" i="753"/>
  <c r="B38" i="753" s="1"/>
  <c r="M38" i="753" s="1"/>
  <c r="T38" i="753" s="1"/>
  <c r="I5" i="753"/>
  <c r="B37" i="753" s="1"/>
  <c r="T37" i="753" l="1"/>
  <c r="M37" i="753"/>
  <c r="B47" i="755"/>
  <c r="M47" i="755" s="1"/>
  <c r="T47" i="755" s="1"/>
  <c r="B62" i="755"/>
  <c r="M62" i="755" s="1"/>
  <c r="T62" i="755" s="1"/>
  <c r="B69" i="755"/>
  <c r="M69" i="755" s="1"/>
  <c r="T69" i="755" s="1"/>
  <c r="B63" i="755"/>
  <c r="M63" i="755" s="1"/>
  <c r="T63" i="755" s="1"/>
  <c r="B67" i="755"/>
  <c r="B58" i="755"/>
  <c r="M58" i="755" s="1"/>
  <c r="T58" i="755" s="1"/>
  <c r="B70" i="755"/>
  <c r="M70" i="755" s="1"/>
  <c r="T70" i="755" s="1"/>
  <c r="B61" i="755"/>
  <c r="M61" i="755" s="1"/>
  <c r="T61" i="755" s="1"/>
  <c r="B55" i="755"/>
  <c r="B60" i="755"/>
  <c r="M60" i="755" s="1"/>
  <c r="T60" i="755" s="1"/>
  <c r="B66" i="755"/>
  <c r="M66" i="755" s="1"/>
  <c r="T66" i="755" s="1"/>
  <c r="B54" i="755"/>
  <c r="M54" i="755" s="1"/>
  <c r="T54" i="755" s="1"/>
  <c r="B57" i="755"/>
  <c r="M57" i="755" s="1"/>
  <c r="T57" i="755" s="1"/>
  <c r="B52" i="755"/>
  <c r="M52" i="755" s="1"/>
  <c r="T52" i="755" s="1"/>
  <c r="B40" i="755"/>
  <c r="M40" i="755" s="1"/>
  <c r="T40" i="755" s="1"/>
  <c r="B49" i="755"/>
  <c r="M49" i="755" s="1"/>
  <c r="T49" i="755" s="1"/>
  <c r="B48" i="755"/>
  <c r="M48" i="755" s="1"/>
  <c r="T48" i="755" s="1"/>
  <c r="B51" i="755"/>
  <c r="M51" i="755" s="1"/>
  <c r="T51" i="755" s="1"/>
  <c r="B43" i="755"/>
  <c r="M43" i="755" s="1"/>
  <c r="T43" i="755" s="1"/>
  <c r="B46" i="755"/>
  <c r="M46" i="755" s="1"/>
  <c r="T46" i="755" s="1"/>
  <c r="B42" i="755"/>
  <c r="M42" i="755" s="1"/>
  <c r="T42" i="755" s="1"/>
  <c r="B45" i="755"/>
  <c r="M45" i="755" s="1"/>
  <c r="T45" i="755" s="1"/>
  <c r="B37" i="755"/>
  <c r="M37" i="755" s="1"/>
  <c r="T37" i="755" s="1"/>
  <c r="B34" i="755"/>
  <c r="M34" i="755" s="1"/>
  <c r="T34" i="755" s="1"/>
  <c r="B39" i="755"/>
  <c r="M39" i="755" s="1"/>
  <c r="T39" i="755" s="1"/>
  <c r="B33" i="755"/>
  <c r="M33" i="755" s="1"/>
  <c r="T33" i="755" s="1"/>
  <c r="B30" i="755"/>
  <c r="M30" i="755" s="1"/>
  <c r="T30" i="755" s="1"/>
  <c r="B36" i="755"/>
  <c r="M36" i="755" s="1"/>
  <c r="T36" i="755" s="1"/>
  <c r="B25" i="755"/>
  <c r="M25" i="755" s="1"/>
  <c r="T25" i="755" s="1"/>
  <c r="B31" i="755"/>
  <c r="M31" i="755" s="1"/>
  <c r="T31" i="755" s="1"/>
  <c r="B28" i="755"/>
  <c r="M28" i="755" s="1"/>
  <c r="T28" i="755" s="1"/>
  <c r="B24" i="755"/>
  <c r="M24" i="755" s="1"/>
  <c r="T24" i="755" s="1"/>
  <c r="B27" i="755"/>
  <c r="M27" i="755" s="1"/>
  <c r="T27" i="755" s="1"/>
  <c r="B17" i="755"/>
  <c r="M17" i="755" s="1"/>
  <c r="T17" i="755" s="1"/>
  <c r="B22" i="755"/>
  <c r="M22" i="755" s="1"/>
  <c r="T22" i="755" s="1"/>
  <c r="B21" i="755"/>
  <c r="M21" i="755" s="1"/>
  <c r="T21" i="755" s="1"/>
  <c r="B16" i="755"/>
  <c r="M16" i="755" s="1"/>
  <c r="T16" i="755" s="1"/>
  <c r="G12" i="755"/>
  <c r="F12" i="755"/>
  <c r="B97" i="755"/>
  <c r="M97" i="755" s="1"/>
  <c r="T97" i="755" s="1"/>
  <c r="C12" i="755"/>
  <c r="B71" i="755"/>
  <c r="M71" i="755" s="1"/>
  <c r="T71" i="755" s="1"/>
  <c r="M67" i="755"/>
  <c r="T67" i="755" s="1"/>
  <c r="M55" i="755"/>
  <c r="T55" i="755" s="1"/>
  <c r="B73" i="755"/>
  <c r="M73" i="755" s="1"/>
  <c r="T73" i="755" s="1"/>
  <c r="M95" i="755"/>
  <c r="T95" i="755" s="1"/>
  <c r="B72" i="755"/>
  <c r="M72" i="755" s="1"/>
  <c r="T72" i="755" s="1"/>
  <c r="D12" i="755"/>
  <c r="I11" i="755"/>
  <c r="B50" i="755"/>
  <c r="M50" i="755" s="1"/>
  <c r="T50" i="755" s="1"/>
  <c r="B53" i="755"/>
  <c r="M53" i="755" s="1"/>
  <c r="T53" i="755" s="1"/>
  <c r="B56" i="755"/>
  <c r="M56" i="755" s="1"/>
  <c r="T56" i="755" s="1"/>
  <c r="B68" i="755"/>
  <c r="M68" i="755" s="1"/>
  <c r="T68" i="755" s="1"/>
  <c r="B96" i="755"/>
  <c r="M96" i="755" s="1"/>
  <c r="T96" i="755" s="1"/>
  <c r="B44" i="755"/>
  <c r="M44" i="755" s="1"/>
  <c r="T44" i="755" s="1"/>
  <c r="B59" i="755"/>
  <c r="M59" i="755" s="1"/>
  <c r="T59" i="755" s="1"/>
  <c r="B65" i="755"/>
  <c r="M65" i="755" s="1"/>
  <c r="T65" i="755" s="1"/>
  <c r="B15" i="755"/>
  <c r="M15" i="755" s="1"/>
  <c r="T15" i="755" s="1"/>
  <c r="B18" i="755"/>
  <c r="M18" i="755" s="1"/>
  <c r="T18" i="755" s="1"/>
  <c r="B19" i="755"/>
  <c r="M19" i="755" s="1"/>
  <c r="T19" i="755" s="1"/>
  <c r="B20" i="755"/>
  <c r="M20" i="755" s="1"/>
  <c r="T20" i="755" s="1"/>
  <c r="B23" i="755"/>
  <c r="M23" i="755" s="1"/>
  <c r="T23" i="755" s="1"/>
  <c r="B26" i="755"/>
  <c r="M26" i="755" s="1"/>
  <c r="T26" i="755" s="1"/>
  <c r="B29" i="755"/>
  <c r="M29" i="755" s="1"/>
  <c r="T29" i="755" s="1"/>
  <c r="B32" i="755"/>
  <c r="M32" i="755" s="1"/>
  <c r="T32" i="755" s="1"/>
  <c r="B35" i="755"/>
  <c r="M35" i="755" s="1"/>
  <c r="T35" i="755" s="1"/>
  <c r="B38" i="755"/>
  <c r="M38" i="755" s="1"/>
  <c r="T38" i="755" s="1"/>
  <c r="B41" i="755"/>
  <c r="M41" i="755" s="1"/>
  <c r="T41" i="755" s="1"/>
  <c r="B22" i="754"/>
  <c r="M22" i="754" s="1"/>
  <c r="T22" i="754" s="1"/>
  <c r="B20" i="754"/>
  <c r="M20" i="754" s="1"/>
  <c r="T20" i="754" s="1"/>
  <c r="B18" i="754"/>
  <c r="M18" i="754" s="1"/>
  <c r="T18" i="754" s="1"/>
  <c r="B16" i="754"/>
  <c r="M16" i="754" s="1"/>
  <c r="T16" i="754" s="1"/>
  <c r="D12" i="754"/>
  <c r="B77" i="754"/>
  <c r="M77" i="754" s="1"/>
  <c r="T77" i="754" s="1"/>
  <c r="B19" i="754"/>
  <c r="M19" i="754" s="1"/>
  <c r="T19" i="754" s="1"/>
  <c r="B21" i="754"/>
  <c r="M21" i="754" s="1"/>
  <c r="T21" i="754" s="1"/>
  <c r="B38" i="754"/>
  <c r="M38" i="754" s="1"/>
  <c r="T38" i="754" s="1"/>
  <c r="B34" i="754"/>
  <c r="M34" i="754" s="1"/>
  <c r="T34" i="754" s="1"/>
  <c r="B32" i="754"/>
  <c r="M32" i="754" s="1"/>
  <c r="T32" i="754" s="1"/>
  <c r="B30" i="754"/>
  <c r="M30" i="754" s="1"/>
  <c r="T30" i="754" s="1"/>
  <c r="B28" i="754"/>
  <c r="M28" i="754" s="1"/>
  <c r="T28" i="754" s="1"/>
  <c r="B26" i="754"/>
  <c r="M26" i="754" s="1"/>
  <c r="T26" i="754" s="1"/>
  <c r="F12" i="754"/>
  <c r="B54" i="754"/>
  <c r="M54" i="754" s="1"/>
  <c r="T54" i="754" s="1"/>
  <c r="E12" i="754"/>
  <c r="B36" i="754"/>
  <c r="M36" i="754" s="1"/>
  <c r="T36" i="754" s="1"/>
  <c r="B40" i="754"/>
  <c r="M40" i="754" s="1"/>
  <c r="T40" i="754" s="1"/>
  <c r="B42" i="754"/>
  <c r="M42" i="754" s="1"/>
  <c r="T42" i="754" s="1"/>
  <c r="B44" i="754"/>
  <c r="M44" i="754" s="1"/>
  <c r="T44" i="754" s="1"/>
  <c r="B46" i="754"/>
  <c r="M46" i="754" s="1"/>
  <c r="T46" i="754" s="1"/>
  <c r="B48" i="754"/>
  <c r="M48" i="754" s="1"/>
  <c r="T48" i="754" s="1"/>
  <c r="B50" i="754"/>
  <c r="M50" i="754" s="1"/>
  <c r="T50" i="754" s="1"/>
  <c r="B78" i="754"/>
  <c r="M78" i="754" s="1"/>
  <c r="T78" i="754" s="1"/>
  <c r="B37" i="754"/>
  <c r="M37" i="754" s="1"/>
  <c r="T37" i="754" s="1"/>
  <c r="B33" i="754"/>
  <c r="M33" i="754" s="1"/>
  <c r="T33" i="754" s="1"/>
  <c r="B31" i="754"/>
  <c r="M31" i="754" s="1"/>
  <c r="T31" i="754" s="1"/>
  <c r="B29" i="754"/>
  <c r="M29" i="754" s="1"/>
  <c r="T29" i="754" s="1"/>
  <c r="B27" i="754"/>
  <c r="M27" i="754" s="1"/>
  <c r="T27" i="754" s="1"/>
  <c r="B25" i="754"/>
  <c r="M25" i="754" s="1"/>
  <c r="T25" i="754" s="1"/>
  <c r="B15" i="754"/>
  <c r="M15" i="754" s="1"/>
  <c r="T15" i="754" s="1"/>
  <c r="B17" i="754"/>
  <c r="M17" i="754" s="1"/>
  <c r="T17" i="754" s="1"/>
  <c r="B23" i="754"/>
  <c r="M23" i="754" s="1"/>
  <c r="T23" i="754" s="1"/>
  <c r="B76" i="754"/>
  <c r="M76" i="754" s="1"/>
  <c r="T76" i="754" s="1"/>
  <c r="I11" i="754"/>
  <c r="G12" i="754"/>
  <c r="B79" i="754"/>
  <c r="M79" i="754" s="1"/>
  <c r="T79" i="754" s="1"/>
  <c r="B39" i="754"/>
  <c r="M39" i="754" s="1"/>
  <c r="T39" i="754" s="1"/>
  <c r="B41" i="754"/>
  <c r="M41" i="754" s="1"/>
  <c r="T41" i="754" s="1"/>
  <c r="B43" i="754"/>
  <c r="M43" i="754" s="1"/>
  <c r="T43" i="754" s="1"/>
  <c r="B45" i="754"/>
  <c r="M45" i="754" s="1"/>
  <c r="T45" i="754" s="1"/>
  <c r="B47" i="754"/>
  <c r="M47" i="754" s="1"/>
  <c r="T47" i="754" s="1"/>
  <c r="B49" i="754"/>
  <c r="M49" i="754" s="1"/>
  <c r="T49" i="754" s="1"/>
  <c r="B51" i="754"/>
  <c r="M51" i="754" s="1"/>
  <c r="T51" i="754" s="1"/>
  <c r="C12" i="753"/>
  <c r="G12" i="753"/>
  <c r="B35" i="753"/>
  <c r="M35" i="753" s="1"/>
  <c r="T35" i="753" s="1"/>
  <c r="B39" i="753"/>
  <c r="M39" i="753" s="1"/>
  <c r="T39" i="753" s="1"/>
  <c r="B40" i="753"/>
  <c r="M40" i="753" s="1"/>
  <c r="T40" i="753" s="1"/>
  <c r="B41" i="753"/>
  <c r="M41" i="753" s="1"/>
  <c r="T41" i="753" s="1"/>
  <c r="B42" i="753"/>
  <c r="M42" i="753" s="1"/>
  <c r="T42" i="753" s="1"/>
  <c r="B43" i="753"/>
  <c r="M43" i="753" s="1"/>
  <c r="T43" i="753" s="1"/>
  <c r="B44" i="753"/>
  <c r="M44" i="753" s="1"/>
  <c r="T44" i="753" s="1"/>
  <c r="B45" i="753"/>
  <c r="M45" i="753" s="1"/>
  <c r="T45" i="753" s="1"/>
  <c r="B46" i="753"/>
  <c r="M46" i="753" s="1"/>
  <c r="T46" i="753" s="1"/>
  <c r="B47" i="753"/>
  <c r="M47" i="753" s="1"/>
  <c r="T47" i="753" s="1"/>
  <c r="B48" i="753"/>
  <c r="M48" i="753" s="1"/>
  <c r="T48" i="753" s="1"/>
  <c r="B49" i="753"/>
  <c r="M49" i="753" s="1"/>
  <c r="T49" i="753" s="1"/>
  <c r="B50" i="753"/>
  <c r="M50" i="753" s="1"/>
  <c r="T50" i="753" s="1"/>
  <c r="B51" i="753"/>
  <c r="M51" i="753" s="1"/>
  <c r="T51" i="753" s="1"/>
  <c r="B52" i="753"/>
  <c r="M52" i="753" s="1"/>
  <c r="T52" i="753" s="1"/>
  <c r="B79" i="753"/>
  <c r="M79" i="753" s="1"/>
  <c r="T79" i="753" s="1"/>
  <c r="D12" i="753"/>
  <c r="B36" i="753"/>
  <c r="M36" i="753" s="1"/>
  <c r="T36" i="753" s="1"/>
  <c r="B78" i="753"/>
  <c r="M78" i="753" s="1"/>
  <c r="T78" i="753" s="1"/>
  <c r="E12" i="753"/>
  <c r="B15" i="753"/>
  <c r="T15" i="753" s="1"/>
  <c r="B16" i="753"/>
  <c r="M16" i="753" s="1"/>
  <c r="T16" i="753" s="1"/>
  <c r="B17" i="753"/>
  <c r="M17" i="753" s="1"/>
  <c r="T17" i="753" s="1"/>
  <c r="B18" i="753"/>
  <c r="M18" i="753" s="1"/>
  <c r="T18" i="753" s="1"/>
  <c r="B19" i="753"/>
  <c r="M19" i="753" s="1"/>
  <c r="T19" i="753" s="1"/>
  <c r="B20" i="753"/>
  <c r="M20" i="753" s="1"/>
  <c r="T20" i="753" s="1"/>
  <c r="B21" i="753"/>
  <c r="M21" i="753" s="1"/>
  <c r="T21" i="753" s="1"/>
  <c r="B22" i="753"/>
  <c r="M22" i="753" s="1"/>
  <c r="T22" i="753" s="1"/>
  <c r="B23" i="753"/>
  <c r="M23" i="753" s="1"/>
  <c r="T23" i="753" s="1"/>
  <c r="B24" i="753"/>
  <c r="M24" i="753" s="1"/>
  <c r="T24" i="753" s="1"/>
  <c r="B25" i="753"/>
  <c r="M25" i="753" s="1"/>
  <c r="T25" i="753" s="1"/>
  <c r="B26" i="753"/>
  <c r="M26" i="753" s="1"/>
  <c r="T26" i="753" s="1"/>
  <c r="B27" i="753"/>
  <c r="M27" i="753" s="1"/>
  <c r="T27" i="753" s="1"/>
  <c r="B28" i="753"/>
  <c r="M28" i="753" s="1"/>
  <c r="T28" i="753" s="1"/>
  <c r="B29" i="753"/>
  <c r="M29" i="753" s="1"/>
  <c r="T29" i="753" s="1"/>
  <c r="B30" i="753"/>
  <c r="M30" i="753" s="1"/>
  <c r="T30" i="753" s="1"/>
  <c r="B31" i="753"/>
  <c r="M31" i="753" s="1"/>
  <c r="T31" i="753" s="1"/>
  <c r="B32" i="753"/>
  <c r="M32" i="753" s="1"/>
  <c r="T32" i="753" s="1"/>
  <c r="B33" i="753"/>
  <c r="M33" i="753" s="1"/>
  <c r="T33" i="753" s="1"/>
  <c r="B54" i="753"/>
  <c r="M54" i="753" s="1"/>
  <c r="T54" i="753" s="1"/>
  <c r="I11" i="753"/>
  <c r="B34" i="753"/>
  <c r="M34" i="753" s="1"/>
  <c r="T34" i="753" s="1"/>
  <c r="B99" i="755" l="1"/>
  <c r="M99" i="755" s="1"/>
  <c r="T99" i="755" s="1"/>
  <c r="B100" i="755"/>
  <c r="M100" i="755" s="1"/>
  <c r="T100" i="755" s="1"/>
  <c r="I12" i="755"/>
  <c r="B98" i="755"/>
  <c r="M98" i="755" s="1"/>
  <c r="T98" i="755" s="1"/>
  <c r="I2" i="755"/>
  <c r="B80" i="754"/>
  <c r="M80" i="754" s="1"/>
  <c r="T80" i="754" s="1"/>
  <c r="I2" i="754"/>
  <c r="B81" i="754"/>
  <c r="M81" i="754" s="1"/>
  <c r="T81" i="754" s="1"/>
  <c r="B82" i="754"/>
  <c r="M82" i="754" s="1"/>
  <c r="T82" i="754" s="1"/>
  <c r="I12" i="754"/>
  <c r="B80" i="753"/>
  <c r="M80" i="753" s="1"/>
  <c r="T80" i="753" s="1"/>
  <c r="I2" i="753"/>
  <c r="B81" i="753"/>
  <c r="M81" i="753" s="1"/>
  <c r="T81" i="753" s="1"/>
  <c r="B82" i="753"/>
  <c r="M82" i="753" s="1"/>
  <c r="T82" i="753" s="1"/>
  <c r="I12" i="7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31" authorId="0" shapeId="0" xr:uid="{CC2D4A04-C9B1-49EB-B0CF-05D9E39CC2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핸드메이드용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31" authorId="0" shapeId="0" xr:uid="{09729B9F-6E5A-45D8-AAEB-3652CCA055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핸드메이드용
</t>
        </r>
      </text>
    </comment>
  </commentList>
</comments>
</file>

<file path=xl/sharedStrings.xml><?xml version="1.0" encoding="utf-8"?>
<sst xmlns="http://schemas.openxmlformats.org/spreadsheetml/2006/main" count="16817" uniqueCount="488">
  <si>
    <t>B L N</t>
  </si>
  <si>
    <t>QTY</t>
    <phoneticPr fontId="3" type="noConversion"/>
  </si>
  <si>
    <t>베트남</t>
    <phoneticPr fontId="10" type="noConversion"/>
  </si>
  <si>
    <t>UP DATE :</t>
    <phoneticPr fontId="3" type="noConversion"/>
  </si>
  <si>
    <t>1st SHIP DATE :</t>
    <phoneticPr fontId="3" type="noConversion"/>
  </si>
  <si>
    <t>겉감                           OUT-SHELL</t>
    <phoneticPr fontId="3" type="noConversion"/>
  </si>
  <si>
    <t>정요척</t>
    <phoneticPr fontId="3" type="noConversion"/>
  </si>
  <si>
    <t>Y</t>
    <phoneticPr fontId="10" type="noConversion"/>
  </si>
  <si>
    <t>44"</t>
    <phoneticPr fontId="3" type="noConversion"/>
  </si>
  <si>
    <t>R</t>
    <phoneticPr fontId="10" type="noConversion"/>
  </si>
  <si>
    <t>C</t>
    <phoneticPr fontId="10" type="noConversion"/>
  </si>
  <si>
    <t>MATERIAL LIST</t>
    <phoneticPr fontId="3" type="noConversion"/>
  </si>
  <si>
    <t>STYLE NO</t>
    <phoneticPr fontId="3" type="noConversion"/>
  </si>
  <si>
    <t>FACTORY</t>
    <phoneticPr fontId="3" type="noConversion"/>
  </si>
  <si>
    <t>BUYER</t>
    <phoneticPr fontId="3" type="noConversion"/>
  </si>
  <si>
    <t>미도컴퍼니</t>
    <phoneticPr fontId="10" type="noConversion"/>
  </si>
  <si>
    <t>D.S</t>
    <phoneticPr fontId="3" type="noConversion"/>
  </si>
  <si>
    <t>CLOOR/SIZE</t>
    <phoneticPr fontId="3" type="noConversion"/>
  </si>
  <si>
    <t>TOTAL</t>
    <phoneticPr fontId="3" type="noConversion"/>
  </si>
  <si>
    <t>담 당</t>
    <phoneticPr fontId="10" type="noConversion"/>
  </si>
  <si>
    <t>과 장</t>
    <phoneticPr fontId="10" type="noConversion"/>
  </si>
  <si>
    <t xml:space="preserve">이 사 </t>
    <phoneticPr fontId="10" type="noConversion"/>
  </si>
  <si>
    <t xml:space="preserve">사 장 </t>
    <phoneticPr fontId="10" type="noConversion"/>
  </si>
  <si>
    <t xml:space="preserve"> </t>
    <phoneticPr fontId="10" type="noConversion"/>
  </si>
  <si>
    <t>국내</t>
    <phoneticPr fontId="10" type="noConversion"/>
  </si>
  <si>
    <t>중국</t>
    <phoneticPr fontId="3" type="noConversion"/>
  </si>
  <si>
    <t>작 성 일 자 :</t>
    <phoneticPr fontId="3" type="noConversion"/>
  </si>
  <si>
    <t>EACH SIZE TOTAL</t>
    <phoneticPr fontId="3" type="noConversion"/>
  </si>
  <si>
    <t>본 사 납 기 (RDD):</t>
    <phoneticPr fontId="10" type="noConversion"/>
  </si>
  <si>
    <t>라벨발주 1.02%</t>
    <phoneticPr fontId="3" type="noConversion"/>
  </si>
  <si>
    <t>ITEMS</t>
    <phoneticPr fontId="3" type="noConversion"/>
  </si>
  <si>
    <t>COLOR OF</t>
    <phoneticPr fontId="3" type="noConversion"/>
  </si>
  <si>
    <t>사용 칼라</t>
    <phoneticPr fontId="3" type="noConversion"/>
  </si>
  <si>
    <t>UNIT</t>
    <phoneticPr fontId="3" type="noConversion"/>
  </si>
  <si>
    <t>PER</t>
    <phoneticPr fontId="3" type="noConversion"/>
  </si>
  <si>
    <t>요척</t>
    <phoneticPr fontId="3" type="noConversion"/>
  </si>
  <si>
    <t>필요량</t>
    <phoneticPr fontId="3" type="noConversion"/>
  </si>
  <si>
    <t>발주 일자 및 수량</t>
    <phoneticPr fontId="3" type="noConversion"/>
  </si>
  <si>
    <t>1ST. SHIPMENT(EX-)</t>
    <phoneticPr fontId="3" type="noConversion"/>
  </si>
  <si>
    <t>2ST. SHIPMENT(EX-)</t>
    <phoneticPr fontId="3" type="noConversion"/>
  </si>
  <si>
    <t>FINAL</t>
    <phoneticPr fontId="3" type="noConversion"/>
  </si>
  <si>
    <t>공급처
(MILL)</t>
    <phoneticPr fontId="3" type="noConversion"/>
  </si>
  <si>
    <t>단가
($/￦)</t>
    <phoneticPr fontId="3" type="noConversion"/>
  </si>
  <si>
    <t>혼용률
중량
소재명</t>
    <phoneticPr fontId="3" type="noConversion"/>
  </si>
  <si>
    <t>REMARK'S</t>
    <phoneticPr fontId="3" type="noConversion"/>
  </si>
  <si>
    <t>OUT SHELL</t>
    <phoneticPr fontId="3" type="noConversion"/>
  </si>
  <si>
    <t>COLOR USED</t>
    <phoneticPr fontId="3" type="noConversion"/>
  </si>
  <si>
    <t>SPEC</t>
    <phoneticPr fontId="3" type="noConversion"/>
  </si>
  <si>
    <t>1PACK</t>
    <phoneticPr fontId="3" type="noConversion"/>
  </si>
  <si>
    <t>CON'S</t>
    <phoneticPr fontId="3" type="noConversion"/>
  </si>
  <si>
    <t>CON'S
AMOUNT</t>
    <phoneticPr fontId="3" type="noConversion"/>
  </si>
  <si>
    <t>DATE</t>
    <phoneticPr fontId="3" type="noConversion"/>
  </si>
  <si>
    <t>ORDER
QTY</t>
    <phoneticPr fontId="3" type="noConversion"/>
  </si>
  <si>
    <t>RCVD
QTY</t>
    <phoneticPr fontId="3" type="noConversion"/>
  </si>
  <si>
    <t>Date</t>
    <phoneticPr fontId="3" type="noConversion"/>
  </si>
  <si>
    <t>RCVD
Qty</t>
    <phoneticPr fontId="3" type="noConversion"/>
  </si>
  <si>
    <t>B L N</t>
    <phoneticPr fontId="3" type="noConversion"/>
  </si>
  <si>
    <t>신승이앤티</t>
    <phoneticPr fontId="3" type="noConversion"/>
  </si>
  <si>
    <t>58"</t>
    <phoneticPr fontId="3" type="noConversion"/>
  </si>
  <si>
    <t>다경섬유</t>
    <phoneticPr fontId="3" type="noConversion"/>
  </si>
  <si>
    <t>4000M</t>
    <phoneticPr fontId="3" type="noConversion"/>
  </si>
  <si>
    <t>M</t>
    <phoneticPr fontId="10" type="noConversion"/>
  </si>
  <si>
    <t>2500M</t>
    <phoneticPr fontId="3" type="noConversion"/>
  </si>
  <si>
    <t>EA</t>
    <phoneticPr fontId="10" type="noConversion"/>
  </si>
  <si>
    <t>보타니</t>
    <phoneticPr fontId="3" type="noConversion"/>
  </si>
  <si>
    <t>SET</t>
    <phoneticPr fontId="10" type="noConversion"/>
  </si>
  <si>
    <r>
      <t xml:space="preserve">MAIN+SIZE
LABEL
</t>
    </r>
    <r>
      <rPr>
        <b/>
        <sz val="14"/>
        <color rgb="FFFF0000"/>
        <rFont val="돋움"/>
        <family val="3"/>
        <charset val="129"/>
      </rPr>
      <t>메인라벨</t>
    </r>
    <phoneticPr fontId="3" type="noConversion"/>
  </si>
  <si>
    <t>대화라벨</t>
    <phoneticPr fontId="3" type="noConversion"/>
  </si>
  <si>
    <t xml:space="preserve">
CARE LABEL
케어/다국적
라벨
1/3</t>
    <phoneticPr fontId="3" type="noConversion"/>
  </si>
  <si>
    <t>PRICE TAG                 가격택(내수용)</t>
    <phoneticPr fontId="10" type="noConversion"/>
  </si>
  <si>
    <t>SIZE STICKER                사이즈 
스티커</t>
    <phoneticPr fontId="3" type="noConversion"/>
  </si>
  <si>
    <t>FREE</t>
    <phoneticPr fontId="10" type="noConversion"/>
  </si>
  <si>
    <t>본 사</t>
    <phoneticPr fontId="10" type="noConversion"/>
  </si>
  <si>
    <t>TAG PIN
택고리</t>
    <phoneticPr fontId="3" type="noConversion"/>
  </si>
  <si>
    <r>
      <t>POLY BAG              폴리백</t>
    </r>
    <r>
      <rPr>
        <b/>
        <sz val="14"/>
        <color rgb="FFFF0000"/>
        <rFont val="돋움"/>
        <family val="3"/>
        <charset val="129"/>
      </rPr>
      <t>(LOCAL)</t>
    </r>
    <phoneticPr fontId="3" type="noConversion"/>
  </si>
  <si>
    <t>18MM</t>
    <phoneticPr fontId="3" type="noConversion"/>
  </si>
  <si>
    <t>10MM</t>
    <phoneticPr fontId="3" type="noConversion"/>
  </si>
  <si>
    <t>실크 암홀 테이프
EDEG TAPE</t>
    <phoneticPr fontId="10" type="noConversion"/>
  </si>
  <si>
    <t>솜마꾸라지</t>
    <phoneticPr fontId="10" type="noConversion"/>
  </si>
  <si>
    <t>21MM</t>
    <phoneticPr fontId="3" type="noConversion"/>
  </si>
  <si>
    <t>2MM</t>
    <phoneticPr fontId="3" type="noConversion"/>
  </si>
  <si>
    <t>품질보증택</t>
    <phoneticPr fontId="3" type="noConversion"/>
  </si>
  <si>
    <t>CR</t>
    <phoneticPr fontId="3" type="noConversion"/>
  </si>
  <si>
    <t>(싸개패드)
다후다</t>
    <phoneticPr fontId="10" type="noConversion"/>
  </si>
  <si>
    <t>A</t>
    <phoneticPr fontId="3" type="noConversion"/>
  </si>
  <si>
    <t>다후다
LINING
해리,주머니감</t>
    <phoneticPr fontId="10" type="noConversion"/>
  </si>
  <si>
    <t>(면) 다데테이프
EDEG TAPE</t>
    <phoneticPr fontId="10" type="noConversion"/>
  </si>
  <si>
    <t>오바사
60S/3H               THREAD</t>
    <phoneticPr fontId="10" type="noConversion"/>
  </si>
  <si>
    <t>본봉사
코아사
45S/2H               THREAD</t>
    <phoneticPr fontId="10" type="noConversion"/>
  </si>
  <si>
    <t>스쿠이사
45S/3H               THREAD</t>
    <phoneticPr fontId="10" type="noConversion"/>
  </si>
  <si>
    <t>겉단추</t>
    <phoneticPr fontId="10" type="noConversion"/>
  </si>
  <si>
    <t>속단추</t>
    <phoneticPr fontId="10" type="noConversion"/>
  </si>
  <si>
    <t>53"</t>
    <phoneticPr fontId="3" type="noConversion"/>
  </si>
  <si>
    <t>성 보</t>
    <phoneticPr fontId="3" type="noConversion"/>
  </si>
  <si>
    <t>다 남</t>
    <phoneticPr fontId="3" type="noConversion"/>
  </si>
  <si>
    <t>DN</t>
    <phoneticPr fontId="3" type="noConversion"/>
  </si>
  <si>
    <t>스트레치
LINING</t>
    <phoneticPr fontId="10" type="noConversion"/>
  </si>
  <si>
    <t>심 지
INTERLINING
(M-222)</t>
    <phoneticPr fontId="10" type="noConversion"/>
  </si>
  <si>
    <t>BK</t>
    <phoneticPr fontId="3" type="noConversion"/>
  </si>
  <si>
    <t>56"</t>
    <phoneticPr fontId="3" type="noConversion"/>
  </si>
  <si>
    <t>양면 지퍼
ZIPPER</t>
    <phoneticPr fontId="10" type="noConversion"/>
  </si>
  <si>
    <t>9"</t>
    <phoneticPr fontId="3" type="noConversion"/>
  </si>
  <si>
    <t>45MM</t>
    <phoneticPr fontId="3" type="noConversion"/>
  </si>
  <si>
    <t>이단마이깡
HOOK</t>
    <phoneticPr fontId="10" type="noConversion"/>
  </si>
  <si>
    <t>40MM</t>
    <phoneticPr fontId="3" type="noConversion"/>
  </si>
  <si>
    <t>BE</t>
    <phoneticPr fontId="3" type="noConversion"/>
  </si>
  <si>
    <t>NA</t>
    <phoneticPr fontId="3" type="noConversion"/>
  </si>
  <si>
    <t>심 지
INTERLINING
(M-250)</t>
    <phoneticPr fontId="10" type="noConversion"/>
  </si>
  <si>
    <t>심 지
INTERLINING
(M-252)</t>
    <phoneticPr fontId="10" type="noConversion"/>
  </si>
  <si>
    <t>11MM</t>
    <phoneticPr fontId="3" type="noConversion"/>
  </si>
  <si>
    <t>8MM</t>
    <phoneticPr fontId="3" type="noConversion"/>
  </si>
  <si>
    <t>YE</t>
    <phoneticPr fontId="3" type="noConversion"/>
  </si>
  <si>
    <t>WH</t>
    <phoneticPr fontId="3" type="noConversion"/>
  </si>
  <si>
    <t>15MM</t>
    <phoneticPr fontId="3" type="noConversion"/>
  </si>
  <si>
    <t>금속단추</t>
    <phoneticPr fontId="10" type="noConversion"/>
  </si>
  <si>
    <t>쉬 폰
LINING</t>
    <phoneticPr fontId="10" type="noConversion"/>
  </si>
  <si>
    <t>비바테이프
EDEG TAPE</t>
    <phoneticPr fontId="10" type="noConversion"/>
  </si>
  <si>
    <t>싸개PAD</t>
    <phoneticPr fontId="10" type="noConversion"/>
  </si>
  <si>
    <t>500M</t>
    <phoneticPr fontId="3" type="noConversion"/>
  </si>
  <si>
    <t>단 추
앞마이</t>
    <phoneticPr fontId="10" type="noConversion"/>
  </si>
  <si>
    <t>단 추
후다, 뒤트임</t>
    <phoneticPr fontId="10" type="noConversion"/>
  </si>
  <si>
    <t>23MM</t>
    <phoneticPr fontId="3" type="noConversion"/>
  </si>
  <si>
    <t>13MM</t>
    <phoneticPr fontId="3" type="noConversion"/>
  </si>
  <si>
    <t>혼솔 지퍼
ZIPPER</t>
    <phoneticPr fontId="10" type="noConversion"/>
  </si>
  <si>
    <t>50MM</t>
    <phoneticPr fontId="3" type="noConversion"/>
  </si>
  <si>
    <t>IV</t>
    <phoneticPr fontId="3" type="noConversion"/>
  </si>
  <si>
    <t>천지</t>
    <phoneticPr fontId="3" type="noConversion"/>
  </si>
  <si>
    <t>가영</t>
    <phoneticPr fontId="3" type="noConversion"/>
  </si>
  <si>
    <t>57"</t>
    <phoneticPr fontId="3" type="noConversion"/>
  </si>
  <si>
    <t>YD</t>
    <phoneticPr fontId="10" type="noConversion"/>
  </si>
  <si>
    <t>하나</t>
    <phoneticPr fontId="3" type="noConversion"/>
  </si>
  <si>
    <t>소매단추</t>
    <phoneticPr fontId="10" type="noConversion"/>
  </si>
  <si>
    <t>배 색
COMBINATION</t>
    <phoneticPr fontId="10" type="noConversion"/>
  </si>
  <si>
    <t>55"</t>
    <phoneticPr fontId="3" type="noConversion"/>
  </si>
  <si>
    <t>옵션 벨트</t>
    <phoneticPr fontId="10" type="noConversion"/>
  </si>
  <si>
    <t>본 사</t>
    <phoneticPr fontId="3" type="noConversion"/>
  </si>
  <si>
    <t>걸고리
HOOK</t>
    <phoneticPr fontId="10" type="noConversion"/>
  </si>
  <si>
    <t>쉐파고리
BUTTON LOOP</t>
    <phoneticPr fontId="10" type="noConversion"/>
  </si>
  <si>
    <t>리원</t>
    <phoneticPr fontId="3" type="noConversion"/>
  </si>
  <si>
    <t>오버장식</t>
    <phoneticPr fontId="10" type="noConversion"/>
  </si>
  <si>
    <t>한일</t>
    <phoneticPr fontId="3" type="noConversion"/>
  </si>
  <si>
    <t>E-BAND
(코메즈중간직)</t>
    <phoneticPr fontId="10" type="noConversion"/>
  </si>
  <si>
    <t>9MM</t>
    <phoneticPr fontId="3" type="noConversion"/>
  </si>
  <si>
    <t>E-BAND
(폴리이중직)</t>
    <phoneticPr fontId="10" type="noConversion"/>
  </si>
  <si>
    <t>48"</t>
    <phoneticPr fontId="3" type="noConversion"/>
  </si>
  <si>
    <t>실크 다데테이프
EDEG TAPE</t>
    <phoneticPr fontId="10" type="noConversion"/>
  </si>
  <si>
    <t xml:space="preserve">E-BAND
(양가밴드)
</t>
    <phoneticPr fontId="10" type="noConversion"/>
  </si>
  <si>
    <t>오바사(가당사)
60S/3H               THREAD</t>
    <phoneticPr fontId="10" type="noConversion"/>
  </si>
  <si>
    <t>MB62SLM103Z</t>
    <phoneticPr fontId="3" type="noConversion"/>
  </si>
  <si>
    <t>배색 스쿠이사
45S/3H               THREAD
지누이도</t>
    <phoneticPr fontId="3" type="noConversion"/>
  </si>
  <si>
    <t>MB62SLM104Z</t>
    <phoneticPr fontId="3" type="noConversion"/>
  </si>
  <si>
    <t>얀</t>
    <phoneticPr fontId="3" type="noConversion"/>
  </si>
  <si>
    <t>MB62SLM105Z</t>
    <phoneticPr fontId="3" type="noConversion"/>
  </si>
  <si>
    <t>GR</t>
    <phoneticPr fontId="3" type="noConversion"/>
  </si>
  <si>
    <t>겉감
OUT-SHELL</t>
    <phoneticPr fontId="3" type="noConversion"/>
  </si>
  <si>
    <t>오바사
60S/3H
THREAD</t>
    <phoneticPr fontId="10" type="noConversion"/>
  </si>
  <si>
    <t>본봉사
코아사
45S/2H
THREAD</t>
    <phoneticPr fontId="10" type="noConversion"/>
  </si>
  <si>
    <t>배색 스쿠이사
45S/3H
THREAD
지누이도</t>
    <phoneticPr fontId="3" type="noConversion"/>
  </si>
  <si>
    <t>PRICE TAG
가격택(내수용)</t>
    <phoneticPr fontId="10" type="noConversion"/>
  </si>
  <si>
    <t>SIZE STICKER
사이즈 
스티커</t>
    <phoneticPr fontId="3" type="noConversion"/>
  </si>
  <si>
    <r>
      <t>POLY BAG
폴리백</t>
    </r>
    <r>
      <rPr>
        <b/>
        <sz val="14"/>
        <color rgb="FFFF0000"/>
        <rFont val="돋움"/>
        <family val="3"/>
        <charset val="129"/>
      </rPr>
      <t>(LOCAL)</t>
    </r>
    <phoneticPr fontId="3" type="noConversion"/>
  </si>
  <si>
    <t>CO</t>
    <phoneticPr fontId="3" type="noConversion"/>
  </si>
  <si>
    <t>MB64SLP103Z</t>
    <phoneticPr fontId="3" type="noConversion"/>
  </si>
  <si>
    <t>바오</t>
    <phoneticPr fontId="3" type="noConversion"/>
  </si>
  <si>
    <t>E-BAND
(헤링본밴드)</t>
    <phoneticPr fontId="10" type="noConversion"/>
  </si>
  <si>
    <t>09/23 China Ship Send</t>
    <phoneticPr fontId="3" type="noConversion"/>
  </si>
  <si>
    <t>09/26 Ship Send</t>
  </si>
  <si>
    <t>09/26 Ship Send</t>
    <phoneticPr fontId="3" type="noConversion"/>
  </si>
  <si>
    <t>스쿠이사
45S/3H
THREAD
지누이도</t>
    <phoneticPr fontId="3" type="noConversion"/>
  </si>
  <si>
    <t>3000M</t>
    <phoneticPr fontId="3" type="noConversion"/>
  </si>
  <si>
    <t>09/26 Ship Send</t>
    <phoneticPr fontId="3" type="noConversion"/>
  </si>
  <si>
    <t>MB63JKM105Z</t>
    <phoneticPr fontId="3" type="noConversion"/>
  </si>
  <si>
    <t>동림</t>
    <phoneticPr fontId="3" type="noConversion"/>
  </si>
  <si>
    <t>싸개PAD
(MK-1)</t>
    <phoneticPr fontId="10" type="noConversion"/>
  </si>
  <si>
    <t>4MM</t>
    <phoneticPr fontId="3" type="noConversion"/>
  </si>
  <si>
    <t>단 추
(앞마이)</t>
    <phoneticPr fontId="10" type="noConversion"/>
  </si>
  <si>
    <t>단 추
(소매)</t>
    <phoneticPr fontId="10" type="noConversion"/>
  </si>
  <si>
    <t>QQ사             THREAD</t>
    <phoneticPr fontId="10" type="noConversion"/>
  </si>
  <si>
    <t>선진행건</t>
    <phoneticPr fontId="3" type="noConversion"/>
  </si>
  <si>
    <t>???</t>
    <phoneticPr fontId="3" type="noConversion"/>
  </si>
  <si>
    <t>10/15 H/Carry Send</t>
    <phoneticPr fontId="3" type="noConversion"/>
  </si>
  <si>
    <t>10/17 AIR Send</t>
    <phoneticPr fontId="3" type="noConversion"/>
  </si>
  <si>
    <t>09/26 Ship Send</t>
    <phoneticPr fontId="3" type="noConversion"/>
  </si>
  <si>
    <t>10/24 Ship Send</t>
    <phoneticPr fontId="3" type="noConversion"/>
  </si>
  <si>
    <t>MB65SLP121Z</t>
    <phoneticPr fontId="3" type="noConversion"/>
  </si>
  <si>
    <t>동극</t>
    <phoneticPr fontId="3" type="noConversion"/>
  </si>
  <si>
    <t>MB65SLP102Z</t>
    <phoneticPr fontId="3" type="noConversion"/>
  </si>
  <si>
    <t>10/31 Ship Send</t>
    <phoneticPr fontId="3" type="noConversion"/>
  </si>
  <si>
    <t>10/29 Ship Send</t>
  </si>
  <si>
    <t>10/29 Ship Send</t>
    <phoneticPr fontId="3" type="noConversion"/>
  </si>
  <si>
    <t>10/29 Ship Send</t>
    <phoneticPr fontId="3" type="noConversion"/>
  </si>
  <si>
    <t>11/14 Ship Send</t>
    <phoneticPr fontId="3" type="noConversion"/>
  </si>
  <si>
    <t>09/26 Ship Send</t>
    <phoneticPr fontId="3" type="noConversion"/>
  </si>
  <si>
    <t>11/16 Ship Send</t>
    <phoneticPr fontId="3" type="noConversion"/>
  </si>
  <si>
    <t>MB64SKM102Z</t>
    <phoneticPr fontId="3" type="noConversion"/>
  </si>
  <si>
    <t>스트레치
LINING
해리,주머니감</t>
    <phoneticPr fontId="10" type="noConversion"/>
  </si>
  <si>
    <t>MB64SKM101Z</t>
    <phoneticPr fontId="3" type="noConversion"/>
  </si>
  <si>
    <t>쌍D링</t>
    <phoneticPr fontId="10" type="noConversion"/>
  </si>
  <si>
    <t>MB64SKM103Z</t>
    <phoneticPr fontId="3" type="noConversion"/>
  </si>
  <si>
    <t>46*120</t>
    <phoneticPr fontId="3" type="noConversion"/>
  </si>
  <si>
    <t>MB64SLM123Z</t>
    <phoneticPr fontId="3" type="noConversion"/>
  </si>
  <si>
    <t>55*90</t>
    <phoneticPr fontId="3" type="noConversion"/>
  </si>
  <si>
    <t>MB64SLM124Z</t>
    <phoneticPr fontId="3" type="noConversion"/>
  </si>
  <si>
    <t>티플로</t>
    <phoneticPr fontId="3" type="noConversion"/>
  </si>
  <si>
    <t>55MM</t>
    <phoneticPr fontId="3" type="noConversion"/>
  </si>
  <si>
    <t>스쿠이사   THREAD
지누이도</t>
    <phoneticPr fontId="3" type="noConversion"/>
  </si>
  <si>
    <t>스쿠이사              THREAD
지누이도</t>
    <phoneticPr fontId="3" type="noConversion"/>
  </si>
  <si>
    <t>스쿠이사               THREAD
지누이도</t>
    <phoneticPr fontId="3" type="noConversion"/>
  </si>
  <si>
    <t>스쿠이사
THREAD
지누이도</t>
    <phoneticPr fontId="3" type="noConversion"/>
  </si>
  <si>
    <t>12/05 Ship Send</t>
    <phoneticPr fontId="3" type="noConversion"/>
  </si>
  <si>
    <t>12/05 Ship Send</t>
  </si>
  <si>
    <t>12/05 Ship Send</t>
    <phoneticPr fontId="3" type="noConversion"/>
  </si>
  <si>
    <t>12/05 Ship Send</t>
    <phoneticPr fontId="3" type="noConversion"/>
  </si>
  <si>
    <t>망사 혼솔 지퍼
ZIPPER</t>
    <phoneticPr fontId="10" type="noConversion"/>
  </si>
  <si>
    <t>52"</t>
    <phoneticPr fontId="3" type="noConversion"/>
  </si>
  <si>
    <t>스쿠이사            THREAD</t>
    <phoneticPr fontId="10" type="noConversion"/>
  </si>
  <si>
    <t>스쿠이사              THREAD</t>
    <phoneticPr fontId="10" type="noConversion"/>
  </si>
  <si>
    <t>스쿠이사               THREAD</t>
    <phoneticPr fontId="10" type="noConversion"/>
  </si>
  <si>
    <t>스쿠이사             THREAD</t>
    <phoneticPr fontId="10" type="noConversion"/>
  </si>
  <si>
    <t>FREE</t>
    <phoneticPr fontId="3" type="noConversion"/>
  </si>
  <si>
    <t>심 지
INTERLINING
(MT-100)</t>
    <phoneticPr fontId="10" type="noConversion"/>
  </si>
  <si>
    <t>심 지
INTERLINING
(M-2015)</t>
    <phoneticPr fontId="10" type="noConversion"/>
  </si>
  <si>
    <t>(실크) 다데테이프
EDEG TAPE</t>
    <phoneticPr fontId="10" type="noConversion"/>
  </si>
  <si>
    <t>KH</t>
    <phoneticPr fontId="3" type="noConversion"/>
  </si>
  <si>
    <t>본봉사
스티치               THREAD</t>
    <phoneticPr fontId="10" type="noConversion"/>
  </si>
  <si>
    <t>스토퍼</t>
    <phoneticPr fontId="10" type="noConversion"/>
  </si>
  <si>
    <t>금속장식</t>
    <phoneticPr fontId="10" type="noConversion"/>
  </si>
  <si>
    <t>소매 단추</t>
    <phoneticPr fontId="10" type="noConversion"/>
  </si>
  <si>
    <t>곤돌라 단추</t>
    <phoneticPr fontId="10" type="noConversion"/>
  </si>
  <si>
    <t>54"</t>
    <phoneticPr fontId="3" type="noConversion"/>
  </si>
  <si>
    <t>"</t>
    <phoneticPr fontId="3" type="noConversion"/>
  </si>
  <si>
    <t>LK</t>
    <phoneticPr fontId="3" type="noConversion"/>
  </si>
  <si>
    <t>DG</t>
    <phoneticPr fontId="3" type="noConversion"/>
  </si>
  <si>
    <t>MB66SLM131Z</t>
    <phoneticPr fontId="3" type="noConversion"/>
  </si>
  <si>
    <t>MB66SLM127Z</t>
    <phoneticPr fontId="3" type="noConversion"/>
  </si>
  <si>
    <t>MB66BLM127Z</t>
    <phoneticPr fontId="3" type="noConversion"/>
  </si>
  <si>
    <t>55*85</t>
    <phoneticPr fontId="3" type="noConversion"/>
  </si>
  <si>
    <t>1/23 Ship Send</t>
    <phoneticPr fontId="3" type="noConversion"/>
  </si>
  <si>
    <t>1/23 Ship Send</t>
  </si>
  <si>
    <t>1/23 Ship Send</t>
    <phoneticPr fontId="3" type="noConversion"/>
  </si>
  <si>
    <t>1/23 Ship Send</t>
    <phoneticPr fontId="3" type="noConversion"/>
  </si>
  <si>
    <t>1/23 Ship Send</t>
    <phoneticPr fontId="3" type="noConversion"/>
  </si>
  <si>
    <t>1/23 Ship Send</t>
    <phoneticPr fontId="3" type="noConversion"/>
  </si>
  <si>
    <t>1/23 Ship Send</t>
    <phoneticPr fontId="3" type="noConversion"/>
  </si>
  <si>
    <t>12/05 Ship Send</t>
    <phoneticPr fontId="3" type="noConversion"/>
  </si>
  <si>
    <t>1/23 Ship Send</t>
    <phoneticPr fontId="3" type="noConversion"/>
  </si>
  <si>
    <t>BK</t>
    <phoneticPr fontId="3" type="noConversion"/>
  </si>
  <si>
    <t>원,부자재 선적 완료</t>
    <phoneticPr fontId="3" type="noConversion"/>
  </si>
  <si>
    <t>원부자재 선적 완료</t>
    <phoneticPr fontId="3" type="noConversion"/>
  </si>
  <si>
    <t>1/28 H/Carry Send</t>
    <phoneticPr fontId="3" type="noConversion"/>
  </si>
  <si>
    <t>성 주</t>
    <phoneticPr fontId="3" type="noConversion"/>
  </si>
  <si>
    <t>5MM</t>
    <phoneticPr fontId="3" type="noConversion"/>
  </si>
  <si>
    <t>20MM</t>
    <phoneticPr fontId="3" type="noConversion"/>
  </si>
  <si>
    <t>지누이도
45S/3H               THREAD</t>
    <phoneticPr fontId="10" type="noConversion"/>
  </si>
  <si>
    <t>6000M</t>
    <phoneticPr fontId="3" type="noConversion"/>
  </si>
  <si>
    <t>금속 앞단추</t>
    <phoneticPr fontId="10" type="noConversion"/>
  </si>
  <si>
    <t>E-BAND</t>
    <phoneticPr fontId="10" type="noConversion"/>
  </si>
  <si>
    <t>핸드메이드 라벨</t>
    <phoneticPr fontId="3" type="noConversion"/>
  </si>
  <si>
    <t>대화라벨</t>
  </si>
  <si>
    <t>MB6YHMM101Z</t>
    <phoneticPr fontId="3" type="noConversion"/>
  </si>
  <si>
    <t>OT</t>
    <phoneticPr fontId="3" type="noConversion"/>
  </si>
  <si>
    <t>MG</t>
    <phoneticPr fontId="3" type="noConversion"/>
  </si>
  <si>
    <t>02/07 China Ship Send</t>
    <phoneticPr fontId="3" type="noConversion"/>
  </si>
  <si>
    <t>트윌
LINING
해리,주머니감</t>
    <phoneticPr fontId="10" type="noConversion"/>
  </si>
  <si>
    <t>Y</t>
    <phoneticPr fontId="3" type="noConversion"/>
  </si>
  <si>
    <t>스토퍼</t>
    <phoneticPr fontId="3" type="noConversion"/>
  </si>
  <si>
    <t>E-스트링</t>
    <phoneticPr fontId="3" type="noConversion"/>
  </si>
  <si>
    <t>EA</t>
    <phoneticPr fontId="3" type="noConversion"/>
  </si>
  <si>
    <t>CA</t>
    <phoneticPr fontId="3" type="noConversion"/>
  </si>
  <si>
    <t>MB6YHMP104Z</t>
    <phoneticPr fontId="3" type="noConversion"/>
  </si>
  <si>
    <t>유미</t>
    <phoneticPr fontId="3" type="noConversion"/>
  </si>
  <si>
    <t>성주</t>
    <phoneticPr fontId="3" type="noConversion"/>
  </si>
  <si>
    <t>60*107</t>
    <phoneticPr fontId="3" type="noConversion"/>
  </si>
  <si>
    <t>유크</t>
    <phoneticPr fontId="3" type="noConversion"/>
  </si>
  <si>
    <t>02/11 Ship Send</t>
  </si>
  <si>
    <t>02/11 Ship Send</t>
    <phoneticPr fontId="3" type="noConversion"/>
  </si>
  <si>
    <t>02/11 Ship Send</t>
    <phoneticPr fontId="3" type="noConversion"/>
  </si>
  <si>
    <t>WH</t>
    <phoneticPr fontId="3" type="noConversion"/>
  </si>
  <si>
    <t>MB6YHMM106Z</t>
    <phoneticPr fontId="3" type="noConversion"/>
  </si>
  <si>
    <t>MB6YHMS107A</t>
    <phoneticPr fontId="3" type="noConversion"/>
  </si>
  <si>
    <t>LB</t>
    <phoneticPr fontId="3" type="noConversion"/>
  </si>
  <si>
    <t>CC</t>
    <phoneticPr fontId="3" type="noConversion"/>
  </si>
  <si>
    <t>60*140</t>
    <phoneticPr fontId="3" type="noConversion"/>
  </si>
  <si>
    <t>다운용
LINING
등판</t>
    <phoneticPr fontId="10" type="noConversion"/>
  </si>
  <si>
    <t>심 지
INTERLINING
(M-460)</t>
    <phoneticPr fontId="10" type="noConversion"/>
  </si>
  <si>
    <t>QQ사
45S/2H               THREAD</t>
    <phoneticPr fontId="10" type="noConversion"/>
  </si>
  <si>
    <t>골테잎(폴리)</t>
    <phoneticPr fontId="10" type="noConversion"/>
  </si>
  <si>
    <t>60"</t>
    <phoneticPr fontId="3" type="noConversion"/>
  </si>
  <si>
    <t>56"</t>
    <phoneticPr fontId="3" type="noConversion"/>
  </si>
  <si>
    <t>02/09 China Ship Send</t>
    <phoneticPr fontId="3" type="noConversion"/>
  </si>
  <si>
    <t>X</t>
    <phoneticPr fontId="3" type="noConversion"/>
  </si>
  <si>
    <t>오바사(안감용)
60S/3H
THREAD</t>
    <phoneticPr fontId="10" type="noConversion"/>
  </si>
  <si>
    <t>02/25 H/Carry Send</t>
    <phoneticPr fontId="3" type="noConversion"/>
  </si>
  <si>
    <t>3/20 Ship Send</t>
    <phoneticPr fontId="3" type="noConversion"/>
  </si>
  <si>
    <t>MB68SLM101A</t>
    <phoneticPr fontId="3" type="noConversion"/>
  </si>
  <si>
    <t>DE</t>
    <phoneticPr fontId="3" type="noConversion"/>
  </si>
  <si>
    <t>03/14 China Ship Send</t>
    <phoneticPr fontId="3" type="noConversion"/>
  </si>
  <si>
    <t>MB68SLM107A</t>
    <phoneticPr fontId="3" type="noConversion"/>
  </si>
  <si>
    <t>12MM</t>
    <phoneticPr fontId="3" type="noConversion"/>
  </si>
  <si>
    <t>D링
(D-Ring)</t>
    <phoneticPr fontId="10" type="noConversion"/>
  </si>
  <si>
    <t>3/14 Ship Send</t>
    <phoneticPr fontId="3" type="noConversion"/>
  </si>
  <si>
    <t>BR</t>
    <phoneticPr fontId="3" type="noConversion"/>
  </si>
  <si>
    <t>MB68SKM101Z</t>
    <phoneticPr fontId="3" type="noConversion"/>
  </si>
  <si>
    <t>본봉사
코아사(배색)
45S/2H               THREAD</t>
    <phoneticPr fontId="10" type="noConversion"/>
  </si>
  <si>
    <t>오바사(배색)
60S/3H               THREAD</t>
    <phoneticPr fontId="10" type="noConversion"/>
  </si>
  <si>
    <t>스티치사            THREAD</t>
    <phoneticPr fontId="10" type="noConversion"/>
  </si>
  <si>
    <t>30MM</t>
    <phoneticPr fontId="3" type="noConversion"/>
  </si>
  <si>
    <t>MB68SKM102Z</t>
    <phoneticPr fontId="3" type="noConversion"/>
  </si>
  <si>
    <t>D링</t>
    <phoneticPr fontId="10" type="noConversion"/>
  </si>
  <si>
    <t>MB68SKM103Z</t>
    <phoneticPr fontId="3" type="noConversion"/>
  </si>
  <si>
    <t>DDM</t>
    <phoneticPr fontId="3" type="noConversion"/>
  </si>
  <si>
    <t>수량 3/12 변경됨 원단 불량 쇼트</t>
    <phoneticPr fontId="3" type="noConversion"/>
  </si>
  <si>
    <t>스티치사
지누이도            THREAD</t>
    <phoneticPr fontId="10" type="noConversion"/>
  </si>
  <si>
    <t xml:space="preserve">스쿠이사               THREAD
</t>
    <phoneticPr fontId="3" type="noConversion"/>
  </si>
  <si>
    <t>스쿠이사               THREAD</t>
    <phoneticPr fontId="3" type="noConversion"/>
  </si>
  <si>
    <t>다운백
LINING</t>
    <phoneticPr fontId="10" type="noConversion"/>
  </si>
  <si>
    <t>3/20 Ship Send</t>
  </si>
  <si>
    <t>3/20 Ship Send</t>
    <phoneticPr fontId="3" type="noConversion"/>
  </si>
  <si>
    <t>3/20 Ship Send</t>
    <phoneticPr fontId="3" type="noConversion"/>
  </si>
  <si>
    <t>3/20 Ship Send</t>
    <phoneticPr fontId="3" type="noConversion"/>
  </si>
  <si>
    <t>3/20 Ship Send</t>
    <phoneticPr fontId="3" type="noConversion"/>
  </si>
  <si>
    <t>3/20 Ship Send</t>
    <phoneticPr fontId="3" type="noConversion"/>
  </si>
  <si>
    <t>03/20 Ship Send</t>
    <phoneticPr fontId="3" type="noConversion"/>
  </si>
  <si>
    <t>구스택</t>
    <phoneticPr fontId="3" type="noConversion"/>
  </si>
  <si>
    <t>04/15 Ship Send</t>
    <phoneticPr fontId="3" type="noConversion"/>
  </si>
  <si>
    <t>04/15 Ship Send</t>
    <phoneticPr fontId="3" type="noConversion"/>
  </si>
  <si>
    <t xml:space="preserve"> </t>
    <phoneticPr fontId="3" type="noConversion"/>
  </si>
  <si>
    <t>04/15 Ship Send</t>
    <phoneticPr fontId="3" type="noConversion"/>
  </si>
  <si>
    <t>CG</t>
    <phoneticPr fontId="3" type="noConversion"/>
  </si>
  <si>
    <t>리드</t>
    <phoneticPr fontId="3" type="noConversion"/>
  </si>
  <si>
    <t>재원에서 태일로 변경됨</t>
    <phoneticPr fontId="3" type="noConversion"/>
  </si>
  <si>
    <t>재원(베트남)</t>
  </si>
  <si>
    <t>재원(베트남)</t>
    <phoneticPr fontId="3" type="noConversion"/>
  </si>
  <si>
    <t>5/12 H/Carry Send</t>
    <phoneticPr fontId="3" type="noConversion"/>
  </si>
  <si>
    <t>5/12 H/Carry Send</t>
    <phoneticPr fontId="3" type="noConversion"/>
  </si>
  <si>
    <t>5/12 H/Carry Send</t>
    <phoneticPr fontId="3" type="noConversion"/>
  </si>
  <si>
    <t>02/11 Ship Send</t>
    <phoneticPr fontId="3" type="noConversion"/>
  </si>
  <si>
    <t>03/20 Ship Send</t>
    <phoneticPr fontId="3" type="noConversion"/>
  </si>
  <si>
    <t>재원(베트남)</t>
    <phoneticPr fontId="3" type="noConversion"/>
  </si>
  <si>
    <t>5/22</t>
    <phoneticPr fontId="3" type="noConversion"/>
  </si>
  <si>
    <t>5/27 H/Carry Send</t>
    <phoneticPr fontId="3" type="noConversion"/>
  </si>
  <si>
    <t>5/22 Ship Send</t>
    <phoneticPr fontId="3" type="noConversion"/>
  </si>
  <si>
    <t>MB6YHMP102Z-1</t>
    <phoneticPr fontId="3" type="noConversion"/>
  </si>
  <si>
    <t>CR</t>
    <phoneticPr fontId="3" type="noConversion"/>
  </si>
  <si>
    <t>LB</t>
    <phoneticPr fontId="3" type="noConversion"/>
  </si>
  <si>
    <t>DG</t>
    <phoneticPr fontId="3" type="noConversion"/>
  </si>
  <si>
    <t>트윌
LINING
해리,주머니감</t>
    <phoneticPr fontId="3" type="noConversion"/>
  </si>
  <si>
    <t>신승이앤티</t>
  </si>
  <si>
    <t>오바사(가당사)
60S/3H               THREAD</t>
    <phoneticPr fontId="3" type="noConversion"/>
  </si>
  <si>
    <t>본사</t>
    <phoneticPr fontId="3" type="noConversion"/>
  </si>
  <si>
    <t>MB6YHMP103Z</t>
    <phoneticPr fontId="3" type="noConversion"/>
  </si>
  <si>
    <t>3/20 Ship Send, 6/11 에어 재발송 예정</t>
    <phoneticPr fontId="3" type="noConversion"/>
  </si>
  <si>
    <t>트윌
LINING
주머니용, 시접해리</t>
    <phoneticPr fontId="10" type="noConversion"/>
  </si>
  <si>
    <t>심 지
INTERLINING
(M-250)
몸판용</t>
    <phoneticPr fontId="10" type="noConversion"/>
  </si>
  <si>
    <t>심 지
INTERLINING
(M-252)
오비용</t>
    <phoneticPr fontId="10" type="noConversion"/>
  </si>
  <si>
    <t>양면 지퍼
ZIPPER
앞여밈</t>
    <phoneticPr fontId="10" type="noConversion"/>
  </si>
  <si>
    <t>이단마이깡
HOOK
앞여밈</t>
    <phoneticPr fontId="10" type="noConversion"/>
  </si>
  <si>
    <t>속단추
BUTTON
앞여밈</t>
    <phoneticPr fontId="10" type="noConversion"/>
  </si>
  <si>
    <t>사각/중</t>
    <phoneticPr fontId="3" type="noConversion"/>
  </si>
  <si>
    <t>MB6YSLM106Z</t>
    <phoneticPr fontId="3" type="noConversion"/>
  </si>
  <si>
    <t>MB6YSLM111Z</t>
    <phoneticPr fontId="3" type="noConversion"/>
  </si>
  <si>
    <t>다후다
LINING
오비해리, 주머니감</t>
    <phoneticPr fontId="10" type="noConversion"/>
  </si>
  <si>
    <t>(면) 다데테이프
EDEG TAPE
앞오비, 주머니입구</t>
    <phoneticPr fontId="10" type="noConversion"/>
  </si>
  <si>
    <t xml:space="preserve">스쿠이사
THREAD
</t>
    <phoneticPr fontId="3" type="noConversion"/>
  </si>
  <si>
    <t>속단추
BUTTON</t>
    <phoneticPr fontId="10" type="noConversion"/>
  </si>
  <si>
    <t>레터링테이프
LETTERING TAPE</t>
    <phoneticPr fontId="10" type="noConversion"/>
  </si>
  <si>
    <t>E-BAND
(울빗살밴드)</t>
    <phoneticPr fontId="10" type="noConversion"/>
  </si>
  <si>
    <t>45Ф</t>
    <phoneticPr fontId="3" type="noConversion"/>
  </si>
  <si>
    <t>55Ф</t>
    <phoneticPr fontId="3" type="noConversion"/>
  </si>
  <si>
    <t>MDM-13</t>
    <phoneticPr fontId="3" type="noConversion"/>
  </si>
  <si>
    <t>MB6YSLM113Z</t>
    <phoneticPr fontId="3" type="noConversion"/>
  </si>
  <si>
    <t>59"</t>
    <phoneticPr fontId="3" type="noConversion"/>
  </si>
  <si>
    <t>40Ф</t>
    <phoneticPr fontId="3" type="noConversion"/>
  </si>
  <si>
    <t>E-BAND
(코메즈)</t>
    <phoneticPr fontId="10" type="noConversion"/>
  </si>
  <si>
    <t>50Ф</t>
    <phoneticPr fontId="3" type="noConversion"/>
  </si>
  <si>
    <t>MB6YJKM112Z</t>
    <phoneticPr fontId="3" type="noConversion"/>
  </si>
  <si>
    <t>심 지
INTERLINING
(M-475)
아데용</t>
    <phoneticPr fontId="10" type="noConversion"/>
  </si>
  <si>
    <t>실크 다데테이프
EDEG TAPE
카라,밴드,너요,어깨,앞마이,트임</t>
    <phoneticPr fontId="10" type="noConversion"/>
  </si>
  <si>
    <t>실크 암홀 테이프
EDEG TAPE
뒤네크, AH</t>
    <phoneticPr fontId="10" type="noConversion"/>
  </si>
  <si>
    <t>패드
PAD
H-180</t>
    <phoneticPr fontId="10" type="noConversion"/>
  </si>
  <si>
    <t>솜마꾸라지
PAD</t>
    <phoneticPr fontId="3" type="noConversion"/>
  </si>
  <si>
    <t>SET</t>
    <phoneticPr fontId="3" type="noConversion"/>
  </si>
  <si>
    <t>본봉사(배색)
45S/3H               THREAD</t>
    <phoneticPr fontId="10" type="noConversion"/>
  </si>
  <si>
    <t>단 추
(앞마이)
BUTTON</t>
    <phoneticPr fontId="10" type="noConversion"/>
  </si>
  <si>
    <t>20Ф</t>
    <phoneticPr fontId="3" type="noConversion"/>
  </si>
  <si>
    <t>단 추
(소매-장식)
TAP DECORATION</t>
    <phoneticPr fontId="10" type="noConversion"/>
  </si>
  <si>
    <t>Y</t>
    <phoneticPr fontId="3" type="noConversion"/>
  </si>
  <si>
    <t>MB6YJKM182Z</t>
    <phoneticPr fontId="3" type="noConversion"/>
  </si>
  <si>
    <t>BL</t>
    <phoneticPr fontId="3" type="noConversion"/>
  </si>
  <si>
    <t>다후다
LINING
주머니속 손등</t>
    <phoneticPr fontId="10" type="noConversion"/>
  </si>
  <si>
    <t>트윌
LINING
몸판전체</t>
    <phoneticPr fontId="10" type="noConversion"/>
  </si>
  <si>
    <t>스트레치
LINING
소매</t>
    <phoneticPr fontId="10" type="noConversion"/>
  </si>
  <si>
    <t xml:space="preserve">심 지
INTERLINING
(M-475)
</t>
    <phoneticPr fontId="10" type="noConversion"/>
  </si>
  <si>
    <t>실크 다데테이프
EDEG TAPE
카라,밴드,네크,앞마이,어깨, 앞밑단</t>
    <phoneticPr fontId="10" type="noConversion"/>
  </si>
  <si>
    <t xml:space="preserve">실크 암홀 테이프
EDEG TAPE
</t>
    <phoneticPr fontId="10" type="noConversion"/>
  </si>
  <si>
    <t>도금</t>
    <phoneticPr fontId="3" type="noConversion"/>
  </si>
  <si>
    <t>단 추
(앞여밈)
BUTTON</t>
    <phoneticPr fontId="10" type="noConversion"/>
  </si>
  <si>
    <t>단추
(아웃포켓)
BUTTON</t>
    <phoneticPr fontId="3" type="noConversion"/>
  </si>
  <si>
    <r>
      <t xml:space="preserve">MAIN+SIZE
LABEL
</t>
    </r>
    <r>
      <rPr>
        <b/>
        <sz val="14"/>
        <color rgb="FFFF0000"/>
        <rFont val="돋움"/>
        <family val="3"/>
        <charset val="129"/>
      </rPr>
      <t>메인라벨
알파카
켈렉션라벨(BL)</t>
    </r>
    <phoneticPr fontId="3" type="noConversion"/>
  </si>
  <si>
    <t xml:space="preserve">
CARE LABEL
케어
MDM-13</t>
    <phoneticPr fontId="3" type="noConversion"/>
  </si>
  <si>
    <t>MB6YJKM106Z</t>
    <phoneticPr fontId="3" type="noConversion"/>
  </si>
  <si>
    <t>트윌
LINING
몸판/후다미까시</t>
    <phoneticPr fontId="10" type="noConversion"/>
  </si>
  <si>
    <t>심 지
INTERLINING
(M-460)
몸판용</t>
    <phoneticPr fontId="10" type="noConversion"/>
  </si>
  <si>
    <t xml:space="preserve">심 지
INTERLINING
(M-475)
아레용
</t>
    <phoneticPr fontId="10" type="noConversion"/>
  </si>
  <si>
    <t>미어짐방지테이프
EDGE TAPE</t>
    <phoneticPr fontId="3" type="noConversion"/>
  </si>
  <si>
    <t>R</t>
    <phoneticPr fontId="3" type="noConversion"/>
  </si>
  <si>
    <t>패드
PAD
MK-24-1</t>
    <phoneticPr fontId="10" type="noConversion"/>
  </si>
  <si>
    <t>9.5CM길이</t>
    <phoneticPr fontId="3" type="noConversion"/>
  </si>
  <si>
    <t>금속</t>
    <phoneticPr fontId="3" type="noConversion"/>
  </si>
  <si>
    <t>단 추
(앞여밈,소매,후다위)
BUTTON</t>
    <phoneticPr fontId="10" type="noConversion"/>
  </si>
  <si>
    <t>사각(대)</t>
    <phoneticPr fontId="3" type="noConversion"/>
  </si>
  <si>
    <t>MB6YSLP112Z</t>
    <phoneticPr fontId="3" type="noConversion"/>
  </si>
  <si>
    <t>르카이</t>
    <phoneticPr fontId="3" type="noConversion"/>
  </si>
  <si>
    <t>(면) 다데테이프
EDEG TAPE
앞오비,주머니입구</t>
    <phoneticPr fontId="10" type="noConversion"/>
  </si>
  <si>
    <t>E-BAND
(속)</t>
    <phoneticPr fontId="10" type="noConversion"/>
  </si>
  <si>
    <t xml:space="preserve">
CARE LABEL
케어
(MDM-13)</t>
    <phoneticPr fontId="3" type="noConversion"/>
  </si>
  <si>
    <t>MB6YSLM107Z</t>
    <phoneticPr fontId="3" type="noConversion"/>
  </si>
  <si>
    <t>비죠단추
BUTTON</t>
    <phoneticPr fontId="10" type="noConversion"/>
  </si>
  <si>
    <t>속이밴드
E-BAND
(폴리 이중직)</t>
    <phoneticPr fontId="10" type="noConversion"/>
  </si>
  <si>
    <t xml:space="preserve">
CARE LABEL
케어라벨
MDM-13</t>
    <phoneticPr fontId="3" type="noConversion"/>
  </si>
  <si>
    <t>MB6YJKM181Z</t>
    <phoneticPr fontId="3" type="noConversion"/>
  </si>
  <si>
    <t>트윌
LINING
몸판전체, 후다마아웃</t>
    <phoneticPr fontId="10" type="noConversion"/>
  </si>
  <si>
    <t>실크 다데테이프
EDEG TAPE
카라,밴드,어깨,앞마이,앞밑단,후다,트임</t>
    <phoneticPr fontId="10" type="noConversion"/>
  </si>
  <si>
    <t>QQ사(배색)
45S/3H               THREAD
소매에 QQ배색</t>
    <phoneticPr fontId="10" type="noConversion"/>
  </si>
  <si>
    <t>1200M</t>
    <phoneticPr fontId="3" type="noConversion"/>
  </si>
  <si>
    <t>1100M</t>
    <phoneticPr fontId="3" type="noConversion"/>
  </si>
  <si>
    <t>본봉사
코아사(겉/안)
45S/2H               THREAD</t>
    <phoneticPr fontId="10" type="noConversion"/>
  </si>
  <si>
    <t>오바사(겉/안)
60S/3H               THREAD</t>
    <phoneticPr fontId="10" type="noConversion"/>
  </si>
  <si>
    <t>단 추
(소매컬러코팅)
BUTTON</t>
    <phoneticPr fontId="10" type="noConversion"/>
  </si>
  <si>
    <t>단추
(배색컬러코팅)
BUTTON</t>
    <phoneticPr fontId="3" type="noConversion"/>
  </si>
  <si>
    <t>단 추
(배색컬러코팅)
BUTTON</t>
    <phoneticPr fontId="10" type="noConversion"/>
  </si>
  <si>
    <t>MB6YSLM114Z</t>
    <phoneticPr fontId="3" type="noConversion"/>
  </si>
  <si>
    <t>다후다
LINING
오비해리, 미카시,주머니감</t>
    <phoneticPr fontId="10" type="noConversion"/>
  </si>
  <si>
    <t>오비미까시배색
COMBINATION</t>
    <phoneticPr fontId="10" type="noConversion"/>
  </si>
  <si>
    <t>금속장식
METAL DECORATION</t>
    <phoneticPr fontId="10" type="noConversion"/>
  </si>
  <si>
    <t>12K골드</t>
    <phoneticPr fontId="3" type="noConversion"/>
  </si>
  <si>
    <t>흑니켈</t>
    <phoneticPr fontId="3" type="noConversion"/>
  </si>
  <si>
    <t>이밴드
E-BAND
뒤오비</t>
    <phoneticPr fontId="10" type="noConversion"/>
  </si>
  <si>
    <t>MB6YSLM115Z</t>
    <phoneticPr fontId="3" type="noConversion"/>
  </si>
  <si>
    <t>(면) 다데테이프
EDEG TAPE
오비, 주머니입구</t>
    <phoneticPr fontId="10" type="noConversion"/>
  </si>
  <si>
    <t>57"/58"</t>
    <phoneticPr fontId="3" type="noConversion"/>
  </si>
  <si>
    <t>금속장식
METAL DECORATION
오비아래</t>
    <phoneticPr fontId="10" type="noConversion"/>
  </si>
  <si>
    <t>MB6YSLM113Z</t>
    <phoneticPr fontId="3" type="noConversion"/>
  </si>
  <si>
    <t>MB6YJKM112Z</t>
    <phoneticPr fontId="3" type="noConversion"/>
  </si>
  <si>
    <t>MB6YJKM182Z</t>
    <phoneticPr fontId="3" type="noConversion"/>
  </si>
  <si>
    <t>MB6YJKM106Z</t>
    <phoneticPr fontId="3" type="noConversion"/>
  </si>
  <si>
    <t>MB6YSLP112Z</t>
    <phoneticPr fontId="3" type="noConversion"/>
  </si>
  <si>
    <t>MB6YJKM181Z</t>
    <phoneticPr fontId="3" type="noConversion"/>
  </si>
  <si>
    <t>MB6YSLM107Z</t>
    <phoneticPr fontId="3" type="noConversion"/>
  </si>
  <si>
    <t>MB6YSLM114Z</t>
    <phoneticPr fontId="3" type="noConversion"/>
  </si>
  <si>
    <t>MB6YSLM115Z</t>
    <phoneticPr fontId="3" type="noConversion"/>
  </si>
  <si>
    <t>MB6YHMP102Z</t>
    <phoneticPr fontId="3" type="noConversion"/>
  </si>
  <si>
    <t>MB6YHMP103Z</t>
    <phoneticPr fontId="3" type="noConversion"/>
  </si>
  <si>
    <t>MB6YSLM106Z</t>
    <phoneticPr fontId="3" type="noConversion"/>
  </si>
  <si>
    <t>MB6YSLM111Z</t>
    <phoneticPr fontId="3" type="noConversion"/>
  </si>
  <si>
    <t>겉감</t>
    <phoneticPr fontId="3" type="noConversion"/>
  </si>
  <si>
    <t>안감</t>
    <phoneticPr fontId="3" type="noConversion"/>
  </si>
  <si>
    <t>심지</t>
    <phoneticPr fontId="3" type="noConversion"/>
  </si>
  <si>
    <t>테이프</t>
    <phoneticPr fontId="3" type="noConversion"/>
  </si>
  <si>
    <t>단추</t>
    <phoneticPr fontId="3" type="noConversion"/>
  </si>
  <si>
    <t>라벨</t>
    <phoneticPr fontId="3" type="noConversion"/>
  </si>
  <si>
    <t>택</t>
    <phoneticPr fontId="3" type="noConversion"/>
  </si>
  <si>
    <t>기타</t>
    <phoneticPr fontId="3" type="noConversion"/>
  </si>
  <si>
    <t>중국선적</t>
    <phoneticPr fontId="3" type="noConversion"/>
  </si>
  <si>
    <t>이미지택</t>
    <phoneticPr fontId="3" type="noConversion"/>
  </si>
  <si>
    <t>BK</t>
    <phoneticPr fontId="3" type="noConversion"/>
  </si>
  <si>
    <t>GR</t>
    <phoneticPr fontId="3" type="noConversion"/>
  </si>
  <si>
    <t>중국선적(예)</t>
    <phoneticPr fontId="3" type="noConversion"/>
  </si>
  <si>
    <t>중국선적(예), DE 167, DG 218 SHORT</t>
    <phoneticPr fontId="3" type="noConversion"/>
  </si>
  <si>
    <t>인천해출항(예)</t>
    <phoneticPr fontId="3" type="noConversion"/>
  </si>
  <si>
    <t>배 색1
COMBINATION
컬러코팅/
소매턴없이</t>
    <phoneticPr fontId="10" type="noConversion"/>
  </si>
  <si>
    <t>Y</t>
    <phoneticPr fontId="3" type="noConversion"/>
  </si>
  <si>
    <t>58"</t>
    <phoneticPr fontId="3" type="noConversion"/>
  </si>
  <si>
    <t>배 색밑가시
COMBINATION</t>
    <phoneticPr fontId="10" type="noConversion"/>
  </si>
  <si>
    <t>수납컨펌일</t>
    <phoneticPr fontId="3" type="noConversion"/>
  </si>
  <si>
    <t>인천선적</t>
  </si>
  <si>
    <t>인천선적</t>
    <phoneticPr fontId="3" type="noConversion"/>
  </si>
  <si>
    <t>인천선적, BK만 수령</t>
  </si>
  <si>
    <t>인천선적</t>
    <phoneticPr fontId="3" type="noConversion"/>
  </si>
  <si>
    <t>보타니</t>
    <phoneticPr fontId="3" type="noConversion"/>
  </si>
  <si>
    <t>이미지택
IMAGE TAG</t>
    <phoneticPr fontId="3" type="noConversion"/>
  </si>
  <si>
    <t>다남</t>
    <phoneticPr fontId="3" type="noConversion"/>
  </si>
  <si>
    <t>신승이앤티/미래</t>
    <phoneticPr fontId="3" type="noConversion"/>
  </si>
  <si>
    <t>인천선적</t>
    <phoneticPr fontId="3" type="noConversion"/>
  </si>
  <si>
    <t>인천선적</t>
    <phoneticPr fontId="3" type="noConversion"/>
  </si>
  <si>
    <t>인천선적</t>
    <phoneticPr fontId="3" type="noConversion"/>
  </si>
  <si>
    <t>성보</t>
    <phoneticPr fontId="3" type="noConversion"/>
  </si>
  <si>
    <t>MB6YHMM181A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</si>
</sst>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m&quot;/&quot;d;@"/>
    <numFmt numFmtId="178" formatCode="0_ ;[Red]\-0\ "/>
    <numFmt numFmtId="179" formatCode="#,##0.00_);[Red]\(#,##0.00\)"/>
    <numFmt numFmtId="180" formatCode="0_);[Red]\(0\)"/>
    <numFmt numFmtId="181" formatCode="#,##0_);[Red]\(#,##0\)"/>
    <numFmt numFmtId="182" formatCode="mm&quot;월&quot;\ dd&quot;일&quot;"/>
    <numFmt numFmtId="183" formatCode="0.00_);[Red]\(0.00\)"/>
    <numFmt numFmtId="184" formatCode="0.0_ ;[Red]\-0.0\ "/>
    <numFmt numFmtId="185" formatCode="0.0\ "/>
    <numFmt numFmtId="186" formatCode="&quot;₩&quot;#,000"/>
    <numFmt numFmtId="187" formatCode="0_ "/>
    <numFmt numFmtId="188" formatCode="&quot;₩&quot;#,##0"/>
    <numFmt numFmtId="189" formatCode="0.00_ ;[Red]\-0.00\ "/>
    <numFmt numFmtId="190" formatCode="&quot;₩&quot;#,#00"/>
    <numFmt numFmtId="191" formatCode="&quot;₩&quot;#,##0_);\(&quot;₩&quot;#,##0\)"/>
    <numFmt numFmtId="192" formatCode="\$#,##0.0000_);\(\$#,##0.0000\)"/>
    <numFmt numFmtId="193" formatCode="#,##0.0_);[Red]\(#,##0.0\)"/>
    <numFmt numFmtId="194" formatCode="0.000_);[Red]\(0.000\)"/>
    <numFmt numFmtId="195" formatCode="0.0_);[Red]\(0.0\)"/>
  </numFmts>
  <fonts count="3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</font>
    <font>
      <sz val="12"/>
      <name val="Courier"/>
      <family val="3"/>
    </font>
    <font>
      <sz val="10"/>
      <name val="ＭＳ 明朝"/>
      <family val="3"/>
    </font>
    <font>
      <sz val="11"/>
      <color indexed="8"/>
      <name val="맑은 고딕"/>
      <family val="3"/>
      <charset val="129"/>
    </font>
    <font>
      <b/>
      <sz val="50"/>
      <name val="돋움"/>
      <family val="3"/>
      <charset val="129"/>
    </font>
    <font>
      <b/>
      <sz val="16"/>
      <name val="돋움"/>
      <family val="3"/>
      <charset val="129"/>
    </font>
    <font>
      <sz val="8"/>
      <name val="맑은 고딕"/>
      <family val="2"/>
      <charset val="129"/>
      <scheme val="minor"/>
    </font>
    <font>
      <sz val="16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3"/>
      <name val="돋움"/>
      <family val="3"/>
      <charset val="129"/>
    </font>
    <font>
      <b/>
      <sz val="22"/>
      <color rgb="FFFF0000"/>
      <name val="돋움"/>
      <family val="3"/>
      <charset val="129"/>
    </font>
    <font>
      <sz val="17"/>
      <color rgb="FFFF0000"/>
      <name val="돋움"/>
      <family val="3"/>
      <charset val="129"/>
    </font>
    <font>
      <sz val="14"/>
      <name val="돋움"/>
      <family val="3"/>
      <charset val="129"/>
    </font>
    <font>
      <sz val="15"/>
      <name val="돋움"/>
      <family val="3"/>
      <charset val="129"/>
    </font>
    <font>
      <sz val="16"/>
      <color rgb="FFFF0000"/>
      <name val="돋움"/>
      <family val="3"/>
      <charset val="129"/>
    </font>
    <font>
      <b/>
      <sz val="16"/>
      <color theme="1"/>
      <name val="돋움"/>
      <family val="3"/>
      <charset val="129"/>
    </font>
    <font>
      <sz val="13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sz val="14"/>
      <color rgb="FFFF0000"/>
      <name val="돋움"/>
      <family val="3"/>
      <charset val="129"/>
    </font>
    <font>
      <sz val="15"/>
      <color rgb="FFFF0000"/>
      <name val="돋움"/>
      <family val="3"/>
      <charset val="129"/>
    </font>
    <font>
      <sz val="20"/>
      <name val="돋움"/>
      <family val="3"/>
      <charset val="129"/>
    </font>
    <font>
      <sz val="22"/>
      <name val="돋움"/>
      <family val="3"/>
      <charset val="129"/>
    </font>
    <font>
      <b/>
      <sz val="12"/>
      <name val="돋움"/>
      <family val="3"/>
      <charset val="129"/>
    </font>
    <font>
      <b/>
      <sz val="16"/>
      <color rgb="FFFF0000"/>
      <name val="돋움"/>
      <family val="3"/>
      <charset val="129"/>
    </font>
    <font>
      <sz val="16"/>
      <color indexed="8"/>
      <name val="돋움"/>
      <family val="3"/>
      <charset val="129"/>
    </font>
    <font>
      <b/>
      <sz val="14"/>
      <color rgb="FFFF0000"/>
      <name val="돋움"/>
      <family val="3"/>
      <charset val="129"/>
    </font>
    <font>
      <b/>
      <sz val="17"/>
      <color rgb="FFFF0000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FF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5" fillId="0" borderId="0"/>
    <xf numFmtId="0" fontId="2" fillId="0" borderId="0">
      <alignment vertical="center"/>
    </xf>
    <xf numFmtId="0" fontId="2" fillId="0" borderId="0"/>
    <xf numFmtId="0" fontId="6" fillId="0" borderId="0"/>
    <xf numFmtId="0" fontId="7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31">
    <xf numFmtId="0" fontId="0" fillId="0" borderId="0" xfId="0">
      <alignment vertical="center"/>
    </xf>
    <xf numFmtId="0" fontId="2" fillId="0" borderId="0" xfId="0" applyFont="1">
      <alignment vertical="center"/>
    </xf>
    <xf numFmtId="0" fontId="11" fillId="0" borderId="0" xfId="0" applyFont="1">
      <alignment vertical="center"/>
    </xf>
    <xf numFmtId="0" fontId="12" fillId="0" borderId="5" xfId="13" applyFont="1" applyBorder="1" applyAlignment="1">
      <alignment horizontal="center" vertical="center"/>
    </xf>
    <xf numFmtId="0" fontId="12" fillId="0" borderId="0" xfId="13" applyFont="1" applyAlignment="1">
      <alignment horizontal="center" vertical="center"/>
    </xf>
    <xf numFmtId="0" fontId="12" fillId="0" borderId="0" xfId="13" applyFont="1" applyAlignment="1">
      <alignment horizontal="right" vertical="center"/>
    </xf>
    <xf numFmtId="0" fontId="12" fillId="0" borderId="0" xfId="13" applyFont="1" applyAlignment="1">
      <alignment horizontal="left" vertical="center"/>
    </xf>
    <xf numFmtId="179" fontId="12" fillId="0" borderId="0" xfId="13" applyNumberFormat="1" applyFont="1" applyAlignment="1">
      <alignment horizontal="center" vertical="center"/>
    </xf>
    <xf numFmtId="177" fontId="12" fillId="0" borderId="0" xfId="13" applyNumberFormat="1" applyFont="1" applyAlignment="1">
      <alignment horizontal="center" vertical="center"/>
    </xf>
    <xf numFmtId="179" fontId="12" fillId="0" borderId="0" xfId="13" applyNumberFormat="1" applyFont="1" applyAlignment="1">
      <alignment horizontal="right" vertical="center"/>
    </xf>
    <xf numFmtId="177" fontId="12" fillId="0" borderId="0" xfId="13" applyNumberFormat="1" applyFont="1" applyAlignment="1">
      <alignment horizontal="left" vertical="center"/>
    </xf>
    <xf numFmtId="178" fontId="12" fillId="0" borderId="0" xfId="13" applyNumberFormat="1" applyFont="1" applyAlignment="1">
      <alignment horizontal="center" vertical="center"/>
    </xf>
    <xf numFmtId="180" fontId="12" fillId="0" borderId="0" xfId="13" applyNumberFormat="1" applyFont="1" applyAlignment="1">
      <alignment horizontal="center" vertical="center"/>
    </xf>
    <xf numFmtId="177" fontId="12" fillId="0" borderId="6" xfId="13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4" fillId="0" borderId="0" xfId="13" applyFont="1" applyAlignment="1">
      <alignment vertical="center" wrapText="1"/>
    </xf>
    <xf numFmtId="0" fontId="14" fillId="0" borderId="0" xfId="13" applyFont="1">
      <alignment vertical="center"/>
    </xf>
    <xf numFmtId="179" fontId="12" fillId="0" borderId="0" xfId="13" applyNumberFormat="1" applyFont="1" applyAlignment="1">
      <alignment horizontal="center" vertical="center" wrapText="1"/>
    </xf>
    <xf numFmtId="0" fontId="15" fillId="0" borderId="0" xfId="14" applyFont="1" applyProtection="1">
      <alignment vertical="center"/>
      <protection locked="0"/>
    </xf>
    <xf numFmtId="177" fontId="15" fillId="0" borderId="0" xfId="14" applyNumberFormat="1" applyFont="1" applyProtection="1">
      <alignment vertical="center"/>
      <protection locked="0"/>
    </xf>
    <xf numFmtId="0" fontId="2" fillId="0" borderId="6" xfId="0" applyFont="1" applyBorder="1">
      <alignment vertical="center"/>
    </xf>
    <xf numFmtId="176" fontId="16" fillId="0" borderId="0" xfId="13" applyNumberFormat="1" applyFont="1">
      <alignment vertical="center"/>
    </xf>
    <xf numFmtId="181" fontId="12" fillId="0" borderId="0" xfId="13" applyNumberFormat="1" applyFont="1" applyAlignment="1">
      <alignment horizontal="center" vertical="center"/>
    </xf>
    <xf numFmtId="177" fontId="17" fillId="0" borderId="0" xfId="13" applyNumberFormat="1" applyFont="1" applyAlignment="1">
      <alignment vertical="center" wrapText="1"/>
    </xf>
    <xf numFmtId="179" fontId="18" fillId="0" borderId="0" xfId="13" applyNumberFormat="1" applyFont="1" applyAlignment="1">
      <alignment vertical="center" wrapText="1"/>
    </xf>
    <xf numFmtId="179" fontId="18" fillId="0" borderId="5" xfId="13" applyNumberFormat="1" applyFont="1" applyBorder="1" applyAlignment="1">
      <alignment vertical="center" wrapText="1"/>
    </xf>
    <xf numFmtId="177" fontId="15" fillId="0" borderId="0" xfId="14" applyNumberFormat="1" applyFont="1" applyAlignment="1" applyProtection="1">
      <alignment horizontal="center" vertical="center"/>
      <protection locked="0"/>
    </xf>
    <xf numFmtId="0" fontId="19" fillId="0" borderId="0" xfId="14" applyFont="1" applyAlignment="1" applyProtection="1">
      <alignment horizontal="center" vertical="center"/>
      <protection locked="0"/>
    </xf>
    <xf numFmtId="182" fontId="2" fillId="0" borderId="6" xfId="0" applyNumberFormat="1" applyFont="1" applyBorder="1">
      <alignment vertical="center"/>
    </xf>
    <xf numFmtId="176" fontId="11" fillId="0" borderId="15" xfId="13" applyNumberFormat="1" applyFont="1" applyBorder="1" applyAlignment="1">
      <alignment horizontal="left" vertical="center"/>
    </xf>
    <xf numFmtId="0" fontId="15" fillId="0" borderId="0" xfId="14" applyFont="1" applyAlignment="1" applyProtection="1">
      <alignment horizontal="left" vertical="center" shrinkToFit="1"/>
      <protection locked="0"/>
    </xf>
    <xf numFmtId="0" fontId="20" fillId="0" borderId="0" xfId="13" applyFont="1">
      <alignment vertical="center"/>
    </xf>
    <xf numFmtId="14" fontId="2" fillId="0" borderId="0" xfId="13" applyNumberFormat="1">
      <alignment vertical="center"/>
    </xf>
    <xf numFmtId="176" fontId="11" fillId="0" borderId="4" xfId="13" applyNumberFormat="1" applyFont="1" applyBorder="1" applyAlignment="1">
      <alignment horizontal="center" vertical="center" wrapText="1"/>
    </xf>
    <xf numFmtId="176" fontId="11" fillId="0" borderId="4" xfId="13" applyNumberFormat="1" applyFont="1" applyBorder="1" applyAlignment="1">
      <alignment horizontal="left" vertical="center"/>
    </xf>
    <xf numFmtId="182" fontId="12" fillId="0" borderId="0" xfId="0" applyNumberFormat="1" applyFont="1">
      <alignment vertical="center"/>
    </xf>
    <xf numFmtId="177" fontId="20" fillId="3" borderId="0" xfId="13" applyNumberFormat="1" applyFont="1" applyFill="1" applyAlignment="1">
      <alignment horizontal="left" vertical="center"/>
    </xf>
    <xf numFmtId="176" fontId="23" fillId="0" borderId="0" xfId="13" applyNumberFormat="1" applyFont="1">
      <alignment vertical="center"/>
    </xf>
    <xf numFmtId="181" fontId="24" fillId="0" borderId="0" xfId="13" applyNumberFormat="1" applyFont="1" applyAlignment="1">
      <alignment horizontal="center" vertical="center"/>
    </xf>
    <xf numFmtId="179" fontId="24" fillId="0" borderId="0" xfId="13" applyNumberFormat="1" applyFont="1">
      <alignment vertical="center"/>
    </xf>
    <xf numFmtId="178" fontId="2" fillId="0" borderId="0" xfId="13" applyNumberFormat="1">
      <alignment vertical="center"/>
    </xf>
    <xf numFmtId="177" fontId="25" fillId="0" borderId="0" xfId="13" applyNumberFormat="1" applyFont="1">
      <alignment vertical="center"/>
    </xf>
    <xf numFmtId="177" fontId="26" fillId="0" borderId="0" xfId="13" applyNumberFormat="1" applyFont="1">
      <alignment vertical="center"/>
    </xf>
    <xf numFmtId="0" fontId="20" fillId="0" borderId="17" xfId="13" applyFont="1" applyBorder="1" applyAlignment="1">
      <alignment horizontal="center" vertical="center"/>
    </xf>
    <xf numFmtId="0" fontId="12" fillId="0" borderId="17" xfId="13" applyFont="1" applyBorder="1" applyAlignment="1">
      <alignment horizontal="center" vertical="center"/>
    </xf>
    <xf numFmtId="0" fontId="12" fillId="0" borderId="17" xfId="13" applyFont="1" applyBorder="1" applyAlignment="1">
      <alignment horizontal="right" vertical="center"/>
    </xf>
    <xf numFmtId="0" fontId="12" fillId="0" borderId="17" xfId="13" applyFont="1" applyBorder="1" applyAlignment="1">
      <alignment horizontal="left" vertical="center"/>
    </xf>
    <xf numFmtId="179" fontId="12" fillId="0" borderId="17" xfId="13" applyNumberFormat="1" applyFont="1" applyBorder="1" applyAlignment="1">
      <alignment horizontal="center" vertical="center"/>
    </xf>
    <xf numFmtId="177" fontId="12" fillId="0" borderId="17" xfId="13" applyNumberFormat="1" applyFont="1" applyBorder="1" applyAlignment="1">
      <alignment horizontal="center" vertical="center"/>
    </xf>
    <xf numFmtId="179" fontId="12" fillId="0" borderId="17" xfId="13" applyNumberFormat="1" applyFont="1" applyBorder="1" applyAlignment="1">
      <alignment horizontal="right" vertical="center"/>
    </xf>
    <xf numFmtId="178" fontId="12" fillId="0" borderId="17" xfId="13" applyNumberFormat="1" applyFont="1" applyBorder="1" applyAlignment="1">
      <alignment horizontal="center" vertical="center"/>
    </xf>
    <xf numFmtId="180" fontId="12" fillId="0" borderId="17" xfId="13" applyNumberFormat="1" applyFont="1" applyBorder="1" applyAlignment="1">
      <alignment horizontal="center" vertical="center"/>
    </xf>
    <xf numFmtId="0" fontId="15" fillId="0" borderId="7" xfId="13" applyFont="1" applyBorder="1" applyAlignment="1">
      <alignment horizontal="center" vertical="center" shrinkToFit="1"/>
    </xf>
    <xf numFmtId="179" fontId="15" fillId="0" borderId="7" xfId="13" applyNumberFormat="1" applyFont="1" applyBorder="1" applyAlignment="1">
      <alignment horizontal="center" vertical="center"/>
    </xf>
    <xf numFmtId="178" fontId="15" fillId="0" borderId="7" xfId="13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5" fillId="0" borderId="12" xfId="13" applyFont="1" applyBorder="1" applyAlignment="1">
      <alignment horizontal="center" vertical="center" shrinkToFit="1"/>
    </xf>
    <xf numFmtId="0" fontId="15" fillId="0" borderId="12" xfId="13" applyFont="1" applyBorder="1" applyAlignment="1">
      <alignment horizontal="center" vertical="center" wrapText="1" shrinkToFit="1"/>
    </xf>
    <xf numFmtId="179" fontId="15" fillId="0" borderId="12" xfId="13" applyNumberFormat="1" applyFont="1" applyBorder="1" applyAlignment="1">
      <alignment horizontal="center" vertical="center" wrapText="1"/>
    </xf>
    <xf numFmtId="177" fontId="15" fillId="0" borderId="11" xfId="13" applyNumberFormat="1" applyFont="1" applyBorder="1" applyAlignment="1">
      <alignment horizontal="center" vertical="center"/>
    </xf>
    <xf numFmtId="177" fontId="15" fillId="4" borderId="11" xfId="13" applyNumberFormat="1" applyFont="1" applyFill="1" applyBorder="1" applyAlignment="1">
      <alignment horizontal="center" vertical="center"/>
    </xf>
    <xf numFmtId="177" fontId="15" fillId="5" borderId="11" xfId="13" applyNumberFormat="1" applyFont="1" applyFill="1" applyBorder="1" applyAlignment="1">
      <alignment horizontal="center" vertical="center"/>
    </xf>
    <xf numFmtId="178" fontId="15" fillId="0" borderId="12" xfId="13" applyNumberFormat="1" applyFont="1" applyBorder="1" applyAlignment="1">
      <alignment horizontal="center" vertical="center"/>
    </xf>
    <xf numFmtId="42" fontId="11" fillId="0" borderId="16" xfId="12" applyFont="1" applyFill="1" applyBorder="1" applyAlignment="1">
      <alignment horizontal="center" vertical="center" wrapText="1"/>
    </xf>
    <xf numFmtId="186" fontId="11" fillId="0" borderId="16" xfId="13" applyNumberFormat="1" applyFont="1" applyBorder="1" applyAlignment="1">
      <alignment horizontal="center" vertical="center" wrapText="1"/>
    </xf>
    <xf numFmtId="0" fontId="21" fillId="0" borderId="16" xfId="13" applyFont="1" applyBorder="1" applyAlignment="1">
      <alignment horizontal="center" vertical="center" wrapText="1"/>
    </xf>
    <xf numFmtId="183" fontId="11" fillId="0" borderId="16" xfId="13" applyNumberFormat="1" applyFont="1" applyBorder="1" applyAlignment="1">
      <alignment horizontal="center" vertical="center"/>
    </xf>
    <xf numFmtId="0" fontId="11" fillId="0" borderId="16" xfId="13" applyFont="1" applyBorder="1" applyAlignment="1">
      <alignment horizontal="center" vertical="center"/>
    </xf>
    <xf numFmtId="178" fontId="11" fillId="0" borderId="16" xfId="13" applyNumberFormat="1" applyFont="1" applyBorder="1" applyAlignment="1">
      <alignment horizontal="center" vertical="center"/>
    </xf>
    <xf numFmtId="177" fontId="11" fillId="0" borderId="16" xfId="13" applyNumberFormat="1" applyFont="1" applyBorder="1" applyAlignment="1">
      <alignment horizontal="center" vertical="center"/>
    </xf>
    <xf numFmtId="41" fontId="11" fillId="0" borderId="16" xfId="11" applyFont="1" applyFill="1" applyBorder="1" applyAlignment="1">
      <alignment horizontal="center" vertical="center"/>
    </xf>
    <xf numFmtId="0" fontId="11" fillId="0" borderId="16" xfId="13" applyFont="1" applyBorder="1" applyAlignment="1">
      <alignment horizontal="center" vertical="center" wrapText="1"/>
    </xf>
    <xf numFmtId="49" fontId="21" fillId="0" borderId="16" xfId="13" applyNumberFormat="1" applyFont="1" applyBorder="1" applyAlignment="1">
      <alignment horizontal="center" vertical="center" wrapText="1"/>
    </xf>
    <xf numFmtId="183" fontId="21" fillId="0" borderId="16" xfId="13" applyNumberFormat="1" applyFont="1" applyBorder="1" applyAlignment="1">
      <alignment horizontal="center" vertical="center"/>
    </xf>
    <xf numFmtId="184" fontId="21" fillId="0" borderId="16" xfId="13" applyNumberFormat="1" applyFont="1" applyBorder="1" applyAlignment="1">
      <alignment horizontal="center" vertical="center"/>
    </xf>
    <xf numFmtId="0" fontId="11" fillId="0" borderId="4" xfId="13" applyFont="1" applyBorder="1" applyAlignment="1">
      <alignment horizontal="center" vertical="center" wrapText="1"/>
    </xf>
    <xf numFmtId="0" fontId="21" fillId="0" borderId="4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/>
    </xf>
    <xf numFmtId="178" fontId="11" fillId="0" borderId="4" xfId="13" applyNumberFormat="1" applyFont="1" applyBorder="1" applyAlignment="1">
      <alignment horizontal="center" vertical="center"/>
    </xf>
    <xf numFmtId="177" fontId="11" fillId="0" borderId="4" xfId="13" applyNumberFormat="1" applyFont="1" applyBorder="1" applyAlignment="1">
      <alignment horizontal="center" vertical="center"/>
    </xf>
    <xf numFmtId="187" fontId="11" fillId="0" borderId="4" xfId="13" applyNumberFormat="1" applyFont="1" applyBorder="1" applyAlignment="1">
      <alignment horizontal="center" vertical="center"/>
    </xf>
    <xf numFmtId="184" fontId="11" fillId="0" borderId="4" xfId="13" applyNumberFormat="1" applyFont="1" applyBorder="1" applyAlignment="1">
      <alignment horizontal="center" vertical="center"/>
    </xf>
    <xf numFmtId="49" fontId="11" fillId="0" borderId="4" xfId="13" applyNumberFormat="1" applyFont="1" applyBorder="1" applyAlignment="1">
      <alignment horizontal="center" vertical="center" wrapText="1"/>
    </xf>
    <xf numFmtId="183" fontId="11" fillId="0" borderId="4" xfId="13" applyNumberFormat="1" applyFont="1" applyBorder="1" applyAlignment="1">
      <alignment horizontal="center" vertical="center"/>
    </xf>
    <xf numFmtId="184" fontId="11" fillId="0" borderId="15" xfId="13" applyNumberFormat="1" applyFont="1" applyBorder="1" applyAlignment="1">
      <alignment horizontal="center" vertical="center"/>
    </xf>
    <xf numFmtId="186" fontId="11" fillId="0" borderId="7" xfId="13" applyNumberFormat="1" applyFont="1" applyBorder="1" applyAlignment="1">
      <alignment horizontal="center" vertical="center" wrapText="1"/>
    </xf>
    <xf numFmtId="188" fontId="11" fillId="0" borderId="7" xfId="13" applyNumberFormat="1" applyFont="1" applyBorder="1" applyAlignment="1">
      <alignment horizontal="center" vertical="center"/>
    </xf>
    <xf numFmtId="176" fontId="11" fillId="0" borderId="4" xfId="13" applyNumberFormat="1" applyFont="1" applyBorder="1" applyAlignment="1" applyProtection="1">
      <alignment horizontal="center" vertical="center" wrapText="1"/>
      <protection locked="0"/>
    </xf>
    <xf numFmtId="181" fontId="11" fillId="0" borderId="4" xfId="13" applyNumberFormat="1" applyFont="1" applyBorder="1" applyAlignment="1" applyProtection="1">
      <alignment horizontal="center" vertical="center" wrapText="1"/>
      <protection locked="0"/>
    </xf>
    <xf numFmtId="177" fontId="11" fillId="0" borderId="4" xfId="13" applyNumberFormat="1" applyFont="1" applyBorder="1" applyAlignment="1" applyProtection="1">
      <alignment horizontal="center" vertical="center" wrapText="1"/>
      <protection locked="0"/>
    </xf>
    <xf numFmtId="1" fontId="11" fillId="0" borderId="4" xfId="13" applyNumberFormat="1" applyFont="1" applyBorder="1" applyAlignment="1" applyProtection="1">
      <alignment vertical="center" wrapText="1"/>
      <protection locked="0"/>
    </xf>
    <xf numFmtId="177" fontId="21" fillId="0" borderId="4" xfId="13" applyNumberFormat="1" applyFont="1" applyBorder="1" applyAlignment="1" applyProtection="1">
      <alignment vertical="center" wrapText="1"/>
      <protection locked="0"/>
    </xf>
    <xf numFmtId="0" fontId="15" fillId="0" borderId="4" xfId="13" applyFont="1" applyBorder="1" applyAlignment="1" applyProtection="1">
      <alignment horizontal="center" vertical="center" wrapText="1"/>
      <protection locked="0"/>
    </xf>
    <xf numFmtId="0" fontId="11" fillId="0" borderId="4" xfId="13" applyFont="1" applyBorder="1" applyAlignment="1" applyProtection="1">
      <alignment horizontal="center" vertical="center" wrapText="1"/>
      <protection locked="0"/>
    </xf>
    <xf numFmtId="191" fontId="11" fillId="0" borderId="4" xfId="13" applyNumberFormat="1" applyFont="1" applyBorder="1" applyAlignment="1" applyProtection="1">
      <alignment horizontal="center" vertical="center" wrapText="1"/>
      <protection locked="0"/>
    </xf>
    <xf numFmtId="0" fontId="11" fillId="0" borderId="4" xfId="0" applyFont="1" applyBorder="1">
      <alignment vertical="center"/>
    </xf>
    <xf numFmtId="0" fontId="15" fillId="0" borderId="1" xfId="13" applyFont="1" applyBorder="1" applyAlignment="1" applyProtection="1">
      <alignment horizontal="center" vertical="center" wrapText="1"/>
      <protection locked="0"/>
    </xf>
    <xf numFmtId="192" fontId="11" fillId="0" borderId="4" xfId="13" applyNumberFormat="1" applyFont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2" fillId="0" borderId="0" xfId="13" applyFont="1" applyAlignment="1" applyProtection="1">
      <alignment vertical="center" wrapText="1"/>
      <protection locked="0"/>
    </xf>
    <xf numFmtId="0" fontId="12" fillId="0" borderId="0" xfId="13" applyFont="1" applyAlignment="1" applyProtection="1">
      <alignment horizontal="right" vertical="center" wrapText="1"/>
      <protection locked="0"/>
    </xf>
    <xf numFmtId="180" fontId="12" fillId="0" borderId="0" xfId="13" applyNumberFormat="1" applyFont="1" applyAlignment="1" applyProtection="1">
      <alignment horizontal="left" vertical="center" wrapText="1"/>
      <protection locked="0"/>
    </xf>
    <xf numFmtId="181" fontId="12" fillId="0" borderId="0" xfId="13" applyNumberFormat="1" applyFont="1" applyAlignment="1" applyProtection="1">
      <alignment vertical="center" wrapText="1"/>
      <protection locked="0"/>
    </xf>
    <xf numFmtId="177" fontId="12" fillId="0" borderId="0" xfId="13" applyNumberFormat="1" applyFont="1" applyAlignment="1" applyProtection="1">
      <alignment vertical="center" wrapText="1"/>
      <protection locked="0"/>
    </xf>
    <xf numFmtId="180" fontId="12" fillId="0" borderId="0" xfId="13" applyNumberFormat="1" applyFont="1" applyAlignment="1" applyProtection="1">
      <alignment horizontal="right" vertical="center" wrapText="1"/>
      <protection locked="0"/>
    </xf>
    <xf numFmtId="180" fontId="12" fillId="0" borderId="0" xfId="13" applyNumberFormat="1" applyFont="1" applyAlignment="1" applyProtection="1">
      <alignment vertical="center" wrapText="1"/>
      <protection locked="0"/>
    </xf>
    <xf numFmtId="178" fontId="12" fillId="0" borderId="0" xfId="13" applyNumberFormat="1" applyFont="1" applyAlignment="1" applyProtection="1">
      <alignment horizontal="center" vertical="center" wrapText="1"/>
      <protection locked="0"/>
    </xf>
    <xf numFmtId="177" fontId="12" fillId="0" borderId="0" xfId="13" applyNumberFormat="1" applyFont="1" applyAlignment="1" applyProtection="1">
      <alignment vertical="center" textRotation="255" wrapText="1"/>
      <protection locked="0"/>
    </xf>
    <xf numFmtId="180" fontId="12" fillId="0" borderId="0" xfId="13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91" fontId="12" fillId="0" borderId="0" xfId="13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9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9" fontId="2" fillId="0" borderId="0" xfId="0" applyNumberFormat="1" applyFont="1" applyAlignment="1">
      <alignment horizontal="right" vertical="center"/>
    </xf>
    <xf numFmtId="178" fontId="2" fillId="0" borderId="0" xfId="0" applyNumberFormat="1" applyFont="1">
      <alignment vertical="center"/>
    </xf>
    <xf numFmtId="180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89" fontId="11" fillId="0" borderId="16" xfId="13" applyNumberFormat="1" applyFont="1" applyBorder="1" applyAlignment="1">
      <alignment horizontal="center" vertical="center" wrapText="1"/>
    </xf>
    <xf numFmtId="184" fontId="11" fillId="0" borderId="16" xfId="13" applyNumberFormat="1" applyFont="1" applyBorder="1" applyAlignment="1">
      <alignment horizontal="center" vertical="center"/>
    </xf>
    <xf numFmtId="177" fontId="12" fillId="0" borderId="0" xfId="13" applyNumberFormat="1" applyFont="1">
      <alignment vertical="center"/>
    </xf>
    <xf numFmtId="177" fontId="11" fillId="0" borderId="0" xfId="13" applyNumberFormat="1" applyFont="1" applyAlignment="1">
      <alignment horizontal="center" vertical="center"/>
    </xf>
    <xf numFmtId="0" fontId="9" fillId="2" borderId="4" xfId="13" applyFont="1" applyFill="1" applyBorder="1" applyAlignment="1">
      <alignment horizontal="center" vertical="center"/>
    </xf>
    <xf numFmtId="0" fontId="15" fillId="0" borderId="0" xfId="14" applyFont="1" applyAlignment="1" applyProtection="1">
      <alignment horizontal="center" vertical="center"/>
      <protection locked="0"/>
    </xf>
    <xf numFmtId="41" fontId="11" fillId="0" borderId="4" xfId="11" applyFont="1" applyFill="1" applyBorder="1" applyAlignment="1">
      <alignment horizontal="center" vertical="center"/>
    </xf>
    <xf numFmtId="177" fontId="11" fillId="0" borderId="4" xfId="13" applyNumberFormat="1" applyFont="1" applyBorder="1" applyAlignment="1">
      <alignment horizontal="center" vertical="center" wrapText="1"/>
    </xf>
    <xf numFmtId="189" fontId="11" fillId="0" borderId="4" xfId="13" applyNumberFormat="1" applyFont="1" applyBorder="1" applyAlignment="1">
      <alignment horizontal="center" vertical="center" wrapText="1"/>
    </xf>
    <xf numFmtId="49" fontId="21" fillId="0" borderId="4" xfId="13" applyNumberFormat="1" applyFont="1" applyBorder="1" applyAlignment="1">
      <alignment horizontal="center" vertical="center" wrapText="1"/>
    </xf>
    <xf numFmtId="183" fontId="21" fillId="0" borderId="4" xfId="13" applyNumberFormat="1" applyFont="1" applyBorder="1" applyAlignment="1">
      <alignment horizontal="center" vertical="center"/>
    </xf>
    <xf numFmtId="184" fontId="21" fillId="0" borderId="4" xfId="13" applyNumberFormat="1" applyFont="1" applyBorder="1" applyAlignment="1">
      <alignment horizontal="center" vertical="center"/>
    </xf>
    <xf numFmtId="42" fontId="11" fillId="0" borderId="4" xfId="12" applyFont="1" applyFill="1" applyBorder="1" applyAlignment="1">
      <alignment horizontal="center" vertical="center" wrapText="1"/>
    </xf>
    <xf numFmtId="186" fontId="11" fillId="0" borderId="4" xfId="13" applyNumberFormat="1" applyFont="1" applyBorder="1" applyAlignment="1">
      <alignment horizontal="center" vertical="center" wrapText="1"/>
    </xf>
    <xf numFmtId="179" fontId="11" fillId="0" borderId="4" xfId="13" applyNumberFormat="1" applyFont="1" applyBorder="1" applyAlignment="1">
      <alignment horizontal="center" vertical="center"/>
    </xf>
    <xf numFmtId="178" fontId="11" fillId="0" borderId="4" xfId="13" applyNumberFormat="1" applyFont="1" applyBorder="1" applyAlignment="1">
      <alignment horizontal="center" vertical="center" wrapText="1"/>
    </xf>
    <xf numFmtId="188" fontId="30" fillId="0" borderId="4" xfId="13" applyNumberFormat="1" applyFont="1" applyBorder="1" applyAlignment="1">
      <alignment horizontal="center" vertical="center" wrapText="1"/>
    </xf>
    <xf numFmtId="181" fontId="11" fillId="0" borderId="4" xfId="13" applyNumberFormat="1" applyFont="1" applyBorder="1" applyAlignment="1">
      <alignment horizontal="center" vertical="center"/>
    </xf>
    <xf numFmtId="177" fontId="11" fillId="0" borderId="7" xfId="13" applyNumberFormat="1" applyFont="1" applyBorder="1" applyAlignment="1">
      <alignment horizontal="center" vertical="center"/>
    </xf>
    <xf numFmtId="188" fontId="11" fillId="0" borderId="4" xfId="13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9" fillId="0" borderId="4" xfId="0" applyFont="1" applyBorder="1">
      <alignment vertical="center"/>
    </xf>
    <xf numFmtId="0" fontId="21" fillId="0" borderId="15" xfId="13" applyFont="1" applyBorder="1" applyAlignment="1">
      <alignment horizontal="center" vertical="center" wrapText="1"/>
    </xf>
    <xf numFmtId="0" fontId="11" fillId="0" borderId="15" xfId="13" applyFont="1" applyBorder="1" applyAlignment="1">
      <alignment horizontal="center" vertical="center"/>
    </xf>
    <xf numFmtId="177" fontId="11" fillId="0" borderId="15" xfId="13" applyNumberFormat="1" applyFont="1" applyBorder="1" applyAlignment="1">
      <alignment horizontal="center" vertical="center"/>
    </xf>
    <xf numFmtId="41" fontId="11" fillId="0" borderId="15" xfId="11" applyFont="1" applyFill="1" applyBorder="1" applyAlignment="1">
      <alignment horizontal="center" vertical="center"/>
    </xf>
    <xf numFmtId="0" fontId="11" fillId="0" borderId="15" xfId="13" applyFont="1" applyBorder="1" applyAlignment="1">
      <alignment horizontal="center" vertical="center" wrapText="1"/>
    </xf>
    <xf numFmtId="49" fontId="21" fillId="0" borderId="15" xfId="13" applyNumberFormat="1" applyFont="1" applyBorder="1" applyAlignment="1">
      <alignment horizontal="center" vertical="center" wrapText="1"/>
    </xf>
    <xf numFmtId="183" fontId="21" fillId="0" borderId="15" xfId="13" applyNumberFormat="1" applyFont="1" applyBorder="1" applyAlignment="1">
      <alignment horizontal="center" vertical="center"/>
    </xf>
    <xf numFmtId="184" fontId="21" fillId="0" borderId="15" xfId="13" applyNumberFormat="1" applyFont="1" applyBorder="1" applyAlignment="1">
      <alignment horizontal="center" vertical="center"/>
    </xf>
    <xf numFmtId="1" fontId="11" fillId="0" borderId="4" xfId="13" applyNumberFormat="1" applyFont="1" applyBorder="1" applyAlignment="1" applyProtection="1">
      <alignment horizontal="center" vertical="center" wrapText="1"/>
      <protection locked="0"/>
    </xf>
    <xf numFmtId="0" fontId="31" fillId="0" borderId="4" xfId="1" applyFont="1" applyBorder="1" applyAlignment="1">
      <alignment horizontal="center" vertical="center"/>
    </xf>
    <xf numFmtId="178" fontId="11" fillId="0" borderId="4" xfId="13" applyNumberFormat="1" applyFont="1" applyBorder="1" applyAlignment="1" applyProtection="1">
      <alignment horizontal="center" vertical="center" wrapText="1"/>
      <protection locked="0"/>
    </xf>
    <xf numFmtId="178" fontId="31" fillId="0" borderId="4" xfId="1" applyNumberFormat="1" applyFont="1" applyBorder="1" applyAlignment="1">
      <alignment horizontal="center" vertical="center"/>
    </xf>
    <xf numFmtId="180" fontId="11" fillId="0" borderId="4" xfId="13" applyNumberFormat="1" applyFont="1" applyBorder="1" applyAlignment="1">
      <alignment horizontal="center" vertical="center"/>
    </xf>
    <xf numFmtId="177" fontId="21" fillId="0" borderId="4" xfId="13" applyNumberFormat="1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/>
    </xf>
    <xf numFmtId="178" fontId="21" fillId="0" borderId="4" xfId="13" applyNumberFormat="1" applyFont="1" applyBorder="1" applyAlignment="1" applyProtection="1">
      <alignment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178" fontId="11" fillId="0" borderId="15" xfId="13" applyNumberFormat="1" applyFont="1" applyBorder="1" applyAlignment="1">
      <alignment horizontal="center" vertical="center" wrapText="1"/>
    </xf>
    <xf numFmtId="0" fontId="21" fillId="0" borderId="4" xfId="13" applyFont="1" applyBorder="1" applyAlignment="1" applyProtection="1">
      <alignment horizontal="center" vertical="center" wrapText="1"/>
      <protection locked="0"/>
    </xf>
    <xf numFmtId="0" fontId="15" fillId="2" borderId="4" xfId="13" applyFont="1" applyFill="1" applyBorder="1" applyAlignment="1" applyProtection="1">
      <alignment horizontal="center" vertical="center" wrapText="1"/>
      <protection locked="0"/>
    </xf>
    <xf numFmtId="176" fontId="11" fillId="2" borderId="4" xfId="13" applyNumberFormat="1" applyFont="1" applyFill="1" applyBorder="1" applyAlignment="1" applyProtection="1">
      <alignment horizontal="center" vertical="center" wrapText="1"/>
      <protection locked="0"/>
    </xf>
    <xf numFmtId="0" fontId="11" fillId="2" borderId="4" xfId="13" applyFont="1" applyFill="1" applyBorder="1" applyAlignment="1" applyProtection="1">
      <alignment horizontal="center" vertical="center" wrapText="1"/>
      <protection locked="0"/>
    </xf>
    <xf numFmtId="1" fontId="11" fillId="2" borderId="4" xfId="13" applyNumberFormat="1" applyFont="1" applyFill="1" applyBorder="1" applyAlignment="1" applyProtection="1">
      <alignment vertical="center" wrapText="1"/>
      <protection locked="0"/>
    </xf>
    <xf numFmtId="180" fontId="11" fillId="2" borderId="4" xfId="13" applyNumberFormat="1" applyFont="1" applyFill="1" applyBorder="1" applyAlignment="1">
      <alignment horizontal="center" vertical="center"/>
    </xf>
    <xf numFmtId="0" fontId="11" fillId="2" borderId="4" xfId="13" applyFont="1" applyFill="1" applyBorder="1" applyAlignment="1">
      <alignment horizontal="center" vertical="center"/>
    </xf>
    <xf numFmtId="181" fontId="11" fillId="2" borderId="4" xfId="13" applyNumberFormat="1" applyFont="1" applyFill="1" applyBorder="1" applyAlignment="1" applyProtection="1">
      <alignment horizontal="center" vertical="center" wrapText="1"/>
      <protection locked="0"/>
    </xf>
    <xf numFmtId="177" fontId="21" fillId="2" borderId="4" xfId="13" applyNumberFormat="1" applyFont="1" applyFill="1" applyBorder="1" applyAlignment="1" applyProtection="1">
      <alignment vertical="center" wrapText="1"/>
      <protection locked="0"/>
    </xf>
    <xf numFmtId="177" fontId="11" fillId="2" borderId="4" xfId="13" applyNumberFormat="1" applyFont="1" applyFill="1" applyBorder="1" applyAlignment="1" applyProtection="1">
      <alignment horizontal="center" vertical="center" wrapText="1"/>
      <protection locked="0"/>
    </xf>
    <xf numFmtId="178" fontId="21" fillId="2" borderId="4" xfId="13" applyNumberFormat="1" applyFont="1" applyFill="1" applyBorder="1" applyAlignment="1" applyProtection="1">
      <alignment vertical="center" wrapText="1"/>
      <protection locked="0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191" fontId="11" fillId="2" borderId="4" xfId="13" applyNumberFormat="1" applyFont="1" applyFill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>
      <alignment vertical="center"/>
    </xf>
    <xf numFmtId="0" fontId="19" fillId="2" borderId="0" xfId="0" applyFont="1" applyFill="1">
      <alignment vertical="center"/>
    </xf>
    <xf numFmtId="0" fontId="12" fillId="0" borderId="0" xfId="13" applyFont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4" xfId="13" applyFont="1" applyBorder="1" applyAlignment="1">
      <alignment horizontal="center" vertical="center"/>
    </xf>
    <xf numFmtId="176" fontId="21" fillId="0" borderId="4" xfId="13" applyNumberFormat="1" applyFont="1" applyBorder="1" applyAlignment="1">
      <alignment horizontal="center" vertical="center"/>
    </xf>
    <xf numFmtId="176" fontId="11" fillId="0" borderId="4" xfId="13" applyNumberFormat="1" applyFont="1" applyBorder="1" applyAlignment="1">
      <alignment horizontal="center" vertical="center"/>
    </xf>
    <xf numFmtId="176" fontId="11" fillId="0" borderId="12" xfId="13" applyNumberFormat="1" applyFont="1" applyBorder="1" applyAlignment="1">
      <alignment horizontal="center" vertical="center"/>
    </xf>
    <xf numFmtId="177" fontId="17" fillId="0" borderId="0" xfId="13" applyNumberFormat="1" applyFont="1" applyAlignment="1">
      <alignment horizontal="center" vertical="center" wrapText="1"/>
    </xf>
    <xf numFmtId="176" fontId="11" fillId="0" borderId="16" xfId="13" applyNumberFormat="1" applyFont="1" applyBorder="1" applyAlignment="1">
      <alignment horizontal="center" vertical="center"/>
    </xf>
    <xf numFmtId="176" fontId="11" fillId="0" borderId="15" xfId="13" applyNumberFormat="1" applyFont="1" applyBorder="1" applyAlignment="1">
      <alignment horizontal="center" vertical="center"/>
    </xf>
    <xf numFmtId="0" fontId="15" fillId="0" borderId="4" xfId="14" applyFont="1" applyBorder="1" applyAlignment="1" applyProtection="1">
      <alignment horizontal="center" vertical="center"/>
      <protection locked="0"/>
    </xf>
    <xf numFmtId="177" fontId="9" fillId="0" borderId="4" xfId="13" applyNumberFormat="1" applyFont="1" applyBorder="1" applyAlignment="1">
      <alignment horizontal="center" vertical="center"/>
    </xf>
    <xf numFmtId="0" fontId="13" fillId="0" borderId="0" xfId="13" applyFont="1" applyAlignment="1">
      <alignment horizontal="center" vertical="center"/>
    </xf>
    <xf numFmtId="177" fontId="15" fillId="0" borderId="6" xfId="14" applyNumberFormat="1" applyFont="1" applyBorder="1" applyAlignment="1" applyProtection="1">
      <alignment horizontal="center" vertical="center"/>
      <protection locked="0"/>
    </xf>
    <xf numFmtId="176" fontId="11" fillId="6" borderId="4" xfId="13" applyNumberFormat="1" applyFont="1" applyFill="1" applyBorder="1" applyAlignment="1">
      <alignment horizontal="center" vertical="center"/>
    </xf>
    <xf numFmtId="0" fontId="21" fillId="6" borderId="4" xfId="13" applyFont="1" applyFill="1" applyBorder="1" applyAlignment="1">
      <alignment horizontal="center" vertical="center" wrapText="1"/>
    </xf>
    <xf numFmtId="181" fontId="11" fillId="6" borderId="4" xfId="13" applyNumberFormat="1" applyFont="1" applyFill="1" applyBorder="1" applyAlignment="1">
      <alignment horizontal="center" vertical="center"/>
    </xf>
    <xf numFmtId="0" fontId="11" fillId="6" borderId="4" xfId="13" applyFont="1" applyFill="1" applyBorder="1" applyAlignment="1">
      <alignment horizontal="center" vertical="center"/>
    </xf>
    <xf numFmtId="178" fontId="11" fillId="6" borderId="4" xfId="13" applyNumberFormat="1" applyFont="1" applyFill="1" applyBorder="1" applyAlignment="1">
      <alignment horizontal="center" vertical="center"/>
    </xf>
    <xf numFmtId="177" fontId="11" fillId="6" borderId="4" xfId="13" applyNumberFormat="1" applyFont="1" applyFill="1" applyBorder="1" applyAlignment="1">
      <alignment horizontal="center" vertical="center"/>
    </xf>
    <xf numFmtId="187" fontId="11" fillId="6" borderId="4" xfId="13" applyNumberFormat="1" applyFont="1" applyFill="1" applyBorder="1" applyAlignment="1">
      <alignment horizontal="center" vertical="center"/>
    </xf>
    <xf numFmtId="184" fontId="11" fillId="6" borderId="4" xfId="13" applyNumberFormat="1" applyFont="1" applyFill="1" applyBorder="1" applyAlignment="1">
      <alignment horizontal="center" vertical="center"/>
    </xf>
    <xf numFmtId="49" fontId="11" fillId="6" borderId="4" xfId="13" applyNumberFormat="1" applyFont="1" applyFill="1" applyBorder="1" applyAlignment="1">
      <alignment horizontal="center" vertical="center" wrapText="1"/>
    </xf>
    <xf numFmtId="178" fontId="11" fillId="6" borderId="4" xfId="13" applyNumberFormat="1" applyFont="1" applyFill="1" applyBorder="1" applyAlignment="1">
      <alignment horizontal="center" vertical="center" wrapText="1"/>
    </xf>
    <xf numFmtId="188" fontId="11" fillId="6" borderId="4" xfId="13" applyNumberFormat="1" applyFont="1" applyFill="1" applyBorder="1" applyAlignment="1">
      <alignment horizontal="center" vertical="center"/>
    </xf>
    <xf numFmtId="186" fontId="11" fillId="6" borderId="4" xfId="13" applyNumberFormat="1" applyFont="1" applyFill="1" applyBorder="1" applyAlignment="1">
      <alignment horizontal="center" vertical="center" wrapText="1"/>
    </xf>
    <xf numFmtId="0" fontId="19" fillId="6" borderId="4" xfId="0" applyFont="1" applyFill="1" applyBorder="1">
      <alignment vertical="center"/>
    </xf>
    <xf numFmtId="176" fontId="11" fillId="6" borderId="15" xfId="13" applyNumberFormat="1" applyFont="1" applyFill="1" applyBorder="1" applyAlignment="1">
      <alignment horizontal="center" vertical="center"/>
    </xf>
    <xf numFmtId="184" fontId="11" fillId="6" borderId="15" xfId="13" applyNumberFormat="1" applyFont="1" applyFill="1" applyBorder="1" applyAlignment="1">
      <alignment horizontal="center" vertical="center"/>
    </xf>
    <xf numFmtId="0" fontId="19" fillId="6" borderId="0" xfId="0" applyFont="1" applyFill="1">
      <alignment vertical="center"/>
    </xf>
    <xf numFmtId="0" fontId="11" fillId="6" borderId="4" xfId="13" applyFont="1" applyFill="1" applyBorder="1" applyAlignment="1">
      <alignment horizontal="center" vertical="center" wrapText="1"/>
    </xf>
    <xf numFmtId="183" fontId="11" fillId="6" borderId="4" xfId="13" applyNumberFormat="1" applyFont="1" applyFill="1" applyBorder="1" applyAlignment="1">
      <alignment horizontal="center" vertical="center"/>
    </xf>
    <xf numFmtId="179" fontId="11" fillId="6" borderId="4" xfId="13" applyNumberFormat="1" applyFont="1" applyFill="1" applyBorder="1" applyAlignment="1">
      <alignment horizontal="center" vertical="center"/>
    </xf>
    <xf numFmtId="41" fontId="11" fillId="6" borderId="4" xfId="11" applyFont="1" applyFill="1" applyBorder="1" applyAlignment="1">
      <alignment horizontal="center" vertical="center"/>
    </xf>
    <xf numFmtId="49" fontId="21" fillId="6" borderId="4" xfId="13" applyNumberFormat="1" applyFont="1" applyFill="1" applyBorder="1" applyAlignment="1">
      <alignment horizontal="center" vertical="center" wrapText="1"/>
    </xf>
    <xf numFmtId="183" fontId="21" fillId="6" borderId="4" xfId="13" applyNumberFormat="1" applyFont="1" applyFill="1" applyBorder="1" applyAlignment="1">
      <alignment horizontal="center" vertical="center"/>
    </xf>
    <xf numFmtId="184" fontId="21" fillId="6" borderId="4" xfId="13" applyNumberFormat="1" applyFont="1" applyFill="1" applyBorder="1" applyAlignment="1">
      <alignment horizontal="center" vertical="center"/>
    </xf>
    <xf numFmtId="42" fontId="11" fillId="6" borderId="4" xfId="12" applyFont="1" applyFill="1" applyBorder="1" applyAlignment="1">
      <alignment horizontal="center" vertical="center" wrapText="1"/>
    </xf>
    <xf numFmtId="0" fontId="11" fillId="6" borderId="15" xfId="13" applyFont="1" applyFill="1" applyBorder="1" applyAlignment="1">
      <alignment horizontal="center" vertical="center" wrapText="1"/>
    </xf>
    <xf numFmtId="42" fontId="11" fillId="0" borderId="8" xfId="12" applyFont="1" applyFill="1" applyBorder="1" applyAlignment="1">
      <alignment horizontal="center" vertical="center" wrapText="1"/>
    </xf>
    <xf numFmtId="186" fontId="11" fillId="0" borderId="8" xfId="13" applyNumberFormat="1" applyFont="1" applyBorder="1" applyAlignment="1">
      <alignment horizontal="center" vertical="center" wrapText="1"/>
    </xf>
    <xf numFmtId="0" fontId="21" fillId="6" borderId="15" xfId="13" applyFont="1" applyFill="1" applyBorder="1" applyAlignment="1">
      <alignment horizontal="center" vertical="center" wrapText="1"/>
    </xf>
    <xf numFmtId="0" fontId="11" fillId="6" borderId="15" xfId="13" applyFont="1" applyFill="1" applyBorder="1" applyAlignment="1">
      <alignment horizontal="center" vertical="center"/>
    </xf>
    <xf numFmtId="177" fontId="11" fillId="6" borderId="15" xfId="13" applyNumberFormat="1" applyFont="1" applyFill="1" applyBorder="1" applyAlignment="1">
      <alignment horizontal="center" vertical="center"/>
    </xf>
    <xf numFmtId="41" fontId="11" fillId="6" borderId="15" xfId="11" applyFont="1" applyFill="1" applyBorder="1" applyAlignment="1">
      <alignment horizontal="center" vertical="center"/>
    </xf>
    <xf numFmtId="178" fontId="11" fillId="6" borderId="15" xfId="13" applyNumberFormat="1" applyFont="1" applyFill="1" applyBorder="1" applyAlignment="1">
      <alignment horizontal="center" vertical="center" wrapText="1"/>
    </xf>
    <xf numFmtId="49" fontId="21" fillId="6" borderId="15" xfId="13" applyNumberFormat="1" applyFont="1" applyFill="1" applyBorder="1" applyAlignment="1">
      <alignment horizontal="center" vertical="center" wrapText="1"/>
    </xf>
    <xf numFmtId="183" fontId="21" fillId="6" borderId="15" xfId="13" applyNumberFormat="1" applyFont="1" applyFill="1" applyBorder="1" applyAlignment="1">
      <alignment horizontal="center" vertical="center"/>
    </xf>
    <xf numFmtId="184" fontId="21" fillId="6" borderId="15" xfId="13" applyNumberFormat="1" applyFont="1" applyFill="1" applyBorder="1" applyAlignment="1">
      <alignment horizontal="center" vertical="center"/>
    </xf>
    <xf numFmtId="42" fontId="11" fillId="6" borderId="8" xfId="12" applyFont="1" applyFill="1" applyBorder="1" applyAlignment="1">
      <alignment horizontal="center" vertical="center" wrapText="1"/>
    </xf>
    <xf numFmtId="186" fontId="11" fillId="6" borderId="8" xfId="13" applyNumberFormat="1" applyFont="1" applyFill="1" applyBorder="1" applyAlignment="1">
      <alignment horizontal="center" vertical="center" wrapText="1"/>
    </xf>
    <xf numFmtId="42" fontId="30" fillId="0" borderId="4" xfId="12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188" fontId="11" fillId="6" borderId="7" xfId="13" applyNumberFormat="1" applyFont="1" applyFill="1" applyBorder="1" applyAlignment="1">
      <alignment horizontal="center" vertical="center"/>
    </xf>
    <xf numFmtId="186" fontId="11" fillId="6" borderId="7" xfId="13" applyNumberFormat="1" applyFont="1" applyFill="1" applyBorder="1" applyAlignment="1">
      <alignment horizontal="center" vertical="center" wrapText="1"/>
    </xf>
    <xf numFmtId="177" fontId="11" fillId="6" borderId="7" xfId="13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88" fontId="30" fillId="6" borderId="4" xfId="13" applyNumberFormat="1" applyFont="1" applyFill="1" applyBorder="1" applyAlignment="1">
      <alignment horizontal="center" vertical="center" wrapText="1"/>
    </xf>
    <xf numFmtId="189" fontId="11" fillId="6" borderId="4" xfId="13" applyNumberFormat="1" applyFont="1" applyFill="1" applyBorder="1" applyAlignment="1">
      <alignment horizontal="center" vertical="center" wrapText="1"/>
    </xf>
    <xf numFmtId="0" fontId="30" fillId="0" borderId="4" xfId="13" applyFont="1" applyBorder="1" applyAlignment="1">
      <alignment horizontal="center" vertical="center" wrapText="1"/>
    </xf>
    <xf numFmtId="42" fontId="30" fillId="6" borderId="4" xfId="12" applyFont="1" applyFill="1" applyBorder="1" applyAlignment="1">
      <alignment horizontal="center" vertical="center" wrapText="1"/>
    </xf>
    <xf numFmtId="176" fontId="11" fillId="2" borderId="4" xfId="13" applyNumberFormat="1" applyFont="1" applyFill="1" applyBorder="1" applyAlignment="1">
      <alignment horizontal="center" vertical="center"/>
    </xf>
    <xf numFmtId="0" fontId="21" fillId="2" borderId="4" xfId="13" applyFont="1" applyFill="1" applyBorder="1" applyAlignment="1">
      <alignment horizontal="center" vertical="center" wrapText="1"/>
    </xf>
    <xf numFmtId="179" fontId="11" fillId="2" borderId="4" xfId="13" applyNumberFormat="1" applyFont="1" applyFill="1" applyBorder="1" applyAlignment="1">
      <alignment horizontal="center" vertical="center"/>
    </xf>
    <xf numFmtId="178" fontId="11" fillId="2" borderId="4" xfId="13" applyNumberFormat="1" applyFont="1" applyFill="1" applyBorder="1" applyAlignment="1">
      <alignment horizontal="center" vertical="center"/>
    </xf>
    <xf numFmtId="177" fontId="11" fillId="2" borderId="4" xfId="13" applyNumberFormat="1" applyFont="1" applyFill="1" applyBorder="1" applyAlignment="1">
      <alignment horizontal="center" vertical="center"/>
    </xf>
    <xf numFmtId="187" fontId="11" fillId="2" borderId="4" xfId="13" applyNumberFormat="1" applyFont="1" applyFill="1" applyBorder="1" applyAlignment="1">
      <alignment horizontal="center" vertical="center"/>
    </xf>
    <xf numFmtId="184" fontId="11" fillId="2" borderId="4" xfId="13" applyNumberFormat="1" applyFont="1" applyFill="1" applyBorder="1" applyAlignment="1">
      <alignment horizontal="center" vertical="center"/>
    </xf>
    <xf numFmtId="49" fontId="11" fillId="2" borderId="4" xfId="13" applyNumberFormat="1" applyFont="1" applyFill="1" applyBorder="1" applyAlignment="1">
      <alignment horizontal="center" vertical="center" wrapText="1"/>
    </xf>
    <xf numFmtId="178" fontId="11" fillId="2" borderId="4" xfId="13" applyNumberFormat="1" applyFont="1" applyFill="1" applyBorder="1" applyAlignment="1">
      <alignment horizontal="center" vertical="center" wrapText="1"/>
    </xf>
    <xf numFmtId="188" fontId="30" fillId="2" borderId="4" xfId="13" applyNumberFormat="1" applyFont="1" applyFill="1" applyBorder="1" applyAlignment="1">
      <alignment horizontal="center" vertical="center" wrapText="1"/>
    </xf>
    <xf numFmtId="186" fontId="11" fillId="2" borderId="4" xfId="13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1" fillId="2" borderId="15" xfId="13" applyFont="1" applyFill="1" applyBorder="1" applyAlignment="1">
      <alignment horizontal="center" vertical="center" wrapText="1"/>
    </xf>
    <xf numFmtId="41" fontId="11" fillId="2" borderId="4" xfId="11" applyFont="1" applyFill="1" applyBorder="1" applyAlignment="1">
      <alignment horizontal="center" vertical="center"/>
    </xf>
    <xf numFmtId="189" fontId="11" fillId="2" borderId="4" xfId="13" applyNumberFormat="1" applyFont="1" applyFill="1" applyBorder="1" applyAlignment="1">
      <alignment horizontal="center" vertical="center" wrapText="1"/>
    </xf>
    <xf numFmtId="0" fontId="11" fillId="2" borderId="4" xfId="13" applyFont="1" applyFill="1" applyBorder="1" applyAlignment="1">
      <alignment horizontal="center" vertical="center" wrapText="1"/>
    </xf>
    <xf numFmtId="49" fontId="21" fillId="2" borderId="4" xfId="13" applyNumberFormat="1" applyFont="1" applyFill="1" applyBorder="1" applyAlignment="1">
      <alignment horizontal="center" vertical="center" wrapText="1"/>
    </xf>
    <xf numFmtId="183" fontId="21" fillId="2" borderId="4" xfId="13" applyNumberFormat="1" applyFont="1" applyFill="1" applyBorder="1" applyAlignment="1">
      <alignment horizontal="center" vertical="center"/>
    </xf>
    <xf numFmtId="184" fontId="21" fillId="2" borderId="4" xfId="13" applyNumberFormat="1" applyFont="1" applyFill="1" applyBorder="1" applyAlignment="1">
      <alignment horizontal="center" vertical="center"/>
    </xf>
    <xf numFmtId="42" fontId="11" fillId="2" borderId="4" xfId="12" applyFont="1" applyFill="1" applyBorder="1" applyAlignment="1">
      <alignment horizontal="center" vertical="center" wrapText="1"/>
    </xf>
    <xf numFmtId="188" fontId="11" fillId="2" borderId="4" xfId="13" applyNumberFormat="1" applyFont="1" applyFill="1" applyBorder="1" applyAlignment="1">
      <alignment horizontal="center" vertical="center"/>
    </xf>
    <xf numFmtId="0" fontId="19" fillId="2" borderId="4" xfId="0" applyFont="1" applyFill="1" applyBorder="1">
      <alignment vertical="center"/>
    </xf>
    <xf numFmtId="183" fontId="11" fillId="2" borderId="4" xfId="13" applyNumberFormat="1" applyFont="1" applyFill="1" applyBorder="1" applyAlignment="1">
      <alignment horizontal="center" vertical="center"/>
    </xf>
    <xf numFmtId="181" fontId="11" fillId="2" borderId="4" xfId="13" applyNumberFormat="1" applyFont="1" applyFill="1" applyBorder="1" applyAlignment="1">
      <alignment horizontal="center" vertical="center"/>
    </xf>
    <xf numFmtId="176" fontId="11" fillId="2" borderId="15" xfId="13" applyNumberFormat="1" applyFont="1" applyFill="1" applyBorder="1" applyAlignment="1">
      <alignment horizontal="center" vertical="center"/>
    </xf>
    <xf numFmtId="0" fontId="21" fillId="2" borderId="15" xfId="13" applyFont="1" applyFill="1" applyBorder="1" applyAlignment="1">
      <alignment horizontal="center" vertical="center" wrapText="1"/>
    </xf>
    <xf numFmtId="0" fontId="11" fillId="2" borderId="15" xfId="13" applyFont="1" applyFill="1" applyBorder="1" applyAlignment="1">
      <alignment horizontal="center" vertical="center"/>
    </xf>
    <xf numFmtId="177" fontId="11" fillId="2" borderId="15" xfId="13" applyNumberFormat="1" applyFont="1" applyFill="1" applyBorder="1" applyAlignment="1">
      <alignment horizontal="center" vertical="center"/>
    </xf>
    <xf numFmtId="41" fontId="11" fillId="2" borderId="15" xfId="11" applyFont="1" applyFill="1" applyBorder="1" applyAlignment="1">
      <alignment horizontal="center" vertical="center"/>
    </xf>
    <xf numFmtId="178" fontId="11" fillId="2" borderId="15" xfId="13" applyNumberFormat="1" applyFont="1" applyFill="1" applyBorder="1" applyAlignment="1">
      <alignment horizontal="center" vertical="center" wrapText="1"/>
    </xf>
    <xf numFmtId="184" fontId="11" fillId="2" borderId="15" xfId="13" applyNumberFormat="1" applyFont="1" applyFill="1" applyBorder="1" applyAlignment="1">
      <alignment horizontal="center" vertical="center"/>
    </xf>
    <xf numFmtId="49" fontId="21" fillId="2" borderId="15" xfId="13" applyNumberFormat="1" applyFont="1" applyFill="1" applyBorder="1" applyAlignment="1">
      <alignment horizontal="center" vertical="center" wrapText="1"/>
    </xf>
    <xf numFmtId="183" fontId="21" fillId="2" borderId="15" xfId="13" applyNumberFormat="1" applyFont="1" applyFill="1" applyBorder="1" applyAlignment="1">
      <alignment horizontal="center" vertical="center"/>
    </xf>
    <xf numFmtId="184" fontId="21" fillId="2" borderId="15" xfId="13" applyNumberFormat="1" applyFont="1" applyFill="1" applyBorder="1" applyAlignment="1">
      <alignment horizontal="center" vertical="center"/>
    </xf>
    <xf numFmtId="42" fontId="11" fillId="2" borderId="8" xfId="12" applyFont="1" applyFill="1" applyBorder="1" applyAlignment="1">
      <alignment horizontal="center" vertical="center" wrapText="1"/>
    </xf>
    <xf numFmtId="186" fontId="11" fillId="2" borderId="8" xfId="13" applyNumberFormat="1" applyFont="1" applyFill="1" applyBorder="1" applyAlignment="1">
      <alignment horizontal="center" vertical="center" wrapText="1"/>
    </xf>
    <xf numFmtId="1" fontId="11" fillId="2" borderId="4" xfId="13" applyNumberFormat="1" applyFont="1" applyFill="1" applyBorder="1" applyAlignment="1" applyProtection="1">
      <alignment horizontal="center" vertical="center" wrapText="1"/>
      <protection locked="0"/>
    </xf>
    <xf numFmtId="0" fontId="31" fillId="2" borderId="4" xfId="1" applyFont="1" applyFill="1" applyBorder="1" applyAlignment="1">
      <alignment horizontal="center" vertical="center"/>
    </xf>
    <xf numFmtId="178" fontId="11" fillId="2" borderId="4" xfId="13" applyNumberFormat="1" applyFont="1" applyFill="1" applyBorder="1" applyAlignment="1" applyProtection="1">
      <alignment horizontal="center" vertical="center" wrapText="1"/>
      <protection locked="0"/>
    </xf>
    <xf numFmtId="177" fontId="11" fillId="2" borderId="4" xfId="13" applyNumberFormat="1" applyFont="1" applyFill="1" applyBorder="1" applyAlignment="1">
      <alignment horizontal="center" vertical="center" wrapText="1"/>
    </xf>
    <xf numFmtId="178" fontId="31" fillId="2" borderId="4" xfId="1" applyNumberFormat="1" applyFont="1" applyFill="1" applyBorder="1" applyAlignment="1">
      <alignment horizontal="center" vertical="center"/>
    </xf>
    <xf numFmtId="177" fontId="21" fillId="2" borderId="4" xfId="13" applyNumberFormat="1" applyFont="1" applyFill="1" applyBorder="1" applyAlignment="1">
      <alignment horizontal="center" vertical="center" wrapText="1"/>
    </xf>
    <xf numFmtId="178" fontId="11" fillId="2" borderId="4" xfId="0" applyNumberFormat="1" applyFont="1" applyFill="1" applyBorder="1" applyAlignment="1">
      <alignment horizontal="center" vertical="center"/>
    </xf>
    <xf numFmtId="0" fontId="12" fillId="2" borderId="5" xfId="13" applyFont="1" applyFill="1" applyBorder="1" applyAlignment="1">
      <alignment horizontal="center" vertical="center"/>
    </xf>
    <xf numFmtId="0" fontId="15" fillId="2" borderId="1" xfId="13" applyFont="1" applyFill="1" applyBorder="1" applyAlignment="1" applyProtection="1">
      <alignment horizontal="center" vertical="center" wrapText="1"/>
      <protection locked="0"/>
    </xf>
    <xf numFmtId="0" fontId="12" fillId="2" borderId="0" xfId="13" applyFont="1" applyFill="1" applyAlignment="1" applyProtection="1">
      <alignment horizontal="center" vertical="center" wrapText="1"/>
      <protection locked="0"/>
    </xf>
    <xf numFmtId="0" fontId="2" fillId="2" borderId="0" xfId="0" applyFont="1" applyFill="1">
      <alignment vertical="center"/>
    </xf>
    <xf numFmtId="0" fontId="9" fillId="2" borderId="0" xfId="0" applyFont="1" applyFill="1" applyAlignment="1">
      <alignment horizontal="center" vertical="center" wrapText="1"/>
    </xf>
    <xf numFmtId="0" fontId="11" fillId="6" borderId="4" xfId="0" applyFont="1" applyFill="1" applyBorder="1" applyAlignment="1" applyProtection="1">
      <alignment vertical="center" wrapText="1"/>
      <protection locked="0"/>
    </xf>
    <xf numFmtId="191" fontId="12" fillId="0" borderId="4" xfId="13" applyNumberFormat="1" applyFont="1" applyBorder="1" applyAlignment="1" applyProtection="1">
      <alignment horizontal="center" vertical="center" wrapText="1"/>
      <protection locked="0"/>
    </xf>
    <xf numFmtId="179" fontId="18" fillId="0" borderId="0" xfId="13" applyNumberFormat="1" applyFont="1" applyAlignment="1">
      <alignment horizontal="right" vertical="center" wrapText="1"/>
    </xf>
    <xf numFmtId="179" fontId="18" fillId="0" borderId="0" xfId="13" applyNumberFormat="1" applyFont="1">
      <alignment vertical="center"/>
    </xf>
    <xf numFmtId="179" fontId="18" fillId="0" borderId="5" xfId="13" applyNumberFormat="1" applyFont="1" applyBorder="1">
      <alignment vertical="center"/>
    </xf>
    <xf numFmtId="178" fontId="11" fillId="0" borderId="16" xfId="13" applyNumberFormat="1" applyFont="1" applyBorder="1" applyAlignment="1">
      <alignment horizontal="center" vertical="center" wrapText="1"/>
    </xf>
    <xf numFmtId="184" fontId="11" fillId="0" borderId="4" xfId="13" applyNumberFormat="1" applyFont="1" applyBorder="1" applyAlignment="1">
      <alignment horizontal="center" vertical="center" wrapText="1"/>
    </xf>
    <xf numFmtId="179" fontId="33" fillId="0" borderId="0" xfId="13" applyNumberFormat="1" applyFont="1">
      <alignment vertical="center"/>
    </xf>
    <xf numFmtId="0" fontId="11" fillId="0" borderId="8" xfId="13" applyFont="1" applyBorder="1" applyAlignment="1">
      <alignment horizontal="center" vertical="center" wrapText="1"/>
    </xf>
    <xf numFmtId="0" fontId="11" fillId="0" borderId="27" xfId="13" applyFont="1" applyBorder="1" applyAlignment="1">
      <alignment horizontal="center" vertical="center" wrapText="1"/>
    </xf>
    <xf numFmtId="193" fontId="11" fillId="0" borderId="4" xfId="13" applyNumberFormat="1" applyFont="1" applyBorder="1" applyAlignment="1">
      <alignment horizontal="center" vertical="center"/>
    </xf>
    <xf numFmtId="177" fontId="11" fillId="6" borderId="4" xfId="13" applyNumberFormat="1" applyFont="1" applyFill="1" applyBorder="1" applyAlignment="1">
      <alignment horizontal="center" vertical="center" wrapText="1"/>
    </xf>
    <xf numFmtId="0" fontId="30" fillId="6" borderId="4" xfId="13" applyFont="1" applyFill="1" applyBorder="1" applyAlignment="1">
      <alignment horizontal="center" vertical="center" wrapText="1"/>
    </xf>
    <xf numFmtId="185" fontId="11" fillId="2" borderId="7" xfId="13" applyNumberFormat="1" applyFont="1" applyFill="1" applyBorder="1" applyAlignment="1">
      <alignment horizontal="center" vertical="center" wrapText="1" shrinkToFit="1"/>
    </xf>
    <xf numFmtId="0" fontId="30" fillId="0" borderId="7" xfId="13" applyFont="1" applyBorder="1" applyAlignment="1">
      <alignment horizontal="center" vertical="center" wrapText="1"/>
    </xf>
    <xf numFmtId="177" fontId="11" fillId="2" borderId="7" xfId="13" applyNumberFormat="1" applyFont="1" applyFill="1" applyBorder="1" applyAlignment="1">
      <alignment horizontal="center" vertical="center" wrapText="1"/>
    </xf>
    <xf numFmtId="193" fontId="11" fillId="6" borderId="4" xfId="13" applyNumberFormat="1" applyFont="1" applyFill="1" applyBorder="1" applyAlignment="1">
      <alignment horizontal="center" vertical="center"/>
    </xf>
    <xf numFmtId="194" fontId="11" fillId="0" borderId="16" xfId="13" applyNumberFormat="1" applyFont="1" applyBorder="1" applyAlignment="1">
      <alignment horizontal="center" vertical="center"/>
    </xf>
    <xf numFmtId="177" fontId="11" fillId="2" borderId="15" xfId="13" applyNumberFormat="1" applyFont="1" applyFill="1" applyBorder="1" applyAlignment="1" applyProtection="1">
      <alignment horizontal="center" vertical="center" wrapText="1"/>
      <protection locked="0"/>
    </xf>
    <xf numFmtId="177" fontId="11" fillId="6" borderId="8" xfId="13" applyNumberFormat="1" applyFont="1" applyFill="1" applyBorder="1" applyAlignment="1">
      <alignment vertical="center" wrapText="1"/>
    </xf>
    <xf numFmtId="193" fontId="11" fillId="2" borderId="4" xfId="13" applyNumberFormat="1" applyFont="1" applyFill="1" applyBorder="1" applyAlignment="1">
      <alignment horizontal="center" vertical="center"/>
    </xf>
    <xf numFmtId="178" fontId="11" fillId="4" borderId="4" xfId="13" applyNumberFormat="1" applyFont="1" applyFill="1" applyBorder="1" applyAlignment="1">
      <alignment horizontal="center" vertical="center"/>
    </xf>
    <xf numFmtId="178" fontId="11" fillId="4" borderId="4" xfId="13" applyNumberFormat="1" applyFont="1" applyFill="1" applyBorder="1" applyAlignment="1">
      <alignment horizontal="center" vertical="center" wrapText="1"/>
    </xf>
    <xf numFmtId="184" fontId="11" fillId="0" borderId="16" xfId="13" applyNumberFormat="1" applyFont="1" applyBorder="1" applyAlignment="1">
      <alignment horizontal="center" vertical="center" wrapText="1"/>
    </xf>
    <xf numFmtId="0" fontId="11" fillId="0" borderId="4" xfId="0" applyFont="1" applyBorder="1" applyAlignment="1" applyProtection="1">
      <alignment vertical="center" wrapText="1"/>
      <protection locked="0"/>
    </xf>
    <xf numFmtId="0" fontId="34" fillId="0" borderId="6" xfId="0" applyFont="1" applyBorder="1" applyAlignment="1">
      <alignment horizontal="center" vertical="center"/>
    </xf>
    <xf numFmtId="185" fontId="11" fillId="0" borderId="16" xfId="13" applyNumberFormat="1" applyFont="1" applyBorder="1" applyAlignment="1">
      <alignment horizontal="center" vertical="center" wrapText="1" shrinkToFit="1"/>
    </xf>
    <xf numFmtId="0" fontId="30" fillId="6" borderId="15" xfId="13" applyFont="1" applyFill="1" applyBorder="1" applyAlignment="1">
      <alignment horizontal="center" vertical="center" wrapText="1"/>
    </xf>
    <xf numFmtId="177" fontId="11" fillId="0" borderId="8" xfId="13" applyNumberFormat="1" applyFont="1" applyBorder="1" applyAlignment="1">
      <alignment horizontal="center" vertical="center" wrapText="1"/>
    </xf>
    <xf numFmtId="177" fontId="11" fillId="6" borderId="8" xfId="13" applyNumberFormat="1" applyFont="1" applyFill="1" applyBorder="1" applyAlignment="1">
      <alignment horizontal="center" vertical="center" wrapText="1"/>
    </xf>
    <xf numFmtId="177" fontId="11" fillId="0" borderId="15" xfId="13" applyNumberFormat="1" applyFont="1" applyBorder="1" applyAlignment="1">
      <alignment horizontal="center" vertical="center" wrapText="1"/>
    </xf>
    <xf numFmtId="0" fontId="30" fillId="0" borderId="4" xfId="13" applyFont="1" applyBorder="1" applyAlignment="1" applyProtection="1">
      <alignment horizontal="center" vertical="center" wrapText="1"/>
      <protection locked="0"/>
    </xf>
    <xf numFmtId="185" fontId="11" fillId="0" borderId="4" xfId="13" applyNumberFormat="1" applyFont="1" applyBorder="1" applyAlignment="1">
      <alignment horizontal="center" vertical="center" wrapText="1" shrinkToFit="1"/>
    </xf>
    <xf numFmtId="181" fontId="11" fillId="6" borderId="4" xfId="13" applyNumberFormat="1" applyFont="1" applyFill="1" applyBorder="1" applyAlignment="1" applyProtection="1">
      <alignment horizontal="center" vertical="center" wrapText="1"/>
      <protection locked="0"/>
    </xf>
    <xf numFmtId="178" fontId="11" fillId="6" borderId="4" xfId="13" applyNumberFormat="1" applyFont="1" applyFill="1" applyBorder="1" applyAlignment="1" applyProtection="1">
      <alignment horizontal="center" vertical="center" wrapText="1"/>
      <protection locked="0"/>
    </xf>
    <xf numFmtId="183" fontId="11" fillId="0" borderId="8" xfId="13" applyNumberFormat="1" applyFont="1" applyBorder="1" applyAlignment="1">
      <alignment horizontal="center" vertical="center"/>
    </xf>
    <xf numFmtId="178" fontId="11" fillId="0" borderId="15" xfId="13" applyNumberFormat="1" applyFont="1" applyBorder="1" applyAlignment="1">
      <alignment horizontal="center" vertical="center"/>
    </xf>
    <xf numFmtId="177" fontId="11" fillId="2" borderId="7" xfId="13" applyNumberFormat="1" applyFont="1" applyFill="1" applyBorder="1" applyAlignment="1">
      <alignment vertical="center" wrapText="1"/>
    </xf>
    <xf numFmtId="177" fontId="11" fillId="2" borderId="8" xfId="13" applyNumberFormat="1" applyFont="1" applyFill="1" applyBorder="1" applyAlignment="1">
      <alignment vertical="center" wrapText="1"/>
    </xf>
    <xf numFmtId="0" fontId="30" fillId="6" borderId="8" xfId="13" applyFont="1" applyFill="1" applyBorder="1" applyAlignment="1">
      <alignment vertical="center" wrapText="1"/>
    </xf>
    <xf numFmtId="177" fontId="11" fillId="0" borderId="8" xfId="13" applyNumberFormat="1" applyFont="1" applyBorder="1" applyAlignment="1">
      <alignment vertical="center" wrapText="1"/>
    </xf>
    <xf numFmtId="185" fontId="11" fillId="0" borderId="15" xfId="13" applyNumberFormat="1" applyFont="1" applyBorder="1" applyAlignment="1">
      <alignment vertical="center" wrapText="1" shrinkToFit="1"/>
    </xf>
    <xf numFmtId="185" fontId="11" fillId="0" borderId="27" xfId="13" applyNumberFormat="1" applyFont="1" applyBorder="1" applyAlignment="1">
      <alignment horizontal="center" vertical="center" wrapText="1" shrinkToFit="1"/>
    </xf>
    <xf numFmtId="0" fontId="30" fillId="2" borderId="15" xfId="13" applyFont="1" applyFill="1" applyBorder="1" applyAlignment="1" applyProtection="1">
      <alignment vertical="center" wrapText="1"/>
      <protection locked="0"/>
    </xf>
    <xf numFmtId="177" fontId="11" fillId="2" borderId="15" xfId="13" applyNumberFormat="1" applyFont="1" applyFill="1" applyBorder="1" applyAlignment="1" applyProtection="1">
      <alignment vertical="center" wrapText="1"/>
      <protection locked="0"/>
    </xf>
    <xf numFmtId="0" fontId="11" fillId="0" borderId="7" xfId="13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11" fillId="6" borderId="8" xfId="13" applyFont="1" applyFill="1" applyBorder="1" applyAlignment="1">
      <alignment horizontal="center" vertical="center" wrapText="1"/>
    </xf>
    <xf numFmtId="177" fontId="11" fillId="0" borderId="7" xfId="13" applyNumberFormat="1" applyFont="1" applyBorder="1" applyAlignment="1">
      <alignment vertical="center" wrapText="1"/>
    </xf>
    <xf numFmtId="177" fontId="11" fillId="0" borderId="15" xfId="13" applyNumberFormat="1" applyFont="1" applyBorder="1" applyAlignment="1">
      <alignment vertical="center" wrapText="1"/>
    </xf>
    <xf numFmtId="177" fontId="11" fillId="0" borderId="16" xfId="13" applyNumberFormat="1" applyFont="1" applyBorder="1" applyAlignment="1">
      <alignment vertical="center" wrapText="1"/>
    </xf>
    <xf numFmtId="0" fontId="11" fillId="6" borderId="15" xfId="13" applyFont="1" applyFill="1" applyBorder="1" applyAlignment="1">
      <alignment vertical="center" wrapText="1"/>
    </xf>
    <xf numFmtId="177" fontId="11" fillId="6" borderId="15" xfId="13" applyNumberFormat="1" applyFont="1" applyFill="1" applyBorder="1" applyAlignment="1">
      <alignment vertical="center" wrapText="1"/>
    </xf>
    <xf numFmtId="0" fontId="30" fillId="0" borderId="16" xfId="13" applyFont="1" applyBorder="1" applyAlignment="1">
      <alignment vertical="center" wrapText="1"/>
    </xf>
    <xf numFmtId="181" fontId="11" fillId="4" borderId="4" xfId="13" applyNumberFormat="1" applyFont="1" applyFill="1" applyBorder="1" applyAlignment="1" applyProtection="1">
      <alignment horizontal="center" vertical="center" wrapText="1"/>
      <protection locked="0"/>
    </xf>
    <xf numFmtId="195" fontId="11" fillId="2" borderId="4" xfId="13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84" fontId="11" fillId="6" borderId="4" xfId="13" applyNumberFormat="1" applyFont="1" applyFill="1" applyBorder="1" applyAlignment="1">
      <alignment horizontal="center" vertical="center" wrapText="1"/>
    </xf>
    <xf numFmtId="177" fontId="11" fillId="2" borderId="8" xfId="13" applyNumberFormat="1" applyFont="1" applyFill="1" applyBorder="1" applyAlignment="1" applyProtection="1">
      <alignment vertical="center" wrapText="1"/>
      <protection locked="0"/>
    </xf>
    <xf numFmtId="0" fontId="30" fillId="2" borderId="8" xfId="13" applyFont="1" applyFill="1" applyBorder="1" applyAlignment="1" applyProtection="1">
      <alignment vertical="center" wrapText="1"/>
      <protection locked="0"/>
    </xf>
    <xf numFmtId="177" fontId="11" fillId="2" borderId="4" xfId="13" applyNumberFormat="1" applyFont="1" applyFill="1" applyBorder="1" applyAlignment="1" applyProtection="1">
      <alignment vertical="center" wrapText="1"/>
      <protection locked="0"/>
    </xf>
    <xf numFmtId="0" fontId="30" fillId="2" borderId="4" xfId="13" applyFont="1" applyFill="1" applyBorder="1" applyAlignment="1" applyProtection="1">
      <alignment vertical="center" wrapText="1"/>
      <protection locked="0"/>
    </xf>
    <xf numFmtId="0" fontId="38" fillId="2" borderId="4" xfId="13" applyFont="1" applyFill="1" applyBorder="1" applyAlignment="1" applyProtection="1">
      <alignment vertical="center" wrapText="1"/>
      <protection locked="0"/>
    </xf>
    <xf numFmtId="0" fontId="30" fillId="2" borderId="15" xfId="13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0" fontId="30" fillId="2" borderId="4" xfId="13" applyFont="1" applyFill="1" applyBorder="1" applyAlignment="1" applyProtection="1">
      <alignment horizontal="center" vertical="center" wrapText="1"/>
      <protection locked="0"/>
    </xf>
    <xf numFmtId="179" fontId="24" fillId="0" borderId="0" xfId="13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7" fontId="11" fillId="4" borderId="15" xfId="13" applyNumberFormat="1" applyFont="1" applyFill="1" applyBorder="1" applyAlignment="1">
      <alignment horizontal="center" vertical="center" wrapText="1"/>
    </xf>
    <xf numFmtId="0" fontId="30" fillId="0" borderId="7" xfId="13" applyFont="1" applyBorder="1" applyAlignment="1">
      <alignment horizontal="center" vertical="center" wrapText="1"/>
    </xf>
    <xf numFmtId="0" fontId="30" fillId="0" borderId="8" xfId="13" applyFont="1" applyBorder="1" applyAlignment="1">
      <alignment horizontal="center" vertical="center" wrapText="1"/>
    </xf>
    <xf numFmtId="0" fontId="30" fillId="0" borderId="15" xfId="13" applyFont="1" applyBorder="1" applyAlignment="1">
      <alignment horizontal="center" vertical="center" wrapText="1"/>
    </xf>
    <xf numFmtId="177" fontId="11" fillId="2" borderId="7" xfId="13" applyNumberFormat="1" applyFont="1" applyFill="1" applyBorder="1" applyAlignment="1" applyProtection="1">
      <alignment horizontal="center" vertical="center" wrapText="1"/>
      <protection locked="0"/>
    </xf>
    <xf numFmtId="177" fontId="11" fillId="2" borderId="8" xfId="13" applyNumberFormat="1" applyFont="1" applyFill="1" applyBorder="1" applyAlignment="1" applyProtection="1">
      <alignment horizontal="center" vertical="center" wrapText="1"/>
      <protection locked="0"/>
    </xf>
    <xf numFmtId="177" fontId="11" fillId="2" borderId="15" xfId="13" applyNumberFormat="1" applyFont="1" applyFill="1" applyBorder="1" applyAlignment="1" applyProtection="1">
      <alignment horizontal="center" vertical="center" wrapText="1"/>
      <protection locked="0"/>
    </xf>
    <xf numFmtId="176" fontId="12" fillId="0" borderId="0" xfId="13" applyNumberFormat="1" applyFont="1" applyAlignment="1" applyProtection="1">
      <alignment horizontal="center" vertical="center" wrapText="1"/>
      <protection locked="0"/>
    </xf>
    <xf numFmtId="0" fontId="12" fillId="0" borderId="0" xfId="13" applyFont="1" applyAlignment="1" applyProtection="1">
      <alignment horizontal="center" vertical="center" wrapText="1"/>
      <protection locked="0"/>
    </xf>
    <xf numFmtId="0" fontId="11" fillId="0" borderId="1" xfId="13" applyFont="1" applyBorder="1" applyAlignment="1">
      <alignment horizontal="center" vertical="center" shrinkToFit="1"/>
    </xf>
    <xf numFmtId="0" fontId="11" fillId="0" borderId="2" xfId="13" applyFont="1" applyBorder="1" applyAlignment="1">
      <alignment horizontal="center" vertical="center" shrinkToFit="1"/>
    </xf>
    <xf numFmtId="0" fontId="11" fillId="0" borderId="3" xfId="13" applyFont="1" applyBorder="1" applyAlignment="1">
      <alignment horizontal="center" vertical="center" shrinkToFit="1"/>
    </xf>
    <xf numFmtId="0" fontId="11" fillId="2" borderId="1" xfId="13" applyFont="1" applyFill="1" applyBorder="1" applyAlignment="1">
      <alignment horizontal="center" vertical="center" shrinkToFit="1"/>
    </xf>
    <xf numFmtId="0" fontId="11" fillId="2" borderId="2" xfId="13" applyFont="1" applyFill="1" applyBorder="1" applyAlignment="1">
      <alignment horizontal="center" vertical="center" shrinkToFit="1"/>
    </xf>
    <xf numFmtId="0" fontId="11" fillId="2" borderId="3" xfId="13" applyFont="1" applyFill="1" applyBorder="1" applyAlignment="1">
      <alignment horizontal="center" vertical="center" shrinkToFit="1"/>
    </xf>
    <xf numFmtId="0" fontId="11" fillId="2" borderId="7" xfId="0" applyFont="1" applyFill="1" applyBorder="1" applyAlignment="1" applyProtection="1">
      <alignment horizontal="center" vertical="center" wrapText="1"/>
      <protection locked="0"/>
    </xf>
    <xf numFmtId="0" fontId="11" fillId="2" borderId="8" xfId="0" applyFont="1" applyFill="1" applyBorder="1" applyAlignment="1" applyProtection="1">
      <alignment horizontal="center" vertical="center" wrapText="1"/>
      <protection locked="0"/>
    </xf>
    <xf numFmtId="177" fontId="11" fillId="2" borderId="7" xfId="13" applyNumberFormat="1" applyFont="1" applyFill="1" applyBorder="1" applyAlignment="1">
      <alignment horizontal="center" vertical="center" wrapText="1"/>
    </xf>
    <xf numFmtId="177" fontId="11" fillId="2" borderId="8" xfId="13" applyNumberFormat="1" applyFont="1" applyFill="1" applyBorder="1" applyAlignment="1">
      <alignment horizontal="center" vertical="center" wrapText="1"/>
    </xf>
    <xf numFmtId="177" fontId="11" fillId="2" borderId="15" xfId="13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  <protection locked="0"/>
    </xf>
    <xf numFmtId="191" fontId="11" fillId="2" borderId="7" xfId="13" applyNumberFormat="1" applyFont="1" applyFill="1" applyBorder="1" applyAlignment="1" applyProtection="1">
      <alignment horizontal="center" vertical="center" wrapText="1"/>
      <protection locked="0"/>
    </xf>
    <xf numFmtId="191" fontId="11" fillId="2" borderId="8" xfId="13" applyNumberFormat="1" applyFont="1" applyFill="1" applyBorder="1" applyAlignment="1" applyProtection="1">
      <alignment horizontal="center" vertical="center" wrapText="1"/>
      <protection locked="0"/>
    </xf>
    <xf numFmtId="191" fontId="11" fillId="2" borderId="15" xfId="13" applyNumberFormat="1" applyFont="1" applyFill="1" applyBorder="1" applyAlignment="1" applyProtection="1">
      <alignment horizontal="center" vertical="center" wrapText="1"/>
      <protection locked="0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5" fillId="0" borderId="7" xfId="13" applyFont="1" applyBorder="1" applyAlignment="1" applyProtection="1">
      <alignment horizontal="center" vertical="center" wrapText="1"/>
      <protection locked="0"/>
    </xf>
    <xf numFmtId="0" fontId="15" fillId="0" borderId="8" xfId="13" applyFont="1" applyBorder="1" applyAlignment="1" applyProtection="1">
      <alignment horizontal="center" vertical="center" wrapText="1"/>
      <protection locked="0"/>
    </xf>
    <xf numFmtId="0" fontId="15" fillId="0" borderId="15" xfId="13" applyFont="1" applyBorder="1" applyAlignment="1" applyProtection="1">
      <alignment horizontal="center" vertical="center" wrapText="1"/>
      <protection locked="0"/>
    </xf>
    <xf numFmtId="0" fontId="11" fillId="0" borderId="18" xfId="13" applyFont="1" applyBorder="1" applyAlignment="1">
      <alignment horizontal="center" vertical="center" shrinkToFit="1"/>
    </xf>
    <xf numFmtId="0" fontId="11" fillId="0" borderId="19" xfId="13" applyFont="1" applyBorder="1" applyAlignment="1">
      <alignment horizontal="center" vertical="center" shrinkToFit="1"/>
    </xf>
    <xf numFmtId="0" fontId="11" fillId="0" borderId="20" xfId="13" applyFont="1" applyBorder="1" applyAlignment="1">
      <alignment horizontal="center" vertical="center" shrinkToFit="1"/>
    </xf>
    <xf numFmtId="0" fontId="11" fillId="0" borderId="5" xfId="13" applyFont="1" applyBorder="1" applyAlignment="1">
      <alignment horizontal="center" vertical="center" shrinkToFit="1"/>
    </xf>
    <xf numFmtId="0" fontId="11" fillId="0" borderId="0" xfId="13" applyFont="1" applyAlignment="1">
      <alignment horizontal="center" vertical="center" shrinkToFit="1"/>
    </xf>
    <xf numFmtId="0" fontId="11" fillId="0" borderId="6" xfId="13" applyFont="1" applyBorder="1" applyAlignment="1">
      <alignment horizontal="center" vertical="center" shrinkToFit="1"/>
    </xf>
    <xf numFmtId="0" fontId="11" fillId="0" borderId="13" xfId="13" applyFont="1" applyBorder="1" applyAlignment="1">
      <alignment horizontal="center" vertical="center" shrinkToFit="1"/>
    </xf>
    <xf numFmtId="0" fontId="11" fillId="0" borderId="17" xfId="13" applyFont="1" applyBorder="1" applyAlignment="1">
      <alignment horizontal="center" vertical="center" shrinkToFit="1"/>
    </xf>
    <xf numFmtId="0" fontId="11" fillId="0" borderId="14" xfId="13" applyFont="1" applyBorder="1" applyAlignment="1">
      <alignment horizontal="center" vertical="center" shrinkToFit="1"/>
    </xf>
    <xf numFmtId="177" fontId="11" fillId="0" borderId="7" xfId="13" applyNumberFormat="1" applyFont="1" applyBorder="1" applyAlignment="1" applyProtection="1">
      <alignment horizontal="center" vertical="center" wrapText="1"/>
      <protection locked="0"/>
    </xf>
    <xf numFmtId="177" fontId="11" fillId="0" borderId="8" xfId="13" applyNumberFormat="1" applyFont="1" applyBorder="1" applyAlignment="1" applyProtection="1">
      <alignment horizontal="center" vertical="center" wrapText="1"/>
      <protection locked="0"/>
    </xf>
    <xf numFmtId="177" fontId="11" fillId="0" borderId="15" xfId="13" applyNumberFormat="1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 applyProtection="1">
      <alignment horizontal="center" vertical="center" wrapText="1"/>
      <protection locked="0"/>
    </xf>
    <xf numFmtId="0" fontId="30" fillId="2" borderId="7" xfId="0" applyFont="1" applyFill="1" applyBorder="1" applyAlignment="1" applyProtection="1">
      <alignment horizontal="center" vertical="center" wrapText="1"/>
      <protection locked="0"/>
    </xf>
    <xf numFmtId="0" fontId="30" fillId="2" borderId="8" xfId="0" applyFont="1" applyFill="1" applyBorder="1" applyAlignment="1" applyProtection="1">
      <alignment horizontal="center" vertical="center" wrapText="1"/>
      <protection locked="0"/>
    </xf>
    <xf numFmtId="0" fontId="30" fillId="2" borderId="15" xfId="0" applyFont="1" applyFill="1" applyBorder="1" applyAlignment="1" applyProtection="1">
      <alignment horizontal="center" vertical="center" wrapText="1"/>
      <protection locked="0"/>
    </xf>
    <xf numFmtId="0" fontId="11" fillId="2" borderId="18" xfId="13" applyFont="1" applyFill="1" applyBorder="1" applyAlignment="1">
      <alignment horizontal="center" vertical="center" shrinkToFit="1"/>
    </xf>
    <xf numFmtId="0" fontId="11" fillId="2" borderId="19" xfId="13" applyFont="1" applyFill="1" applyBorder="1" applyAlignment="1">
      <alignment horizontal="center" vertical="center" shrinkToFit="1"/>
    </xf>
    <xf numFmtId="0" fontId="11" fillId="2" borderId="20" xfId="13" applyFont="1" applyFill="1" applyBorder="1" applyAlignment="1">
      <alignment horizontal="center" vertical="center" shrinkToFit="1"/>
    </xf>
    <xf numFmtId="0" fontId="11" fillId="2" borderId="5" xfId="13" applyFont="1" applyFill="1" applyBorder="1" applyAlignment="1">
      <alignment horizontal="center" vertical="center" shrinkToFit="1"/>
    </xf>
    <xf numFmtId="0" fontId="11" fillId="2" borderId="0" xfId="13" applyFont="1" applyFill="1" applyAlignment="1">
      <alignment horizontal="center" vertical="center" shrinkToFit="1"/>
    </xf>
    <xf numFmtId="0" fontId="11" fillId="2" borderId="6" xfId="13" applyFont="1" applyFill="1" applyBorder="1" applyAlignment="1">
      <alignment horizontal="center" vertical="center" shrinkToFit="1"/>
    </xf>
    <xf numFmtId="0" fontId="11" fillId="2" borderId="13" xfId="13" applyFont="1" applyFill="1" applyBorder="1" applyAlignment="1">
      <alignment horizontal="center" vertical="center" shrinkToFit="1"/>
    </xf>
    <xf numFmtId="0" fontId="11" fillId="2" borderId="17" xfId="13" applyFont="1" applyFill="1" applyBorder="1" applyAlignment="1">
      <alignment horizontal="center" vertical="center" shrinkToFit="1"/>
    </xf>
    <xf numFmtId="0" fontId="11" fillId="2" borderId="14" xfId="13" applyFont="1" applyFill="1" applyBorder="1" applyAlignment="1">
      <alignment horizontal="center" vertical="center" shrinkToFit="1"/>
    </xf>
    <xf numFmtId="190" fontId="11" fillId="0" borderId="7" xfId="13" applyNumberFormat="1" applyFont="1" applyBorder="1" applyAlignment="1" applyProtection="1">
      <alignment horizontal="center" vertical="center" wrapText="1"/>
      <protection locked="0"/>
    </xf>
    <xf numFmtId="190" fontId="11" fillId="0" borderId="8" xfId="13" applyNumberFormat="1" applyFont="1" applyBorder="1" applyAlignment="1" applyProtection="1">
      <alignment horizontal="center" vertical="center" wrapText="1"/>
      <protection locked="0"/>
    </xf>
    <xf numFmtId="190" fontId="11" fillId="0" borderId="15" xfId="13" applyNumberFormat="1" applyFont="1" applyBorder="1" applyAlignment="1" applyProtection="1">
      <alignment horizontal="center" vertical="center" wrapText="1"/>
      <protection locked="0"/>
    </xf>
    <xf numFmtId="190" fontId="30" fillId="0" borderId="7" xfId="13" applyNumberFormat="1" applyFont="1" applyBorder="1" applyAlignment="1" applyProtection="1">
      <alignment horizontal="center" vertical="center" wrapText="1"/>
      <protection locked="0"/>
    </xf>
    <xf numFmtId="190" fontId="30" fillId="0" borderId="8" xfId="13" applyNumberFormat="1" applyFont="1" applyBorder="1" applyAlignment="1" applyProtection="1">
      <alignment horizontal="center" vertical="center" wrapText="1"/>
      <protection locked="0"/>
    </xf>
    <xf numFmtId="190" fontId="30" fillId="0" borderId="15" xfId="13" applyNumberFormat="1" applyFont="1" applyBorder="1" applyAlignment="1" applyProtection="1">
      <alignment horizontal="center" vertical="center" wrapText="1"/>
      <protection locked="0"/>
    </xf>
    <xf numFmtId="0" fontId="11" fillId="6" borderId="1" xfId="13" applyFont="1" applyFill="1" applyBorder="1" applyAlignment="1">
      <alignment horizontal="center" vertical="center" shrinkToFit="1"/>
    </xf>
    <xf numFmtId="0" fontId="11" fillId="6" borderId="2" xfId="13" applyFont="1" applyFill="1" applyBorder="1" applyAlignment="1">
      <alignment horizontal="center" vertical="center" shrinkToFit="1"/>
    </xf>
    <xf numFmtId="0" fontId="11" fillId="6" borderId="3" xfId="13" applyFont="1" applyFill="1" applyBorder="1" applyAlignment="1">
      <alignment horizontal="center" vertical="center" shrinkToFit="1"/>
    </xf>
    <xf numFmtId="0" fontId="11" fillId="6" borderId="1" xfId="13" applyFont="1" applyFill="1" applyBorder="1" applyAlignment="1">
      <alignment horizontal="center" vertical="center" wrapText="1" shrinkToFit="1"/>
    </xf>
    <xf numFmtId="0" fontId="11" fillId="6" borderId="2" xfId="13" applyFont="1" applyFill="1" applyBorder="1" applyAlignment="1">
      <alignment horizontal="center" vertical="center" wrapText="1" shrinkToFit="1"/>
    </xf>
    <xf numFmtId="0" fontId="11" fillId="6" borderId="3" xfId="13" applyFont="1" applyFill="1" applyBorder="1" applyAlignment="1">
      <alignment horizontal="center" vertical="center" wrapText="1" shrinkToFit="1"/>
    </xf>
    <xf numFmtId="0" fontId="11" fillId="0" borderId="1" xfId="13" applyFont="1" applyBorder="1" applyAlignment="1">
      <alignment horizontal="center" vertical="center" wrapText="1" shrinkToFit="1"/>
    </xf>
    <xf numFmtId="0" fontId="11" fillId="0" borderId="2" xfId="13" applyFont="1" applyBorder="1" applyAlignment="1">
      <alignment horizontal="center" vertical="center" wrapText="1" shrinkToFit="1"/>
    </xf>
    <xf numFmtId="0" fontId="11" fillId="0" borderId="3" xfId="13" applyFont="1" applyBorder="1" applyAlignment="1">
      <alignment horizontal="center" vertical="center" wrapText="1" shrinkToFit="1"/>
    </xf>
    <xf numFmtId="0" fontId="15" fillId="0" borderId="7" xfId="13" applyFont="1" applyBorder="1" applyAlignment="1">
      <alignment horizontal="center" vertical="center" wrapText="1"/>
    </xf>
    <xf numFmtId="0" fontId="15" fillId="0" borderId="15" xfId="13" applyFont="1" applyBorder="1" applyAlignment="1">
      <alignment horizontal="center" vertical="center" wrapText="1"/>
    </xf>
    <xf numFmtId="0" fontId="11" fillId="6" borderId="7" xfId="13" applyFont="1" applyFill="1" applyBorder="1" applyAlignment="1">
      <alignment horizontal="center" vertical="center" wrapText="1"/>
    </xf>
    <xf numFmtId="0" fontId="11" fillId="6" borderId="15" xfId="13" applyFont="1" applyFill="1" applyBorder="1" applyAlignment="1">
      <alignment horizontal="center" vertical="center" wrapText="1"/>
    </xf>
    <xf numFmtId="177" fontId="11" fillId="6" borderId="7" xfId="13" applyNumberFormat="1" applyFont="1" applyFill="1" applyBorder="1" applyAlignment="1">
      <alignment horizontal="center" vertical="center" wrapText="1"/>
    </xf>
    <xf numFmtId="177" fontId="11" fillId="6" borderId="15" xfId="13" applyNumberFormat="1" applyFont="1" applyFill="1" applyBorder="1" applyAlignment="1">
      <alignment horizontal="center" vertical="center" wrapText="1"/>
    </xf>
    <xf numFmtId="185" fontId="11" fillId="6" borderId="7" xfId="13" applyNumberFormat="1" applyFont="1" applyFill="1" applyBorder="1" applyAlignment="1">
      <alignment horizontal="center" vertical="center" wrapText="1" shrinkToFit="1"/>
    </xf>
    <xf numFmtId="185" fontId="11" fillId="6" borderId="15" xfId="13" applyNumberFormat="1" applyFont="1" applyFill="1" applyBorder="1" applyAlignment="1">
      <alignment horizontal="center" vertical="center" wrapText="1" shrinkToFit="1"/>
    </xf>
    <xf numFmtId="0" fontId="30" fillId="6" borderId="7" xfId="13" applyFont="1" applyFill="1" applyBorder="1" applyAlignment="1">
      <alignment horizontal="center" vertical="center" wrapText="1"/>
    </xf>
    <xf numFmtId="0" fontId="30" fillId="6" borderId="15" xfId="13" applyFont="1" applyFill="1" applyBorder="1" applyAlignment="1">
      <alignment horizontal="center" vertical="center" wrapText="1"/>
    </xf>
    <xf numFmtId="0" fontId="11" fillId="0" borderId="7" xfId="13" applyFont="1" applyBorder="1" applyAlignment="1">
      <alignment horizontal="center" vertical="center" wrapText="1"/>
    </xf>
    <xf numFmtId="0" fontId="11" fillId="0" borderId="15" xfId="13" applyFont="1" applyBorder="1" applyAlignment="1">
      <alignment horizontal="center" vertical="center" wrapText="1"/>
    </xf>
    <xf numFmtId="177" fontId="11" fillId="0" borderId="7" xfId="13" applyNumberFormat="1" applyFont="1" applyBorder="1" applyAlignment="1">
      <alignment horizontal="center" vertical="center" wrapText="1"/>
    </xf>
    <xf numFmtId="177" fontId="11" fillId="0" borderId="15" xfId="13" applyNumberFormat="1" applyFont="1" applyBorder="1" applyAlignment="1">
      <alignment horizontal="center" vertical="center" wrapText="1"/>
    </xf>
    <xf numFmtId="185" fontId="11" fillId="0" borderId="7" xfId="13" applyNumberFormat="1" applyFont="1" applyBorder="1" applyAlignment="1">
      <alignment horizontal="center" vertical="center" wrapText="1" shrinkToFit="1"/>
    </xf>
    <xf numFmtId="185" fontId="11" fillId="0" borderId="15" xfId="13" applyNumberFormat="1" applyFont="1" applyBorder="1" applyAlignment="1">
      <alignment horizontal="center" vertical="center" wrapText="1" shrinkToFit="1"/>
    </xf>
    <xf numFmtId="177" fontId="11" fillId="0" borderId="8" xfId="13" applyNumberFormat="1" applyFont="1" applyBorder="1" applyAlignment="1">
      <alignment horizontal="center" vertical="center" wrapText="1"/>
    </xf>
    <xf numFmtId="0" fontId="30" fillId="2" borderId="7" xfId="13" applyFont="1" applyFill="1" applyBorder="1" applyAlignment="1">
      <alignment horizontal="center" vertical="center" wrapText="1"/>
    </xf>
    <xf numFmtId="0" fontId="30" fillId="2" borderId="8" xfId="13" applyFont="1" applyFill="1" applyBorder="1" applyAlignment="1">
      <alignment horizontal="center" vertical="center" wrapText="1"/>
    </xf>
    <xf numFmtId="0" fontId="30" fillId="2" borderId="15" xfId="13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1" fillId="6" borderId="13" xfId="13" applyFont="1" applyFill="1" applyBorder="1" applyAlignment="1">
      <alignment horizontal="center" vertical="center" shrinkToFit="1"/>
    </xf>
    <xf numFmtId="0" fontId="11" fillId="6" borderId="17" xfId="13" applyFont="1" applyFill="1" applyBorder="1" applyAlignment="1">
      <alignment horizontal="center" vertical="center" shrinkToFit="1"/>
    </xf>
    <xf numFmtId="0" fontId="11" fillId="6" borderId="14" xfId="13" applyFont="1" applyFill="1" applyBorder="1" applyAlignment="1">
      <alignment horizontal="center" vertical="center" shrinkToFit="1"/>
    </xf>
    <xf numFmtId="0" fontId="11" fillId="2" borderId="4" xfId="13" applyFont="1" applyFill="1" applyBorder="1" applyAlignment="1">
      <alignment horizontal="center" vertical="center" shrinkToFit="1"/>
    </xf>
    <xf numFmtId="0" fontId="11" fillId="2" borderId="7" xfId="13" applyFont="1" applyFill="1" applyBorder="1" applyAlignment="1">
      <alignment horizontal="center" vertical="center" wrapText="1"/>
    </xf>
    <xf numFmtId="0" fontId="11" fillId="2" borderId="15" xfId="13" applyFont="1" applyFill="1" applyBorder="1" applyAlignment="1">
      <alignment horizontal="center" vertical="center" wrapText="1"/>
    </xf>
    <xf numFmtId="185" fontId="11" fillId="2" borderId="7" xfId="13" applyNumberFormat="1" applyFont="1" applyFill="1" applyBorder="1" applyAlignment="1">
      <alignment horizontal="center" vertical="center" wrapText="1" shrinkToFit="1"/>
    </xf>
    <xf numFmtId="185" fontId="11" fillId="2" borderId="15" xfId="13" applyNumberFormat="1" applyFont="1" applyFill="1" applyBorder="1" applyAlignment="1">
      <alignment horizontal="center" vertical="center" wrapText="1" shrinkToFit="1"/>
    </xf>
    <xf numFmtId="0" fontId="11" fillId="0" borderId="4" xfId="13" applyFont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15" fillId="0" borderId="4" xfId="13" applyFont="1" applyBorder="1" applyAlignment="1">
      <alignment horizontal="center" vertical="center" wrapText="1"/>
    </xf>
    <xf numFmtId="0" fontId="11" fillId="6" borderId="4" xfId="13" applyFont="1" applyFill="1" applyBorder="1" applyAlignment="1">
      <alignment horizontal="center" vertical="center" shrinkToFi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15" fillId="0" borderId="1" xfId="13" applyFont="1" applyBorder="1" applyAlignment="1">
      <alignment horizontal="center" vertical="center" shrinkToFit="1"/>
    </xf>
    <xf numFmtId="0" fontId="15" fillId="0" borderId="2" xfId="13" applyFont="1" applyBorder="1" applyAlignment="1">
      <alignment horizontal="center" vertical="center" shrinkToFit="1"/>
    </xf>
    <xf numFmtId="0" fontId="15" fillId="0" borderId="3" xfId="13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5" fillId="0" borderId="16" xfId="13" applyFont="1" applyBorder="1" applyAlignment="1">
      <alignment horizontal="center" vertical="center" wrapText="1"/>
    </xf>
    <xf numFmtId="0" fontId="11" fillId="0" borderId="24" xfId="13" applyFont="1" applyBorder="1" applyAlignment="1">
      <alignment horizontal="center" vertical="center" shrinkToFit="1"/>
    </xf>
    <xf numFmtId="0" fontId="11" fillId="0" borderId="25" xfId="13" applyFont="1" applyBorder="1" applyAlignment="1">
      <alignment horizontal="center" vertical="center" shrinkToFit="1"/>
    </xf>
    <xf numFmtId="0" fontId="11" fillId="0" borderId="26" xfId="13" applyFont="1" applyBorder="1" applyAlignment="1">
      <alignment horizontal="center" vertical="center" shrinkToFit="1"/>
    </xf>
    <xf numFmtId="0" fontId="11" fillId="0" borderId="16" xfId="13" applyFont="1" applyBorder="1" applyAlignment="1">
      <alignment horizontal="center" vertical="center" wrapText="1"/>
    </xf>
    <xf numFmtId="177" fontId="11" fillId="0" borderId="16" xfId="13" applyNumberFormat="1" applyFont="1" applyBorder="1" applyAlignment="1">
      <alignment horizontal="center" vertical="center" wrapText="1"/>
    </xf>
    <xf numFmtId="185" fontId="11" fillId="0" borderId="16" xfId="13" applyNumberFormat="1" applyFont="1" applyBorder="1" applyAlignment="1">
      <alignment horizontal="center" vertical="center" wrapText="1" shrinkToFit="1"/>
    </xf>
    <xf numFmtId="0" fontId="9" fillId="0" borderId="4" xfId="13" applyFont="1" applyBorder="1" applyAlignment="1">
      <alignment horizontal="center" vertical="center"/>
    </xf>
    <xf numFmtId="176" fontId="21" fillId="0" borderId="4" xfId="13" applyNumberFormat="1" applyFont="1" applyBorder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21" fillId="0" borderId="6" xfId="0" applyNumberFormat="1" applyFont="1" applyBorder="1" applyAlignment="1">
      <alignment horizontal="center" vertical="center"/>
    </xf>
    <xf numFmtId="0" fontId="27" fillId="0" borderId="1" xfId="13" applyFont="1" applyBorder="1" applyAlignment="1">
      <alignment horizontal="center" vertical="center"/>
    </xf>
    <xf numFmtId="0" fontId="27" fillId="0" borderId="2" xfId="13" applyFont="1" applyBorder="1" applyAlignment="1">
      <alignment horizontal="center" vertical="center"/>
    </xf>
    <xf numFmtId="0" fontId="28" fillId="0" borderId="2" xfId="13" applyFont="1" applyBorder="1" applyAlignment="1">
      <alignment horizontal="center" vertical="center"/>
    </xf>
    <xf numFmtId="177" fontId="2" fillId="0" borderId="17" xfId="13" applyNumberFormat="1" applyBorder="1" applyAlignment="1">
      <alignment horizontal="center" vertical="center"/>
    </xf>
    <xf numFmtId="177" fontId="2" fillId="0" borderId="14" xfId="13" applyNumberFormat="1" applyBorder="1" applyAlignment="1">
      <alignment horizontal="center" vertical="center"/>
    </xf>
    <xf numFmtId="0" fontId="15" fillId="4" borderId="4" xfId="13" applyFont="1" applyFill="1" applyBorder="1" applyAlignment="1">
      <alignment horizontal="center" vertical="center" wrapText="1"/>
    </xf>
    <xf numFmtId="0" fontId="15" fillId="4" borderId="11" xfId="13" applyFont="1" applyFill="1" applyBorder="1" applyAlignment="1">
      <alignment horizontal="center" vertical="center"/>
    </xf>
    <xf numFmtId="0" fontId="15" fillId="0" borderId="21" xfId="13" applyFont="1" applyBorder="1" applyAlignment="1">
      <alignment horizontal="center" vertical="center" wrapText="1"/>
    </xf>
    <xf numFmtId="0" fontId="15" fillId="0" borderId="22" xfId="13" applyFont="1" applyBorder="1" applyAlignment="1">
      <alignment horizontal="center" vertical="center" wrapText="1"/>
    </xf>
    <xf numFmtId="0" fontId="15" fillId="0" borderId="23" xfId="13" applyFont="1" applyBorder="1" applyAlignment="1">
      <alignment horizontal="center" vertical="center" wrapText="1"/>
    </xf>
    <xf numFmtId="0" fontId="15" fillId="0" borderId="21" xfId="13" applyFont="1" applyBorder="1" applyAlignment="1">
      <alignment horizontal="center" vertical="center"/>
    </xf>
    <xf numFmtId="0" fontId="15" fillId="0" borderId="23" xfId="13" applyFont="1" applyBorder="1" applyAlignment="1">
      <alignment horizontal="center" vertical="center"/>
    </xf>
    <xf numFmtId="0" fontId="15" fillId="0" borderId="9" xfId="13" applyFont="1" applyBorder="1" applyAlignment="1">
      <alignment horizontal="center" vertical="center" wrapText="1"/>
    </xf>
    <xf numFmtId="0" fontId="15" fillId="0" borderId="10" xfId="13" applyFont="1" applyBorder="1" applyAlignment="1">
      <alignment horizontal="center" vertical="center" wrapText="1"/>
    </xf>
    <xf numFmtId="180" fontId="15" fillId="4" borderId="9" xfId="13" applyNumberFormat="1" applyFont="1" applyFill="1" applyBorder="1" applyAlignment="1">
      <alignment horizontal="center" vertical="center" wrapText="1"/>
    </xf>
    <xf numFmtId="180" fontId="15" fillId="4" borderId="10" xfId="13" applyNumberFormat="1" applyFont="1" applyFill="1" applyBorder="1" applyAlignment="1">
      <alignment horizontal="center" vertical="center"/>
    </xf>
    <xf numFmtId="180" fontId="15" fillId="5" borderId="9" xfId="13" applyNumberFormat="1" applyFont="1" applyFill="1" applyBorder="1" applyAlignment="1">
      <alignment horizontal="center" vertical="center" wrapText="1"/>
    </xf>
    <xf numFmtId="180" fontId="15" fillId="5" borderId="10" xfId="13" applyNumberFormat="1" applyFont="1" applyFill="1" applyBorder="1" applyAlignment="1">
      <alignment horizontal="center" vertical="center"/>
    </xf>
    <xf numFmtId="0" fontId="15" fillId="4" borderId="1" xfId="13" applyFont="1" applyFill="1" applyBorder="1" applyAlignment="1">
      <alignment horizontal="center" vertical="center"/>
    </xf>
    <xf numFmtId="0" fontId="15" fillId="4" borderId="2" xfId="13" applyFont="1" applyFill="1" applyBorder="1" applyAlignment="1">
      <alignment horizontal="center" vertical="center"/>
    </xf>
    <xf numFmtId="0" fontId="15" fillId="4" borderId="3" xfId="13" applyFont="1" applyFill="1" applyBorder="1" applyAlignment="1">
      <alignment horizontal="center" vertical="center"/>
    </xf>
    <xf numFmtId="178" fontId="15" fillId="0" borderId="7" xfId="13" applyNumberFormat="1" applyFont="1" applyBorder="1" applyAlignment="1">
      <alignment horizontal="center" vertical="center" shrinkToFit="1"/>
    </xf>
    <xf numFmtId="178" fontId="15" fillId="0" borderId="12" xfId="13" applyNumberFormat="1" applyFont="1" applyBorder="1" applyAlignment="1">
      <alignment horizontal="center" vertical="center" shrinkToFit="1"/>
    </xf>
    <xf numFmtId="0" fontId="29" fillId="5" borderId="1" xfId="13" applyFont="1" applyFill="1" applyBorder="1" applyAlignment="1">
      <alignment horizontal="center" vertical="center"/>
    </xf>
    <xf numFmtId="0" fontId="29" fillId="5" borderId="2" xfId="13" applyFont="1" applyFill="1" applyBorder="1" applyAlignment="1">
      <alignment horizontal="center" vertical="center"/>
    </xf>
    <xf numFmtId="0" fontId="29" fillId="5" borderId="3" xfId="13" applyFont="1" applyFill="1" applyBorder="1" applyAlignment="1">
      <alignment horizontal="center" vertical="center"/>
    </xf>
    <xf numFmtId="0" fontId="15" fillId="0" borderId="11" xfId="13" applyFont="1" applyBorder="1" applyAlignment="1">
      <alignment horizontal="center" vertical="center"/>
    </xf>
    <xf numFmtId="0" fontId="15" fillId="0" borderId="12" xfId="13" applyFont="1" applyBorder="1" applyAlignment="1">
      <alignment horizontal="center" vertical="center" wrapText="1"/>
    </xf>
    <xf numFmtId="0" fontId="15" fillId="2" borderId="4" xfId="13" applyFont="1" applyFill="1" applyBorder="1" applyAlignment="1">
      <alignment horizontal="center" vertical="center"/>
    </xf>
    <xf numFmtId="0" fontId="15" fillId="2" borderId="11" xfId="13" applyFont="1" applyFill="1" applyBorder="1" applyAlignment="1">
      <alignment horizontal="center" vertical="center"/>
    </xf>
    <xf numFmtId="0" fontId="15" fillId="0" borderId="4" xfId="13" applyFont="1" applyBorder="1" applyAlignment="1">
      <alignment horizontal="center" vertical="center"/>
    </xf>
    <xf numFmtId="0" fontId="15" fillId="0" borderId="18" xfId="13" applyFont="1" applyBorder="1" applyAlignment="1">
      <alignment horizontal="center" vertical="center" wrapText="1"/>
    </xf>
    <xf numFmtId="0" fontId="15" fillId="0" borderId="19" xfId="13" applyFont="1" applyBorder="1" applyAlignment="1">
      <alignment horizontal="center" vertical="center" wrapText="1"/>
    </xf>
    <xf numFmtId="0" fontId="15" fillId="0" borderId="20" xfId="13" applyFont="1" applyBorder="1" applyAlignment="1">
      <alignment horizontal="center" vertical="center" wrapText="1"/>
    </xf>
    <xf numFmtId="0" fontId="15" fillId="0" borderId="18" xfId="13" applyFont="1" applyBorder="1" applyAlignment="1">
      <alignment horizontal="center" vertical="center"/>
    </xf>
    <xf numFmtId="0" fontId="15" fillId="0" borderId="20" xfId="13" applyFont="1" applyBorder="1" applyAlignment="1">
      <alignment horizontal="center" vertical="center"/>
    </xf>
    <xf numFmtId="14" fontId="11" fillId="0" borderId="0" xfId="13" applyNumberFormat="1" applyFont="1" applyAlignment="1">
      <alignment horizontal="center" vertical="center"/>
    </xf>
    <xf numFmtId="14" fontId="11" fillId="0" borderId="6" xfId="13" applyNumberFormat="1" applyFont="1" applyBorder="1" applyAlignment="1">
      <alignment horizontal="center" vertical="center"/>
    </xf>
    <xf numFmtId="0" fontId="9" fillId="0" borderId="1" xfId="13" applyFont="1" applyBorder="1" applyAlignment="1">
      <alignment horizontal="center" vertical="center"/>
    </xf>
    <xf numFmtId="0" fontId="9" fillId="0" borderId="3" xfId="13" applyFont="1" applyBorder="1" applyAlignment="1">
      <alignment horizontal="center" vertical="center"/>
    </xf>
    <xf numFmtId="176" fontId="11" fillId="0" borderId="4" xfId="13" applyNumberFormat="1" applyFont="1" applyBorder="1" applyAlignment="1">
      <alignment horizontal="center" vertical="center"/>
    </xf>
    <xf numFmtId="0" fontId="20" fillId="3" borderId="0" xfId="13" applyFont="1" applyFill="1" applyAlignment="1">
      <alignment horizontal="left" vertical="center"/>
    </xf>
    <xf numFmtId="14" fontId="21" fillId="3" borderId="0" xfId="13" applyNumberFormat="1" applyFont="1" applyFill="1" applyAlignment="1">
      <alignment horizontal="center" vertical="center"/>
    </xf>
    <xf numFmtId="14" fontId="21" fillId="3" borderId="6" xfId="13" applyNumberFormat="1" applyFont="1" applyFill="1" applyBorder="1" applyAlignment="1">
      <alignment horizontal="center" vertical="center"/>
    </xf>
    <xf numFmtId="0" fontId="22" fillId="0" borderId="1" xfId="13" applyFont="1" applyBorder="1" applyAlignment="1">
      <alignment horizontal="center" vertical="center"/>
    </xf>
    <xf numFmtId="0" fontId="22" fillId="0" borderId="3" xfId="13" applyFont="1" applyBorder="1" applyAlignment="1">
      <alignment horizontal="center" vertical="center"/>
    </xf>
    <xf numFmtId="0" fontId="9" fillId="0" borderId="21" xfId="13" applyFont="1" applyBorder="1" applyAlignment="1">
      <alignment horizontal="center" vertical="center"/>
    </xf>
    <xf numFmtId="0" fontId="9" fillId="0" borderId="23" xfId="13" applyFont="1" applyBorder="1" applyAlignment="1">
      <alignment horizontal="center" vertical="center"/>
    </xf>
    <xf numFmtId="176" fontId="11" fillId="0" borderId="12" xfId="13" applyNumberFormat="1" applyFont="1" applyBorder="1" applyAlignment="1">
      <alignment horizontal="center" vertical="center"/>
    </xf>
    <xf numFmtId="177" fontId="17" fillId="0" borderId="0" xfId="13" applyNumberFormat="1" applyFont="1" applyAlignment="1">
      <alignment horizontal="center" vertical="center" wrapText="1"/>
    </xf>
    <xf numFmtId="0" fontId="9" fillId="0" borderId="13" xfId="13" applyFont="1" applyBorder="1" applyAlignment="1">
      <alignment horizontal="center" vertical="center"/>
    </xf>
    <xf numFmtId="0" fontId="9" fillId="0" borderId="14" xfId="13" applyFont="1" applyBorder="1" applyAlignment="1">
      <alignment horizontal="center" vertical="center"/>
    </xf>
    <xf numFmtId="176" fontId="11" fillId="0" borderId="16" xfId="13" applyNumberFormat="1" applyFont="1" applyBorder="1" applyAlignment="1">
      <alignment horizontal="center" vertical="center"/>
    </xf>
    <xf numFmtId="176" fontId="11" fillId="0" borderId="8" xfId="13" applyNumberFormat="1" applyFont="1" applyBorder="1" applyAlignment="1">
      <alignment horizontal="center" vertical="center"/>
    </xf>
    <xf numFmtId="176" fontId="11" fillId="0" borderId="15" xfId="13" applyNumberFormat="1" applyFont="1" applyBorder="1" applyAlignment="1">
      <alignment horizontal="center" vertical="center"/>
    </xf>
    <xf numFmtId="0" fontId="9" fillId="0" borderId="4" xfId="13" applyFont="1" applyBorder="1" applyAlignment="1">
      <alignment horizontal="center" vertical="center" wrapText="1"/>
    </xf>
    <xf numFmtId="0" fontId="15" fillId="0" borderId="2" xfId="14" applyFont="1" applyBorder="1" applyAlignment="1" applyProtection="1">
      <alignment horizontal="center" vertical="center"/>
      <protection locked="0"/>
    </xf>
    <xf numFmtId="0" fontId="15" fillId="0" borderId="3" xfId="14" applyFont="1" applyBorder="1" applyAlignment="1" applyProtection="1">
      <alignment horizontal="center" vertical="center"/>
      <protection locked="0"/>
    </xf>
    <xf numFmtId="176" fontId="11" fillId="0" borderId="7" xfId="13" applyNumberFormat="1" applyFont="1" applyBorder="1" applyAlignment="1">
      <alignment horizontal="center" vertical="center"/>
    </xf>
    <xf numFmtId="0" fontId="15" fillId="0" borderId="4" xfId="14" applyFont="1" applyBorder="1" applyAlignment="1" applyProtection="1">
      <alignment horizontal="center" vertical="center"/>
      <protection locked="0"/>
    </xf>
    <xf numFmtId="0" fontId="8" fillId="0" borderId="1" xfId="13" applyFont="1" applyBorder="1" applyAlignment="1">
      <alignment horizontal="center" vertical="center"/>
    </xf>
    <xf numFmtId="0" fontId="8" fillId="0" borderId="2" xfId="13" applyFont="1" applyBorder="1" applyAlignment="1">
      <alignment horizontal="center" vertical="center"/>
    </xf>
    <xf numFmtId="0" fontId="8" fillId="0" borderId="3" xfId="13" applyFont="1" applyBorder="1" applyAlignment="1">
      <alignment horizontal="center" vertical="center"/>
    </xf>
    <xf numFmtId="0" fontId="9" fillId="0" borderId="1" xfId="13" applyFont="1" applyBorder="1" applyAlignment="1">
      <alignment horizontal="center" vertical="center" wrapText="1"/>
    </xf>
    <xf numFmtId="0" fontId="9" fillId="0" borderId="2" xfId="13" applyFont="1" applyBorder="1" applyAlignment="1">
      <alignment horizontal="center" vertical="center" wrapText="1"/>
    </xf>
    <xf numFmtId="0" fontId="9" fillId="0" borderId="3" xfId="13" applyFont="1" applyBorder="1" applyAlignment="1">
      <alignment horizontal="center" vertical="center" wrapText="1"/>
    </xf>
    <xf numFmtId="176" fontId="9" fillId="0" borderId="4" xfId="13" applyNumberFormat="1" applyFont="1" applyBorder="1" applyAlignment="1">
      <alignment horizontal="center" vertical="center"/>
    </xf>
    <xf numFmtId="177" fontId="9" fillId="0" borderId="4" xfId="13" applyNumberFormat="1" applyFont="1" applyBorder="1" applyAlignment="1">
      <alignment horizontal="center" vertical="center"/>
    </xf>
    <xf numFmtId="177" fontId="9" fillId="0" borderId="1" xfId="13" applyNumberFormat="1" applyFont="1" applyBorder="1" applyAlignment="1">
      <alignment horizontal="center" vertical="center"/>
    </xf>
    <xf numFmtId="177" fontId="9" fillId="0" borderId="2" xfId="13" applyNumberFormat="1" applyFont="1" applyBorder="1" applyAlignment="1">
      <alignment horizontal="center" vertical="center"/>
    </xf>
    <xf numFmtId="177" fontId="9" fillId="0" borderId="3" xfId="13" applyNumberFormat="1" applyFont="1" applyBorder="1" applyAlignment="1">
      <alignment horizontal="center" vertical="center"/>
    </xf>
    <xf numFmtId="178" fontId="9" fillId="0" borderId="4" xfId="13" applyNumberFormat="1" applyFont="1" applyBorder="1" applyAlignment="1">
      <alignment horizontal="center" vertical="center"/>
    </xf>
    <xf numFmtId="0" fontId="13" fillId="0" borderId="0" xfId="13" applyFont="1" applyAlignment="1">
      <alignment horizontal="center" vertical="center"/>
    </xf>
    <xf numFmtId="185" fontId="11" fillId="0" borderId="8" xfId="13" applyNumberFormat="1" applyFont="1" applyBorder="1" applyAlignment="1">
      <alignment horizontal="center" vertical="center" wrapText="1" shrinkToFit="1"/>
    </xf>
    <xf numFmtId="0" fontId="30" fillId="6" borderId="8" xfId="13" applyFont="1" applyFill="1" applyBorder="1" applyAlignment="1">
      <alignment horizontal="center" vertical="center" wrapText="1"/>
    </xf>
    <xf numFmtId="0" fontId="15" fillId="0" borderId="8" xfId="13" applyFont="1" applyBorder="1" applyAlignment="1">
      <alignment horizontal="center" vertical="center" wrapText="1"/>
    </xf>
    <xf numFmtId="0" fontId="11" fillId="6" borderId="8" xfId="13" applyFont="1" applyFill="1" applyBorder="1" applyAlignment="1">
      <alignment horizontal="center" vertical="center" wrapText="1"/>
    </xf>
    <xf numFmtId="177" fontId="11" fillId="6" borderId="8" xfId="13" applyNumberFormat="1" applyFont="1" applyFill="1" applyBorder="1" applyAlignment="1">
      <alignment horizontal="center" vertical="center" wrapText="1"/>
    </xf>
    <xf numFmtId="185" fontId="11" fillId="6" borderId="8" xfId="13" applyNumberFormat="1" applyFont="1" applyFill="1" applyBorder="1" applyAlignment="1">
      <alignment horizontal="center" vertical="center" wrapText="1" shrinkToFit="1"/>
    </xf>
    <xf numFmtId="0" fontId="11" fillId="0" borderId="8" xfId="13" applyFont="1" applyBorder="1" applyAlignment="1">
      <alignment horizontal="center" vertical="center" wrapText="1"/>
    </xf>
    <xf numFmtId="0" fontId="11" fillId="2" borderId="8" xfId="13" applyFont="1" applyFill="1" applyBorder="1" applyAlignment="1">
      <alignment horizontal="center" vertical="center" wrapText="1"/>
    </xf>
    <xf numFmtId="185" fontId="11" fillId="2" borderId="8" xfId="13" applyNumberFormat="1" applyFont="1" applyFill="1" applyBorder="1" applyAlignment="1">
      <alignment horizontal="center" vertical="center" wrapText="1" shrinkToFit="1"/>
    </xf>
    <xf numFmtId="0" fontId="30" fillId="0" borderId="16" xfId="13" applyFont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30" fillId="6" borderId="7" xfId="0" applyFont="1" applyFill="1" applyBorder="1" applyAlignment="1" applyProtection="1">
      <alignment horizontal="center" vertical="center" wrapText="1"/>
      <protection locked="0"/>
    </xf>
    <xf numFmtId="0" fontId="30" fillId="6" borderId="8" xfId="0" applyFont="1" applyFill="1" applyBorder="1" applyAlignment="1" applyProtection="1">
      <alignment horizontal="center" vertical="center" wrapText="1"/>
      <protection locked="0"/>
    </xf>
    <xf numFmtId="0" fontId="30" fillId="6" borderId="15" xfId="0" applyFont="1" applyFill="1" applyBorder="1" applyAlignment="1" applyProtection="1">
      <alignment horizontal="center" vertical="center" wrapText="1"/>
      <protection locked="0"/>
    </xf>
    <xf numFmtId="0" fontId="15" fillId="2" borderId="7" xfId="13" applyFont="1" applyFill="1" applyBorder="1" applyAlignment="1" applyProtection="1">
      <alignment horizontal="center" vertical="center" wrapText="1"/>
      <protection locked="0"/>
    </xf>
    <xf numFmtId="0" fontId="15" fillId="2" borderId="8" xfId="13" applyFont="1" applyFill="1" applyBorder="1" applyAlignment="1" applyProtection="1">
      <alignment horizontal="center" vertical="center" wrapText="1"/>
      <protection locked="0"/>
    </xf>
    <xf numFmtId="0" fontId="15" fillId="2" borderId="15" xfId="13" applyFont="1" applyFill="1" applyBorder="1" applyAlignment="1" applyProtection="1">
      <alignment horizontal="center" vertical="center" wrapText="1"/>
      <protection locked="0"/>
    </xf>
    <xf numFmtId="0" fontId="30" fillId="0" borderId="7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30" fillId="0" borderId="8" xfId="0" applyFont="1" applyBorder="1" applyAlignment="1" applyProtection="1">
      <alignment horizontal="center" vertical="center" wrapText="1"/>
      <protection locked="0"/>
    </xf>
    <xf numFmtId="0" fontId="30" fillId="0" borderId="1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177" fontId="21" fillId="0" borderId="7" xfId="13" applyNumberFormat="1" applyFont="1" applyBorder="1" applyAlignment="1">
      <alignment horizontal="center" vertical="center" wrapText="1"/>
    </xf>
    <xf numFmtId="177" fontId="21" fillId="0" borderId="8" xfId="13" applyNumberFormat="1" applyFont="1" applyBorder="1" applyAlignment="1">
      <alignment horizontal="center" vertical="center" wrapText="1"/>
    </xf>
    <xf numFmtId="177" fontId="21" fillId="0" borderId="15" xfId="13" applyNumberFormat="1" applyFont="1" applyBorder="1" applyAlignment="1">
      <alignment horizontal="center" vertical="center" wrapText="1"/>
    </xf>
    <xf numFmtId="0" fontId="30" fillId="2" borderId="7" xfId="13" applyFont="1" applyFill="1" applyBorder="1" applyAlignment="1" applyProtection="1">
      <alignment horizontal="center" vertical="center" wrapText="1"/>
      <protection locked="0"/>
    </xf>
    <xf numFmtId="0" fontId="30" fillId="2" borderId="8" xfId="13" applyFont="1" applyFill="1" applyBorder="1" applyAlignment="1" applyProtection="1">
      <alignment horizontal="center" vertical="center" wrapText="1"/>
      <protection locked="0"/>
    </xf>
    <xf numFmtId="0" fontId="30" fillId="2" borderId="15" xfId="13" applyFont="1" applyFill="1" applyBorder="1" applyAlignment="1" applyProtection="1">
      <alignment horizontal="center" vertical="center" wrapText="1"/>
      <protection locked="0"/>
    </xf>
    <xf numFmtId="0" fontId="30" fillId="0" borderId="8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4" borderId="4" xfId="13" applyFont="1" applyFill="1" applyBorder="1" applyAlignment="1">
      <alignment horizontal="center" vertical="center" shrinkToFit="1"/>
    </xf>
    <xf numFmtId="0" fontId="30" fillId="0" borderId="4" xfId="13" applyFont="1" applyBorder="1" applyAlignment="1">
      <alignment horizontal="center" vertical="center" wrapText="1"/>
    </xf>
    <xf numFmtId="0" fontId="30" fillId="6" borderId="16" xfId="13" applyFont="1" applyFill="1" applyBorder="1" applyAlignment="1">
      <alignment horizontal="center" vertical="center" wrapText="1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49" fontId="11" fillId="0" borderId="7" xfId="13" applyNumberFormat="1" applyFont="1" applyBorder="1" applyAlignment="1">
      <alignment horizontal="center" vertical="center" wrapText="1"/>
    </xf>
    <xf numFmtId="49" fontId="11" fillId="0" borderId="8" xfId="13" applyNumberFormat="1" applyFont="1" applyBorder="1" applyAlignment="1">
      <alignment horizontal="center" vertical="center" wrapText="1"/>
    </xf>
    <xf numFmtId="49" fontId="11" fillId="0" borderId="15" xfId="13" applyNumberFormat="1" applyFont="1" applyBorder="1" applyAlignment="1">
      <alignment horizontal="center" vertical="center" wrapText="1"/>
    </xf>
    <xf numFmtId="0" fontId="30" fillId="4" borderId="7" xfId="13" applyFont="1" applyFill="1" applyBorder="1" applyAlignment="1">
      <alignment horizontal="center" vertical="center" wrapText="1"/>
    </xf>
    <xf numFmtId="0" fontId="30" fillId="4" borderId="8" xfId="13" applyFont="1" applyFill="1" applyBorder="1" applyAlignment="1">
      <alignment horizontal="center" vertical="center" wrapText="1"/>
    </xf>
    <xf numFmtId="0" fontId="30" fillId="4" borderId="15" xfId="13" applyFont="1" applyFill="1" applyBorder="1" applyAlignment="1">
      <alignment horizontal="center" vertical="center" wrapText="1"/>
    </xf>
    <xf numFmtId="177" fontId="11" fillId="4" borderId="8" xfId="13" applyNumberFormat="1" applyFont="1" applyFill="1" applyBorder="1" applyAlignment="1">
      <alignment horizontal="center" vertical="center" wrapText="1"/>
    </xf>
    <xf numFmtId="177" fontId="11" fillId="4" borderId="15" xfId="13" applyNumberFormat="1" applyFont="1" applyFill="1" applyBorder="1" applyAlignment="1">
      <alignment horizontal="center" vertical="center" wrapText="1"/>
    </xf>
    <xf numFmtId="0" fontId="30" fillId="6" borderId="4" xfId="13" applyFont="1" applyFill="1" applyBorder="1" applyAlignment="1">
      <alignment horizontal="center" vertical="center" wrapText="1"/>
    </xf>
    <xf numFmtId="0" fontId="30" fillId="0" borderId="7" xfId="13" applyFont="1" applyBorder="1" applyAlignment="1" applyProtection="1">
      <alignment horizontal="center" vertical="center" wrapText="1"/>
      <protection locked="0"/>
    </xf>
    <xf numFmtId="0" fontId="30" fillId="0" borderId="15" xfId="13" applyFont="1" applyBorder="1" applyAlignment="1" applyProtection="1">
      <alignment horizontal="center" vertical="center" wrapText="1"/>
      <protection locked="0"/>
    </xf>
    <xf numFmtId="0" fontId="15" fillId="4" borderId="7" xfId="13" applyFont="1" applyFill="1" applyBorder="1" applyAlignment="1" applyProtection="1">
      <alignment horizontal="center" vertical="center" wrapText="1"/>
      <protection locked="0"/>
    </xf>
    <xf numFmtId="0" fontId="15" fillId="4" borderId="8" xfId="13" applyFont="1" applyFill="1" applyBorder="1" applyAlignment="1" applyProtection="1">
      <alignment horizontal="center" vertical="center" wrapText="1"/>
      <protection locked="0"/>
    </xf>
    <xf numFmtId="0" fontId="15" fillId="6" borderId="7" xfId="13" applyFont="1" applyFill="1" applyBorder="1" applyAlignment="1">
      <alignment horizontal="center" vertical="center" wrapText="1"/>
    </xf>
    <xf numFmtId="0" fontId="15" fillId="6" borderId="15" xfId="13" applyFont="1" applyFill="1" applyBorder="1" applyAlignment="1">
      <alignment horizontal="center" vertical="center" wrapText="1"/>
    </xf>
    <xf numFmtId="0" fontId="15" fillId="6" borderId="8" xfId="13" applyFont="1" applyFill="1" applyBorder="1" applyAlignment="1">
      <alignment horizontal="center" vertical="center" wrapText="1"/>
    </xf>
    <xf numFmtId="1" fontId="11" fillId="2" borderId="7" xfId="13" applyNumberFormat="1" applyFont="1" applyFill="1" applyBorder="1" applyAlignment="1" applyProtection="1">
      <alignment horizontal="center" vertical="center" wrapText="1"/>
      <protection locked="0"/>
    </xf>
    <xf numFmtId="1" fontId="11" fillId="2" borderId="8" xfId="13" applyNumberFormat="1" applyFont="1" applyFill="1" applyBorder="1" applyAlignment="1" applyProtection="1">
      <alignment horizontal="center" vertical="center" wrapText="1"/>
      <protection locked="0"/>
    </xf>
    <xf numFmtId="1" fontId="11" fillId="2" borderId="15" xfId="13" applyNumberFormat="1" applyFont="1" applyFill="1" applyBorder="1" applyAlignment="1" applyProtection="1">
      <alignment horizontal="center" vertical="center" wrapText="1"/>
      <protection locked="0"/>
    </xf>
    <xf numFmtId="0" fontId="30" fillId="6" borderId="7" xfId="13" applyFont="1" applyFill="1" applyBorder="1" applyAlignment="1" applyProtection="1">
      <alignment horizontal="center" vertical="center" wrapText="1"/>
      <protection locked="0"/>
    </xf>
    <xf numFmtId="0" fontId="30" fillId="6" borderId="8" xfId="13" applyFont="1" applyFill="1" applyBorder="1" applyAlignment="1" applyProtection="1">
      <alignment horizontal="center" vertical="center" wrapText="1"/>
      <protection locked="0"/>
    </xf>
    <xf numFmtId="0" fontId="30" fillId="6" borderId="15" xfId="13" applyFont="1" applyFill="1" applyBorder="1" applyAlignment="1" applyProtection="1">
      <alignment horizontal="center" vertical="center" wrapText="1"/>
      <protection locked="0"/>
    </xf>
    <xf numFmtId="182" fontId="30" fillId="0" borderId="7" xfId="13" applyNumberFormat="1" applyFont="1" applyBorder="1" applyAlignment="1">
      <alignment horizontal="center" vertical="center" wrapText="1"/>
    </xf>
    <xf numFmtId="185" fontId="11" fillId="4" borderId="7" xfId="13" applyNumberFormat="1" applyFont="1" applyFill="1" applyBorder="1" applyAlignment="1">
      <alignment horizontal="center" vertical="center" wrapText="1" shrinkToFit="1"/>
    </xf>
    <xf numFmtId="185" fontId="11" fillId="4" borderId="15" xfId="13" applyNumberFormat="1" applyFont="1" applyFill="1" applyBorder="1" applyAlignment="1">
      <alignment horizontal="center" vertical="center" wrapText="1" shrinkToFit="1"/>
    </xf>
    <xf numFmtId="1" fontId="11" fillId="0" borderId="7" xfId="13" applyNumberFormat="1" applyFont="1" applyBorder="1" applyAlignment="1" applyProtection="1">
      <alignment horizontal="center" vertical="center" wrapText="1"/>
      <protection locked="0"/>
    </xf>
    <xf numFmtId="1" fontId="11" fillId="0" borderId="8" xfId="13" applyNumberFormat="1" applyFont="1" applyBorder="1" applyAlignment="1" applyProtection="1">
      <alignment horizontal="center" vertical="center" wrapText="1"/>
      <protection locked="0"/>
    </xf>
    <xf numFmtId="1" fontId="11" fillId="0" borderId="15" xfId="13" applyNumberFormat="1" applyFont="1" applyBorder="1" applyAlignment="1" applyProtection="1">
      <alignment horizontal="center" vertical="center" wrapText="1"/>
      <protection locked="0"/>
    </xf>
    <xf numFmtId="0" fontId="30" fillId="0" borderId="8" xfId="13" applyFont="1" applyBorder="1" applyAlignment="1" applyProtection="1">
      <alignment horizontal="center" vertical="center" wrapText="1"/>
      <protection locked="0"/>
    </xf>
    <xf numFmtId="185" fontId="11" fillId="0" borderId="27" xfId="13" applyNumberFormat="1" applyFont="1" applyBorder="1" applyAlignment="1">
      <alignment vertical="center" wrapText="1" shrinkToFit="1"/>
    </xf>
    <xf numFmtId="185" fontId="11" fillId="0" borderId="4" xfId="13" applyNumberFormat="1" applyFont="1" applyBorder="1" applyAlignment="1">
      <alignment vertical="center" wrapText="1" shrinkToFit="1"/>
    </xf>
    <xf numFmtId="177" fontId="11" fillId="4" borderId="4" xfId="13" applyNumberFormat="1" applyFont="1" applyFill="1" applyBorder="1" applyAlignment="1">
      <alignment horizontal="center" vertical="center" wrapText="1"/>
    </xf>
    <xf numFmtId="178" fontId="11" fillId="0" borderId="4" xfId="13" applyNumberFormat="1" applyFont="1" applyFill="1" applyBorder="1" applyAlignment="1">
      <alignment horizontal="center" vertical="center" wrapText="1"/>
    </xf>
  </cellXfs>
  <cellStyles count="16">
    <cellStyle name="백분율 2" xfId="9" xr:uid="{00000000-0005-0000-0000-000000000000}"/>
    <cellStyle name="쉼표 [0]" xfId="11" builtinId="6"/>
    <cellStyle name="쉼표 [0] 2" xfId="2" xr:uid="{00000000-0005-0000-0000-000002000000}"/>
    <cellStyle name="쉼표 [0] 3" xfId="3" xr:uid="{00000000-0005-0000-0000-000003000000}"/>
    <cellStyle name="一般_HSG98" xfId="4" xr:uid="{00000000-0005-0000-0000-000004000000}"/>
    <cellStyle name="통화 [0]" xfId="12" builtinId="7"/>
    <cellStyle name="표준" xfId="0" builtinId="0"/>
    <cellStyle name="표준 2" xfId="1" xr:uid="{00000000-0005-0000-0000-000007000000}"/>
    <cellStyle name="표준 2 2" xfId="5" xr:uid="{00000000-0005-0000-0000-000008000000}"/>
    <cellStyle name="표준 2 2 2" xfId="6" xr:uid="{00000000-0005-0000-0000-000009000000}"/>
    <cellStyle name="표준 2 2 3" xfId="10" xr:uid="{00000000-0005-0000-0000-00000A000000}"/>
    <cellStyle name="표준 2 3" xfId="8" xr:uid="{00000000-0005-0000-0000-00000B000000}"/>
    <cellStyle name="표준 38" xfId="15" xr:uid="{8E073FB9-6D06-4505-BD03-B2E15B272023}"/>
    <cellStyle name="標準_サンプル改善指図書（シャツ）" xfId="7" xr:uid="{00000000-0005-0000-0000-00000C000000}"/>
    <cellStyle name="표준_세정,." xfId="13" xr:uid="{00000000-0005-0000-0000-00000D000000}"/>
    <cellStyle name="표준_세정,._2008 앤섬" xfId="14" xr:uid="{00000000-0005-0000-0000-00000E000000}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C69E-F160-480E-9478-430DD1EAE897}">
  <sheetPr>
    <pageSetUpPr fitToPage="1"/>
  </sheetPr>
  <dimension ref="A1:AF94"/>
  <sheetViews>
    <sheetView view="pageBreakPreview" topLeftCell="A7" zoomScale="75" zoomScaleNormal="100" zoomScaleSheetLayoutView="75" workbookViewId="0">
      <selection activeCell="P19" sqref="P19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148</v>
      </c>
      <c r="C2" s="548"/>
      <c r="D2" s="548"/>
      <c r="E2" s="548"/>
      <c r="F2" s="548"/>
      <c r="G2" s="549"/>
      <c r="H2" s="180" t="s">
        <v>1</v>
      </c>
      <c r="I2" s="550">
        <f>I11</f>
        <v>700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106</v>
      </c>
      <c r="B5" s="480"/>
      <c r="C5" s="182">
        <v>320</v>
      </c>
      <c r="D5" s="182">
        <v>300</v>
      </c>
      <c r="E5" s="182">
        <v>80</v>
      </c>
      <c r="F5" s="182"/>
      <c r="G5" s="182"/>
      <c r="H5" s="542" t="s">
        <v>24</v>
      </c>
      <c r="I5" s="524">
        <f t="shared" ref="I5:I11" si="0">SUM(C5:G5)</f>
        <v>700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45911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320</v>
      </c>
      <c r="D11" s="181">
        <f>SUM(D5:D10)</f>
        <v>300</v>
      </c>
      <c r="E11" s="181">
        <f>SUM(E5:E10)</f>
        <v>80</v>
      </c>
      <c r="F11" s="181">
        <f>SUM(F5:F10)</f>
        <v>0</v>
      </c>
      <c r="G11" s="181">
        <f>SUM(G5:G10)</f>
        <v>0</v>
      </c>
      <c r="H11" s="182"/>
      <c r="I11" s="481">
        <f t="shared" si="0"/>
        <v>700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46038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326.39999999999998</v>
      </c>
      <c r="D12" s="43">
        <f>D11*1.02</f>
        <v>306</v>
      </c>
      <c r="E12" s="43">
        <f>E11*1.02</f>
        <v>81.599999999999994</v>
      </c>
      <c r="F12" s="43">
        <f>F11*1.02</f>
        <v>0</v>
      </c>
      <c r="G12" s="43">
        <f>G11*1.02</f>
        <v>0</v>
      </c>
      <c r="H12" s="44"/>
      <c r="I12" s="486">
        <f>I11*1.02</f>
        <v>714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700</v>
      </c>
      <c r="C15" s="474" t="str">
        <f t="shared" ref="C15:C23" si="2">$A$5</f>
        <v>NA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1.47</v>
      </c>
      <c r="L15" s="67" t="s">
        <v>7</v>
      </c>
      <c r="M15" s="68">
        <f>K15*B15</f>
        <v>1029</v>
      </c>
      <c r="N15" s="69"/>
      <c r="O15" s="70"/>
      <c r="P15" s="67" t="s">
        <v>7</v>
      </c>
      <c r="Q15" s="478">
        <v>45926</v>
      </c>
      <c r="R15" s="311">
        <v>1068.5</v>
      </c>
      <c r="S15" s="71" t="s">
        <v>7</v>
      </c>
      <c r="T15" s="123">
        <f t="shared" ref="T15:T82" si="3">R15-M15</f>
        <v>39.5</v>
      </c>
      <c r="U15" s="72"/>
      <c r="V15" s="72"/>
      <c r="W15" s="73"/>
      <c r="X15" s="74"/>
      <c r="Y15" s="479" t="s">
        <v>151</v>
      </c>
      <c r="Z15" s="63"/>
      <c r="AA15" s="64"/>
      <c r="AB15" s="360" t="s">
        <v>167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442"/>
      <c r="J16" s="76" t="s">
        <v>6</v>
      </c>
      <c r="K16" s="83"/>
      <c r="L16" s="77" t="s">
        <v>7</v>
      </c>
      <c r="M16" s="78">
        <f t="shared" ref="M16:M82" si="4">K16*B16</f>
        <v>0</v>
      </c>
      <c r="N16" s="79"/>
      <c r="O16" s="128"/>
      <c r="P16" s="77" t="s">
        <v>7</v>
      </c>
      <c r="Q16" s="444"/>
      <c r="R16" s="130"/>
      <c r="S16" s="75" t="s">
        <v>7</v>
      </c>
      <c r="T16" s="81">
        <f t="shared" si="3"/>
        <v>0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700</v>
      </c>
      <c r="C17" s="461" t="str">
        <f t="shared" si="2"/>
        <v>NA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206" customFormat="1" ht="69.95" customHeight="1" x14ac:dyDescent="0.15">
      <c r="A19" s="431" t="s">
        <v>132</v>
      </c>
      <c r="B19" s="191">
        <f t="shared" ref="B19" si="5">$I$5</f>
        <v>700</v>
      </c>
      <c r="C19" s="465" t="str">
        <f t="shared" ref="C19" si="6">$A$5</f>
        <v>NA</v>
      </c>
      <c r="D19" s="465"/>
      <c r="E19" s="465"/>
      <c r="F19" s="465"/>
      <c r="G19" s="465"/>
      <c r="H19" s="465"/>
      <c r="I19" s="433" t="s">
        <v>58</v>
      </c>
      <c r="J19" s="192" t="s">
        <v>6</v>
      </c>
      <c r="K19" s="209">
        <v>7.0000000000000007E-2</v>
      </c>
      <c r="L19" s="194" t="s">
        <v>7</v>
      </c>
      <c r="M19" s="195">
        <f t="shared" si="4"/>
        <v>49.000000000000007</v>
      </c>
      <c r="N19" s="196"/>
      <c r="O19" s="195"/>
      <c r="P19" s="197" t="s">
        <v>7</v>
      </c>
      <c r="Q19" s="435"/>
      <c r="R19" s="195"/>
      <c r="S19" s="197" t="s">
        <v>7</v>
      </c>
      <c r="T19" s="198">
        <f t="shared" si="3"/>
        <v>-49.000000000000007</v>
      </c>
      <c r="U19" s="199"/>
      <c r="V19" s="200"/>
      <c r="W19" s="195"/>
      <c r="X19" s="195"/>
      <c r="Y19" s="437" t="s">
        <v>93</v>
      </c>
      <c r="Z19" s="235"/>
      <c r="AA19" s="202"/>
      <c r="AB19" s="439"/>
      <c r="AC19" s="229"/>
      <c r="AD19" s="230"/>
      <c r="AE19" s="230"/>
      <c r="AF19" s="230"/>
    </row>
    <row r="20" spans="1:32" s="206" customFormat="1" ht="69.95" customHeight="1" x14ac:dyDescent="0.15">
      <c r="A20" s="432"/>
      <c r="B20" s="191">
        <f>$I$6</f>
        <v>0</v>
      </c>
      <c r="C20" s="465">
        <f>$A$6</f>
        <v>0</v>
      </c>
      <c r="D20" s="465"/>
      <c r="E20" s="465"/>
      <c r="F20" s="465"/>
      <c r="G20" s="465"/>
      <c r="H20" s="465"/>
      <c r="I20" s="434"/>
      <c r="J20" s="192" t="s">
        <v>6</v>
      </c>
      <c r="K20" s="209"/>
      <c r="L20" s="194" t="s">
        <v>7</v>
      </c>
      <c r="M20" s="195">
        <f t="shared" si="4"/>
        <v>0</v>
      </c>
      <c r="N20" s="196"/>
      <c r="O20" s="210"/>
      <c r="P20" s="194" t="s">
        <v>7</v>
      </c>
      <c r="Q20" s="436"/>
      <c r="R20" s="236"/>
      <c r="S20" s="207" t="s">
        <v>7</v>
      </c>
      <c r="T20" s="198">
        <f t="shared" si="3"/>
        <v>0</v>
      </c>
      <c r="U20" s="211"/>
      <c r="V20" s="211"/>
      <c r="W20" s="212"/>
      <c r="X20" s="213"/>
      <c r="Y20" s="438"/>
      <c r="Z20" s="214"/>
      <c r="AA20" s="202"/>
      <c r="AB20" s="440"/>
      <c r="AC20" s="229"/>
      <c r="AD20" s="230"/>
      <c r="AE20" s="230"/>
      <c r="AF20" s="230"/>
    </row>
    <row r="21" spans="1:32" s="55" customFormat="1" ht="69.95" customHeight="1" x14ac:dyDescent="0.15">
      <c r="A21" s="431" t="s">
        <v>85</v>
      </c>
      <c r="B21" s="182">
        <f t="shared" si="1"/>
        <v>700</v>
      </c>
      <c r="C21" s="461" t="str">
        <f t="shared" si="2"/>
        <v>NA</v>
      </c>
      <c r="D21" s="461"/>
      <c r="E21" s="461"/>
      <c r="F21" s="461"/>
      <c r="G21" s="461"/>
      <c r="H21" s="461"/>
      <c r="I21" s="441" t="s">
        <v>8</v>
      </c>
      <c r="J21" s="76" t="s">
        <v>6</v>
      </c>
      <c r="K21" s="136">
        <v>0.21</v>
      </c>
      <c r="L21" s="77" t="s">
        <v>7</v>
      </c>
      <c r="M21" s="78">
        <f t="shared" si="4"/>
        <v>147</v>
      </c>
      <c r="N21" s="79"/>
      <c r="O21" s="78"/>
      <c r="P21" s="80" t="s">
        <v>7</v>
      </c>
      <c r="Q21" s="443">
        <v>45926</v>
      </c>
      <c r="R21" s="78">
        <v>147</v>
      </c>
      <c r="S21" s="80" t="s">
        <v>7</v>
      </c>
      <c r="T21" s="81">
        <f t="shared" si="3"/>
        <v>0</v>
      </c>
      <c r="U21" s="82"/>
      <c r="V21" s="137"/>
      <c r="W21" s="78"/>
      <c r="X21" s="78"/>
      <c r="Y21" s="445" t="s">
        <v>93</v>
      </c>
      <c r="Z21" s="138"/>
      <c r="AA21" s="135"/>
      <c r="AB21" s="360" t="s">
        <v>167</v>
      </c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$I$6</f>
        <v>0</v>
      </c>
      <c r="C22" s="461">
        <f>$A$6</f>
        <v>0</v>
      </c>
      <c r="D22" s="461"/>
      <c r="E22" s="461"/>
      <c r="F22" s="461"/>
      <c r="G22" s="461"/>
      <c r="H22" s="461"/>
      <c r="I22" s="442"/>
      <c r="J22" s="76" t="s">
        <v>6</v>
      </c>
      <c r="K22" s="136"/>
      <c r="L22" s="77" t="s">
        <v>7</v>
      </c>
      <c r="M22" s="78">
        <f t="shared" si="4"/>
        <v>0</v>
      </c>
      <c r="N22" s="79"/>
      <c r="O22" s="128"/>
      <c r="P22" s="77" t="s">
        <v>7</v>
      </c>
      <c r="Q22" s="444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228"/>
      <c r="AA22" s="228"/>
      <c r="AB22" s="362"/>
      <c r="AC22" s="178"/>
      <c r="AD22" s="179"/>
      <c r="AE22" s="179"/>
      <c r="AF22" s="179"/>
    </row>
    <row r="23" spans="1:32" s="176" customFormat="1" ht="69.95" customHeight="1" x14ac:dyDescent="0.15">
      <c r="A23" s="431" t="s">
        <v>107</v>
      </c>
      <c r="B23" s="239">
        <f t="shared" si="1"/>
        <v>700</v>
      </c>
      <c r="C23" s="456" t="str">
        <f t="shared" si="2"/>
        <v>NA</v>
      </c>
      <c r="D23" s="456"/>
      <c r="E23" s="456"/>
      <c r="F23" s="456"/>
      <c r="G23" s="456"/>
      <c r="H23" s="456"/>
      <c r="I23" s="457" t="s">
        <v>58</v>
      </c>
      <c r="J23" s="240" t="s">
        <v>6</v>
      </c>
      <c r="K23" s="241">
        <v>0.1</v>
      </c>
      <c r="L23" s="168" t="s">
        <v>7</v>
      </c>
      <c r="M23" s="242">
        <f t="shared" si="4"/>
        <v>70</v>
      </c>
      <c r="N23" s="243"/>
      <c r="O23" s="242"/>
      <c r="P23" s="244" t="s">
        <v>7</v>
      </c>
      <c r="Q23" s="376">
        <v>45926</v>
      </c>
      <c r="R23" s="245">
        <v>70</v>
      </c>
      <c r="S23" s="244" t="s">
        <v>7</v>
      </c>
      <c r="T23" s="245">
        <f t="shared" si="3"/>
        <v>0</v>
      </c>
      <c r="U23" s="246"/>
      <c r="V23" s="247"/>
      <c r="W23" s="242"/>
      <c r="X23" s="242"/>
      <c r="Y23" s="459" t="s">
        <v>59</v>
      </c>
      <c r="Z23" s="248"/>
      <c r="AA23" s="249"/>
      <c r="AB23" s="448" t="s">
        <v>166</v>
      </c>
      <c r="AC23" s="250"/>
      <c r="AD23" s="251"/>
      <c r="AE23" s="251"/>
      <c r="AF23" s="251"/>
    </row>
    <row r="24" spans="1:32" s="176" customFormat="1" ht="69.95" customHeight="1" x14ac:dyDescent="0.15">
      <c r="A24" s="432"/>
      <c r="B24" s="239">
        <f>$I$6</f>
        <v>0</v>
      </c>
      <c r="C24" s="456">
        <f>$A$6</f>
        <v>0</v>
      </c>
      <c r="D24" s="456"/>
      <c r="E24" s="456"/>
      <c r="F24" s="456"/>
      <c r="G24" s="456"/>
      <c r="H24" s="456"/>
      <c r="I24" s="458"/>
      <c r="J24" s="240" t="s">
        <v>6</v>
      </c>
      <c r="K24" s="241"/>
      <c r="L24" s="168" t="s">
        <v>7</v>
      </c>
      <c r="M24" s="242">
        <f t="shared" si="4"/>
        <v>0</v>
      </c>
      <c r="N24" s="243"/>
      <c r="O24" s="253"/>
      <c r="P24" s="168" t="s">
        <v>7</v>
      </c>
      <c r="Q24" s="378"/>
      <c r="R24" s="254"/>
      <c r="S24" s="255" t="s">
        <v>7</v>
      </c>
      <c r="T24" s="245">
        <f t="shared" si="3"/>
        <v>0</v>
      </c>
      <c r="U24" s="256"/>
      <c r="V24" s="256"/>
      <c r="W24" s="257"/>
      <c r="X24" s="258"/>
      <c r="Y24" s="460"/>
      <c r="Z24" s="259"/>
      <c r="AA24" s="249"/>
      <c r="AB24" s="449"/>
      <c r="AC24" s="250"/>
      <c r="AD24" s="251"/>
      <c r="AE24" s="251"/>
      <c r="AF24" s="251"/>
    </row>
    <row r="25" spans="1:32" s="261" customFormat="1" ht="69.95" customHeight="1" x14ac:dyDescent="0.15">
      <c r="A25" s="431" t="s">
        <v>108</v>
      </c>
      <c r="B25" s="239">
        <f>$I$5</f>
        <v>700</v>
      </c>
      <c r="C25" s="456" t="str">
        <f>$A$5</f>
        <v>NA</v>
      </c>
      <c r="D25" s="456"/>
      <c r="E25" s="456"/>
      <c r="F25" s="456"/>
      <c r="G25" s="456"/>
      <c r="H25" s="456"/>
      <c r="I25" s="457" t="s">
        <v>8</v>
      </c>
      <c r="J25" s="240" t="s">
        <v>6</v>
      </c>
      <c r="K25" s="241">
        <v>0.13</v>
      </c>
      <c r="L25" s="168" t="s">
        <v>7</v>
      </c>
      <c r="M25" s="242">
        <f>K25*B25</f>
        <v>91</v>
      </c>
      <c r="N25" s="243"/>
      <c r="O25" s="242"/>
      <c r="P25" s="244" t="s">
        <v>7</v>
      </c>
      <c r="Q25" s="376">
        <v>45926</v>
      </c>
      <c r="R25" s="242">
        <v>91</v>
      </c>
      <c r="S25" s="244" t="s">
        <v>9</v>
      </c>
      <c r="T25" s="245">
        <f t="shared" si="3"/>
        <v>0</v>
      </c>
      <c r="U25" s="246"/>
      <c r="V25" s="247"/>
      <c r="W25" s="242"/>
      <c r="X25" s="242"/>
      <c r="Y25" s="459" t="s">
        <v>59</v>
      </c>
      <c r="Z25" s="260"/>
      <c r="AA25" s="249"/>
      <c r="AB25" s="449"/>
    </row>
    <row r="26" spans="1:32" s="261" customFormat="1" ht="69.95" customHeight="1" x14ac:dyDescent="0.15">
      <c r="A26" s="432"/>
      <c r="B26" s="239">
        <f>$I$6</f>
        <v>0</v>
      </c>
      <c r="C26" s="456">
        <f>$A$6</f>
        <v>0</v>
      </c>
      <c r="D26" s="456"/>
      <c r="E26" s="456"/>
      <c r="F26" s="456"/>
      <c r="G26" s="456"/>
      <c r="H26" s="456"/>
      <c r="I26" s="458"/>
      <c r="J26" s="240" t="s">
        <v>6</v>
      </c>
      <c r="K26" s="262"/>
      <c r="L26" s="168" t="s">
        <v>7</v>
      </c>
      <c r="M26" s="242">
        <f>K26*B26</f>
        <v>0</v>
      </c>
      <c r="N26" s="243"/>
      <c r="O26" s="253"/>
      <c r="P26" s="168" t="s">
        <v>7</v>
      </c>
      <c r="Q26" s="378"/>
      <c r="R26" s="247"/>
      <c r="S26" s="255" t="s">
        <v>9</v>
      </c>
      <c r="T26" s="245">
        <f t="shared" si="3"/>
        <v>0</v>
      </c>
      <c r="U26" s="256"/>
      <c r="V26" s="256"/>
      <c r="W26" s="257"/>
      <c r="X26" s="258"/>
      <c r="Y26" s="460"/>
      <c r="Z26" s="259"/>
      <c r="AA26" s="249"/>
      <c r="AB26" s="450"/>
      <c r="AC26" s="462"/>
      <c r="AD26" s="463"/>
      <c r="AE26" s="463"/>
      <c r="AF26" s="463"/>
    </row>
    <row r="27" spans="1:32" s="203" customFormat="1" ht="69.95" customHeight="1" x14ac:dyDescent="0.15">
      <c r="A27" s="464" t="s">
        <v>77</v>
      </c>
      <c r="B27" s="191">
        <f>$I$5</f>
        <v>700</v>
      </c>
      <c r="C27" s="465" t="str">
        <f>$A$5</f>
        <v>NA</v>
      </c>
      <c r="D27" s="465"/>
      <c r="E27" s="465"/>
      <c r="F27" s="465"/>
      <c r="G27" s="465"/>
      <c r="H27" s="465"/>
      <c r="I27" s="433" t="s">
        <v>110</v>
      </c>
      <c r="J27" s="192"/>
      <c r="K27" s="209">
        <v>1.8</v>
      </c>
      <c r="L27" s="194" t="s">
        <v>7</v>
      </c>
      <c r="M27" s="195">
        <f>K27*B27/100</f>
        <v>12.6</v>
      </c>
      <c r="N27" s="196"/>
      <c r="O27" s="195"/>
      <c r="P27" s="197" t="s">
        <v>7</v>
      </c>
      <c r="Q27" s="435"/>
      <c r="R27" s="195"/>
      <c r="S27" s="197" t="s">
        <v>9</v>
      </c>
      <c r="T27" s="198">
        <f t="shared" si="3"/>
        <v>-12.6</v>
      </c>
      <c r="U27" s="199"/>
      <c r="V27" s="200"/>
      <c r="W27" s="195"/>
      <c r="X27" s="195"/>
      <c r="Y27" s="437" t="s">
        <v>94</v>
      </c>
      <c r="Z27" s="201"/>
      <c r="AA27" s="202"/>
      <c r="AB27" s="439"/>
    </row>
    <row r="28" spans="1:32" s="203" customFormat="1" ht="69.95" customHeight="1" x14ac:dyDescent="0.15">
      <c r="A28" s="464"/>
      <c r="B28" s="191">
        <f>$I$6</f>
        <v>0</v>
      </c>
      <c r="C28" s="465">
        <f>$A$6</f>
        <v>0</v>
      </c>
      <c r="D28" s="465"/>
      <c r="E28" s="465"/>
      <c r="F28" s="465"/>
      <c r="G28" s="465"/>
      <c r="H28" s="465"/>
      <c r="I28" s="434"/>
      <c r="J28" s="192"/>
      <c r="K28" s="208">
        <v>1.8</v>
      </c>
      <c r="L28" s="194" t="s">
        <v>7</v>
      </c>
      <c r="M28" s="195">
        <f>K28*B28/100</f>
        <v>0</v>
      </c>
      <c r="N28" s="196"/>
      <c r="O28" s="210"/>
      <c r="P28" s="194" t="s">
        <v>7</v>
      </c>
      <c r="Q28" s="436"/>
      <c r="R28" s="200"/>
      <c r="S28" s="207" t="s">
        <v>9</v>
      </c>
      <c r="T28" s="198">
        <f t="shared" si="3"/>
        <v>0</v>
      </c>
      <c r="U28" s="211"/>
      <c r="V28" s="211"/>
      <c r="W28" s="212"/>
      <c r="X28" s="213"/>
      <c r="Y28" s="438"/>
      <c r="Z28" s="214"/>
      <c r="AA28" s="202"/>
      <c r="AB28" s="440"/>
      <c r="AC28" s="466"/>
      <c r="AD28" s="467"/>
      <c r="AE28" s="467"/>
      <c r="AF28" s="467"/>
    </row>
    <row r="29" spans="1:32" s="261" customFormat="1" ht="69.95" customHeight="1" x14ac:dyDescent="0.15">
      <c r="A29" s="464" t="s">
        <v>86</v>
      </c>
      <c r="B29" s="239">
        <f>$I$5</f>
        <v>700</v>
      </c>
      <c r="C29" s="456" t="str">
        <f>$A$5</f>
        <v>NA</v>
      </c>
      <c r="D29" s="456"/>
      <c r="E29" s="456"/>
      <c r="F29" s="456"/>
      <c r="G29" s="456"/>
      <c r="H29" s="456"/>
      <c r="I29" s="457" t="s">
        <v>76</v>
      </c>
      <c r="J29" s="240"/>
      <c r="K29" s="241">
        <v>2.7</v>
      </c>
      <c r="L29" s="168" t="s">
        <v>7</v>
      </c>
      <c r="M29" s="242">
        <f>K29*B29/50</f>
        <v>37.800000000000004</v>
      </c>
      <c r="N29" s="243"/>
      <c r="O29" s="242"/>
      <c r="P29" s="244" t="s">
        <v>7</v>
      </c>
      <c r="Q29" s="376">
        <v>45926</v>
      </c>
      <c r="R29" s="242">
        <v>38</v>
      </c>
      <c r="S29" s="244" t="s">
        <v>9</v>
      </c>
      <c r="T29" s="245">
        <f t="shared" si="3"/>
        <v>0.19999999999999574</v>
      </c>
      <c r="U29" s="246"/>
      <c r="V29" s="247"/>
      <c r="W29" s="242"/>
      <c r="X29" s="242"/>
      <c r="Y29" s="459" t="s">
        <v>94</v>
      </c>
      <c r="Z29" s="260"/>
      <c r="AA29" s="249"/>
      <c r="AB29" s="448" t="s">
        <v>166</v>
      </c>
    </row>
    <row r="30" spans="1:32" s="261" customFormat="1" ht="69.95" customHeight="1" x14ac:dyDescent="0.15">
      <c r="A30" s="464"/>
      <c r="B30" s="239">
        <f>$I$6</f>
        <v>0</v>
      </c>
      <c r="C30" s="456">
        <f>$A$6</f>
        <v>0</v>
      </c>
      <c r="D30" s="456"/>
      <c r="E30" s="456"/>
      <c r="F30" s="456"/>
      <c r="G30" s="456"/>
      <c r="H30" s="456"/>
      <c r="I30" s="458"/>
      <c r="J30" s="240"/>
      <c r="K30" s="262"/>
      <c r="L30" s="168" t="s">
        <v>7</v>
      </c>
      <c r="M30" s="242">
        <f>K30*B30/50</f>
        <v>0</v>
      </c>
      <c r="N30" s="243"/>
      <c r="O30" s="253"/>
      <c r="P30" s="168" t="s">
        <v>7</v>
      </c>
      <c r="Q30" s="378"/>
      <c r="R30" s="247"/>
      <c r="S30" s="255" t="s">
        <v>9</v>
      </c>
      <c r="T30" s="245">
        <f t="shared" si="3"/>
        <v>0</v>
      </c>
      <c r="U30" s="256"/>
      <c r="V30" s="256"/>
      <c r="W30" s="257"/>
      <c r="X30" s="258"/>
      <c r="Y30" s="460"/>
      <c r="Z30" s="259"/>
      <c r="AA30" s="249"/>
      <c r="AB30" s="450"/>
      <c r="AC30" s="462"/>
      <c r="AD30" s="463"/>
      <c r="AE30" s="463"/>
      <c r="AF30" s="463"/>
    </row>
    <row r="31" spans="1:32" s="203" customFormat="1" ht="69.95" customHeight="1" x14ac:dyDescent="0.15">
      <c r="A31" s="464" t="s">
        <v>116</v>
      </c>
      <c r="B31" s="191">
        <f>$I$5</f>
        <v>700</v>
      </c>
      <c r="C31" s="465" t="str">
        <f>$A$5</f>
        <v>NA</v>
      </c>
      <c r="D31" s="465"/>
      <c r="E31" s="465"/>
      <c r="F31" s="465"/>
      <c r="G31" s="465"/>
      <c r="H31" s="465"/>
      <c r="I31" s="433" t="s">
        <v>76</v>
      </c>
      <c r="J31" s="192"/>
      <c r="K31" s="209">
        <v>2.4</v>
      </c>
      <c r="L31" s="194" t="s">
        <v>7</v>
      </c>
      <c r="M31" s="195">
        <f>K31*B31/50</f>
        <v>33.6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-33.6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x14ac:dyDescent="0.15">
      <c r="A32" s="464"/>
      <c r="B32" s="191">
        <f>$I$6</f>
        <v>0</v>
      </c>
      <c r="C32" s="465">
        <f>$A$6</f>
        <v>0</v>
      </c>
      <c r="D32" s="465"/>
      <c r="E32" s="465"/>
      <c r="F32" s="465"/>
      <c r="G32" s="465"/>
      <c r="H32" s="465"/>
      <c r="I32" s="434"/>
      <c r="J32" s="192"/>
      <c r="K32" s="208">
        <v>2.4</v>
      </c>
      <c r="L32" s="194" t="s">
        <v>7</v>
      </c>
      <c r="M32" s="195">
        <f>K32*B32/50</f>
        <v>0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0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x14ac:dyDescent="0.15">
      <c r="A33" s="431" t="s">
        <v>87</v>
      </c>
      <c r="B33" s="239">
        <f>$I$5</f>
        <v>700</v>
      </c>
      <c r="C33" s="456" t="str">
        <f>$A$5</f>
        <v>NA</v>
      </c>
      <c r="D33" s="456"/>
      <c r="E33" s="456"/>
      <c r="F33" s="456" t="str">
        <f>$A$5</f>
        <v>NA</v>
      </c>
      <c r="G33" s="456"/>
      <c r="H33" s="456"/>
      <c r="I33" s="457" t="s">
        <v>60</v>
      </c>
      <c r="J33" s="240"/>
      <c r="K33" s="263">
        <v>220</v>
      </c>
      <c r="L33" s="168" t="s">
        <v>61</v>
      </c>
      <c r="M33" s="242">
        <f>K33*B33/4000</f>
        <v>38.5</v>
      </c>
      <c r="N33" s="243"/>
      <c r="O33" s="242"/>
      <c r="P33" s="244" t="s">
        <v>10</v>
      </c>
      <c r="Q33" s="376">
        <v>45926</v>
      </c>
      <c r="R33" s="242">
        <v>39</v>
      </c>
      <c r="S33" s="244" t="s">
        <v>10</v>
      </c>
      <c r="T33" s="245">
        <f t="shared" si="3"/>
        <v>0.5</v>
      </c>
      <c r="U33" s="246"/>
      <c r="V33" s="247"/>
      <c r="W33" s="242"/>
      <c r="X33" s="242"/>
      <c r="Y33" s="459" t="s">
        <v>94</v>
      </c>
      <c r="Z33" s="260"/>
      <c r="AA33" s="249"/>
      <c r="AB33" s="448" t="s">
        <v>166</v>
      </c>
    </row>
    <row r="34" spans="1:32" s="176" customFormat="1" ht="69.95" customHeight="1" x14ac:dyDescent="0.15">
      <c r="A34" s="432"/>
      <c r="B34" s="264">
        <f>$I$6</f>
        <v>0</v>
      </c>
      <c r="C34" s="413">
        <f>$A$6</f>
        <v>0</v>
      </c>
      <c r="D34" s="414"/>
      <c r="E34" s="415"/>
      <c r="F34" s="413">
        <f>$A$6</f>
        <v>0</v>
      </c>
      <c r="G34" s="414"/>
      <c r="H34" s="415"/>
      <c r="I34" s="458"/>
      <c r="J34" s="265"/>
      <c r="K34" s="263"/>
      <c r="L34" s="266" t="s">
        <v>61</v>
      </c>
      <c r="M34" s="242">
        <f>K34*B34/4000</f>
        <v>0</v>
      </c>
      <c r="N34" s="267"/>
      <c r="O34" s="268"/>
      <c r="P34" s="266" t="s">
        <v>10</v>
      </c>
      <c r="Q34" s="377"/>
      <c r="R34" s="269"/>
      <c r="S34" s="252" t="s">
        <v>10</v>
      </c>
      <c r="T34" s="270">
        <f t="shared" si="3"/>
        <v>0</v>
      </c>
      <c r="U34" s="271"/>
      <c r="V34" s="271"/>
      <c r="W34" s="272"/>
      <c r="X34" s="273"/>
      <c r="Y34" s="460"/>
      <c r="Z34" s="274"/>
      <c r="AA34" s="275"/>
      <c r="AB34" s="449"/>
      <c r="AC34" s="451"/>
      <c r="AD34" s="452"/>
      <c r="AE34" s="452"/>
      <c r="AF34" s="452"/>
    </row>
    <row r="35" spans="1:32" s="261" customFormat="1" ht="69.95" customHeight="1" x14ac:dyDescent="0.15">
      <c r="A35" s="431" t="s">
        <v>88</v>
      </c>
      <c r="B35" s="239">
        <f>$I$5</f>
        <v>700</v>
      </c>
      <c r="C35" s="456" t="str">
        <f>$A$5</f>
        <v>NA</v>
      </c>
      <c r="D35" s="456"/>
      <c r="E35" s="456"/>
      <c r="F35" s="456" t="str">
        <f>$A$5</f>
        <v>NA</v>
      </c>
      <c r="G35" s="456"/>
      <c r="H35" s="456"/>
      <c r="I35" s="457" t="s">
        <v>62</v>
      </c>
      <c r="J35" s="240"/>
      <c r="K35" s="263">
        <v>130</v>
      </c>
      <c r="L35" s="168" t="s">
        <v>61</v>
      </c>
      <c r="M35" s="242">
        <f t="shared" ref="M35:M36" si="7">K35*B35/2500</f>
        <v>36.4</v>
      </c>
      <c r="N35" s="243"/>
      <c r="O35" s="242"/>
      <c r="P35" s="244" t="s">
        <v>10</v>
      </c>
      <c r="Q35" s="377"/>
      <c r="R35" s="242">
        <v>37</v>
      </c>
      <c r="S35" s="244" t="s">
        <v>10</v>
      </c>
      <c r="T35" s="245">
        <f t="shared" si="3"/>
        <v>0.60000000000000142</v>
      </c>
      <c r="U35" s="246"/>
      <c r="V35" s="247"/>
      <c r="W35" s="242"/>
      <c r="X35" s="242"/>
      <c r="Y35" s="459" t="s">
        <v>94</v>
      </c>
      <c r="Z35" s="260"/>
      <c r="AA35" s="249"/>
      <c r="AB35" s="449"/>
    </row>
    <row r="36" spans="1:32" s="176" customFormat="1" ht="69.95" customHeight="1" x14ac:dyDescent="0.15">
      <c r="A36" s="432"/>
      <c r="B36" s="264">
        <f>$I$6</f>
        <v>0</v>
      </c>
      <c r="C36" s="413">
        <f>$A$6</f>
        <v>0</v>
      </c>
      <c r="D36" s="414"/>
      <c r="E36" s="415"/>
      <c r="F36" s="413">
        <f>$A$6</f>
        <v>0</v>
      </c>
      <c r="G36" s="414"/>
      <c r="H36" s="415"/>
      <c r="I36" s="458"/>
      <c r="J36" s="265"/>
      <c r="K36" s="263"/>
      <c r="L36" s="266" t="s">
        <v>61</v>
      </c>
      <c r="M36" s="242">
        <f t="shared" si="7"/>
        <v>0</v>
      </c>
      <c r="N36" s="267"/>
      <c r="O36" s="268"/>
      <c r="P36" s="266" t="s">
        <v>10</v>
      </c>
      <c r="Q36" s="377"/>
      <c r="R36" s="269"/>
      <c r="S36" s="252" t="s">
        <v>10</v>
      </c>
      <c r="T36" s="270">
        <f t="shared" si="3"/>
        <v>0</v>
      </c>
      <c r="U36" s="271"/>
      <c r="V36" s="271"/>
      <c r="W36" s="272"/>
      <c r="X36" s="273"/>
      <c r="Y36" s="460"/>
      <c r="Z36" s="274"/>
      <c r="AA36" s="275"/>
      <c r="AB36" s="449"/>
      <c r="AC36" s="451"/>
      <c r="AD36" s="452"/>
      <c r="AE36" s="452"/>
      <c r="AF36" s="452"/>
    </row>
    <row r="37" spans="1:32" s="261" customFormat="1" ht="69.95" customHeight="1" x14ac:dyDescent="0.15">
      <c r="A37" s="431" t="s">
        <v>149</v>
      </c>
      <c r="B37" s="182">
        <f>$I$5</f>
        <v>700</v>
      </c>
      <c r="C37" s="461" t="str">
        <f>$A$5</f>
        <v>NA</v>
      </c>
      <c r="D37" s="461"/>
      <c r="E37" s="461"/>
      <c r="F37" s="461" t="str">
        <f>$A$5</f>
        <v>NA</v>
      </c>
      <c r="G37" s="461"/>
      <c r="H37" s="461"/>
      <c r="I37" s="441"/>
      <c r="J37" s="76"/>
      <c r="K37" s="139">
        <v>40</v>
      </c>
      <c r="L37" s="77" t="s">
        <v>61</v>
      </c>
      <c r="M37" s="78">
        <f>K37*B37/500</f>
        <v>56</v>
      </c>
      <c r="N37" s="79"/>
      <c r="O37" s="78"/>
      <c r="P37" s="80" t="s">
        <v>10</v>
      </c>
      <c r="Q37" s="377"/>
      <c r="R37" s="78">
        <v>56</v>
      </c>
      <c r="S37" s="80" t="s">
        <v>10</v>
      </c>
      <c r="T37" s="81">
        <f t="shared" si="3"/>
        <v>0</v>
      </c>
      <c r="U37" s="82"/>
      <c r="V37" s="137"/>
      <c r="W37" s="78"/>
      <c r="X37" s="78"/>
      <c r="Y37" s="445" t="s">
        <v>94</v>
      </c>
      <c r="Z37" s="141"/>
      <c r="AA37" s="135"/>
      <c r="AB37" s="449"/>
    </row>
    <row r="38" spans="1:32" s="176" customFormat="1" ht="69.95" customHeight="1" x14ac:dyDescent="0.15">
      <c r="A38" s="432"/>
      <c r="B38" s="186">
        <f>$I$6</f>
        <v>0</v>
      </c>
      <c r="C38" s="395">
        <f>$A$6</f>
        <v>0</v>
      </c>
      <c r="D38" s="396"/>
      <c r="E38" s="397"/>
      <c r="F38" s="395">
        <f>$A$6</f>
        <v>0</v>
      </c>
      <c r="G38" s="396"/>
      <c r="H38" s="397"/>
      <c r="I38" s="442"/>
      <c r="J38" s="144"/>
      <c r="K38" s="139"/>
      <c r="L38" s="145" t="s">
        <v>61</v>
      </c>
      <c r="M38" s="78">
        <f>K38*B38/4000</f>
        <v>0</v>
      </c>
      <c r="N38" s="146"/>
      <c r="O38" s="147"/>
      <c r="P38" s="145" t="s">
        <v>10</v>
      </c>
      <c r="Q38" s="378"/>
      <c r="R38" s="161"/>
      <c r="S38" s="148" t="s">
        <v>10</v>
      </c>
      <c r="T38" s="84">
        <f t="shared" si="3"/>
        <v>0</v>
      </c>
      <c r="U38" s="149"/>
      <c r="V38" s="149"/>
      <c r="W38" s="150"/>
      <c r="X38" s="151"/>
      <c r="Y38" s="446"/>
      <c r="Z38" s="216"/>
      <c r="AA38" s="217"/>
      <c r="AB38" s="450"/>
      <c r="AC38" s="451"/>
      <c r="AD38" s="452"/>
      <c r="AE38" s="452"/>
      <c r="AF38" s="452"/>
    </row>
    <row r="39" spans="1:32" s="206" customFormat="1" ht="69.95" customHeight="1" x14ac:dyDescent="0.15">
      <c r="A39" s="431" t="s">
        <v>139</v>
      </c>
      <c r="B39" s="191">
        <f t="shared" ref="B39" si="8">$I$5</f>
        <v>700</v>
      </c>
      <c r="C39" s="422" t="str">
        <f t="shared" ref="C39" si="9">$A$5</f>
        <v>NA</v>
      </c>
      <c r="D39" s="423"/>
      <c r="E39" s="424"/>
      <c r="F39" s="425"/>
      <c r="G39" s="423"/>
      <c r="H39" s="424"/>
      <c r="I39" s="207"/>
      <c r="J39" s="192"/>
      <c r="K39" s="193">
        <v>1</v>
      </c>
      <c r="L39" s="194" t="s">
        <v>65</v>
      </c>
      <c r="M39" s="195">
        <f t="shared" ref="M39:M48" si="10">K39*B39</f>
        <v>700</v>
      </c>
      <c r="N39" s="196"/>
      <c r="O39" s="195"/>
      <c r="P39" s="194" t="s">
        <v>65</v>
      </c>
      <c r="Q39" s="435"/>
      <c r="R39" s="195"/>
      <c r="S39" s="194" t="s">
        <v>65</v>
      </c>
      <c r="T39" s="205">
        <f t="shared" si="3"/>
        <v>-700</v>
      </c>
      <c r="U39" s="199"/>
      <c r="V39" s="199"/>
      <c r="W39" s="208"/>
      <c r="X39" s="198"/>
      <c r="Y39" s="437" t="s">
        <v>140</v>
      </c>
      <c r="Z39" s="231"/>
      <c r="AA39" s="232"/>
      <c r="AB39" s="439"/>
    </row>
    <row r="40" spans="1:32" s="206" customFormat="1" ht="69.95" customHeight="1" x14ac:dyDescent="0.15">
      <c r="A40" s="432"/>
      <c r="B40" s="204">
        <f>$I$6</f>
        <v>0</v>
      </c>
      <c r="C40" s="453">
        <f>$A$6</f>
        <v>0</v>
      </c>
      <c r="D40" s="454"/>
      <c r="E40" s="455"/>
      <c r="F40" s="425"/>
      <c r="G40" s="423"/>
      <c r="H40" s="424"/>
      <c r="I40" s="207"/>
      <c r="J40" s="192"/>
      <c r="K40" s="193">
        <v>1</v>
      </c>
      <c r="L40" s="194" t="s">
        <v>65</v>
      </c>
      <c r="M40" s="195">
        <f t="shared" si="10"/>
        <v>0</v>
      </c>
      <c r="N40" s="233"/>
      <c r="O40" s="195"/>
      <c r="P40" s="194" t="s">
        <v>65</v>
      </c>
      <c r="Q40" s="436"/>
      <c r="R40" s="195"/>
      <c r="S40" s="194" t="s">
        <v>65</v>
      </c>
      <c r="T40" s="198">
        <f t="shared" si="3"/>
        <v>0</v>
      </c>
      <c r="U40" s="199"/>
      <c r="V40" s="200"/>
      <c r="W40" s="195"/>
      <c r="X40" s="195"/>
      <c r="Y40" s="438"/>
      <c r="Z40" s="201"/>
      <c r="AA40" s="202"/>
      <c r="AB40" s="440"/>
      <c r="AC40" s="234"/>
      <c r="AD40" s="230"/>
      <c r="AE40" s="230"/>
      <c r="AF40" s="230"/>
    </row>
    <row r="41" spans="1:32" s="55" customFormat="1" ht="69.95" customHeight="1" x14ac:dyDescent="0.15">
      <c r="A41" s="431" t="s">
        <v>100</v>
      </c>
      <c r="B41" s="182">
        <f t="shared" ref="B41:B45" si="11">$I$5</f>
        <v>700</v>
      </c>
      <c r="C41" s="368" t="str">
        <f t="shared" ref="C41:C45" si="12">$A$5</f>
        <v>NA</v>
      </c>
      <c r="D41" s="369"/>
      <c r="E41" s="370"/>
      <c r="F41" s="428"/>
      <c r="G41" s="369"/>
      <c r="H41" s="370"/>
      <c r="I41" s="75" t="s">
        <v>101</v>
      </c>
      <c r="J41" s="76"/>
      <c r="K41" s="139">
        <v>1</v>
      </c>
      <c r="L41" s="77" t="s">
        <v>63</v>
      </c>
      <c r="M41" s="78">
        <f t="shared" si="10"/>
        <v>700</v>
      </c>
      <c r="N41" s="79"/>
      <c r="O41" s="78"/>
      <c r="P41" s="80" t="s">
        <v>63</v>
      </c>
      <c r="Q41" s="443">
        <v>45926</v>
      </c>
      <c r="R41" s="78">
        <v>700</v>
      </c>
      <c r="S41" s="80" t="s">
        <v>63</v>
      </c>
      <c r="T41" s="84">
        <f t="shared" si="3"/>
        <v>0</v>
      </c>
      <c r="U41" s="82"/>
      <c r="V41" s="82"/>
      <c r="W41" s="83"/>
      <c r="X41" s="81"/>
      <c r="Y41" s="445" t="s">
        <v>94</v>
      </c>
      <c r="Z41" s="86"/>
      <c r="AA41" s="85"/>
      <c r="AB41" s="448" t="s">
        <v>166</v>
      </c>
    </row>
    <row r="42" spans="1:32" s="55" customFormat="1" ht="69.95" customHeight="1" x14ac:dyDescent="0.15">
      <c r="A42" s="432"/>
      <c r="B42" s="186">
        <f>$I$6</f>
        <v>0</v>
      </c>
      <c r="C42" s="395">
        <f>$A$6</f>
        <v>0</v>
      </c>
      <c r="D42" s="396"/>
      <c r="E42" s="397"/>
      <c r="F42" s="428"/>
      <c r="G42" s="369"/>
      <c r="H42" s="370"/>
      <c r="I42" s="75" t="s">
        <v>101</v>
      </c>
      <c r="J42" s="76"/>
      <c r="K42" s="139"/>
      <c r="L42" s="77" t="s">
        <v>63</v>
      </c>
      <c r="M42" s="78">
        <f t="shared" si="10"/>
        <v>0</v>
      </c>
      <c r="N42" s="140"/>
      <c r="O42" s="78"/>
      <c r="P42" s="80" t="s">
        <v>63</v>
      </c>
      <c r="Q42" s="447"/>
      <c r="R42" s="78"/>
      <c r="S42" s="80" t="s">
        <v>63</v>
      </c>
      <c r="T42" s="81">
        <f t="shared" si="3"/>
        <v>0</v>
      </c>
      <c r="U42" s="82"/>
      <c r="V42" s="137"/>
      <c r="W42" s="78"/>
      <c r="X42" s="78"/>
      <c r="Y42" s="446"/>
      <c r="Z42" s="141"/>
      <c r="AA42" s="135"/>
      <c r="AB42" s="449"/>
      <c r="AC42" s="142"/>
      <c r="AD42" s="179"/>
      <c r="AE42" s="179"/>
      <c r="AF42" s="179"/>
    </row>
    <row r="43" spans="1:32" s="55" customFormat="1" ht="69.95" customHeight="1" x14ac:dyDescent="0.15">
      <c r="A43" s="431" t="s">
        <v>103</v>
      </c>
      <c r="B43" s="182">
        <f t="shared" ref="B43" si="13">$I$5</f>
        <v>700</v>
      </c>
      <c r="C43" s="368" t="str">
        <f t="shared" ref="C43" si="14">$A$5</f>
        <v>NA</v>
      </c>
      <c r="D43" s="369"/>
      <c r="E43" s="370"/>
      <c r="F43" s="428"/>
      <c r="G43" s="429"/>
      <c r="H43" s="430"/>
      <c r="I43" s="75"/>
      <c r="J43" s="76"/>
      <c r="K43" s="139">
        <v>1</v>
      </c>
      <c r="L43" s="77" t="s">
        <v>65</v>
      </c>
      <c r="M43" s="78">
        <f t="shared" si="10"/>
        <v>700</v>
      </c>
      <c r="N43" s="79"/>
      <c r="O43" s="78"/>
      <c r="P43" s="80" t="s">
        <v>65</v>
      </c>
      <c r="Q43" s="447"/>
      <c r="R43" s="78">
        <v>700</v>
      </c>
      <c r="S43" s="80" t="s">
        <v>65</v>
      </c>
      <c r="T43" s="84">
        <f t="shared" si="3"/>
        <v>0</v>
      </c>
      <c r="U43" s="82"/>
      <c r="V43" s="82"/>
      <c r="W43" s="83"/>
      <c r="X43" s="81"/>
      <c r="Y43" s="445" t="s">
        <v>94</v>
      </c>
      <c r="Z43" s="86"/>
      <c r="AA43" s="85"/>
      <c r="AB43" s="449"/>
    </row>
    <row r="44" spans="1:32" s="55" customFormat="1" ht="69.95" customHeight="1" x14ac:dyDescent="0.15">
      <c r="A44" s="432"/>
      <c r="B44" s="186">
        <f>$I$6</f>
        <v>0</v>
      </c>
      <c r="C44" s="368">
        <f>$A$6</f>
        <v>0</v>
      </c>
      <c r="D44" s="369"/>
      <c r="E44" s="370"/>
      <c r="F44" s="428"/>
      <c r="G44" s="429"/>
      <c r="H44" s="430"/>
      <c r="I44" s="75"/>
      <c r="J44" s="76"/>
      <c r="K44" s="139">
        <v>1</v>
      </c>
      <c r="L44" s="77" t="s">
        <v>65</v>
      </c>
      <c r="M44" s="78">
        <f t="shared" si="10"/>
        <v>0</v>
      </c>
      <c r="N44" s="140"/>
      <c r="O44" s="78"/>
      <c r="P44" s="80" t="s">
        <v>65</v>
      </c>
      <c r="Q44" s="444"/>
      <c r="R44" s="78"/>
      <c r="S44" s="80" t="s">
        <v>65</v>
      </c>
      <c r="T44" s="81">
        <f t="shared" si="3"/>
        <v>0</v>
      </c>
      <c r="U44" s="82"/>
      <c r="V44" s="137"/>
      <c r="W44" s="78"/>
      <c r="X44" s="78"/>
      <c r="Y44" s="446"/>
      <c r="Z44" s="141"/>
      <c r="AA44" s="135"/>
      <c r="AB44" s="450"/>
      <c r="AC44" s="142"/>
      <c r="AD44" s="179"/>
      <c r="AE44" s="179"/>
      <c r="AF44" s="179"/>
    </row>
    <row r="45" spans="1:32" s="55" customFormat="1" ht="69.95" customHeight="1" x14ac:dyDescent="0.15">
      <c r="A45" s="431" t="s">
        <v>91</v>
      </c>
      <c r="B45" s="182">
        <f t="shared" si="11"/>
        <v>700</v>
      </c>
      <c r="C45" s="368" t="str">
        <f t="shared" si="12"/>
        <v>NA</v>
      </c>
      <c r="D45" s="369"/>
      <c r="E45" s="370"/>
      <c r="F45" s="428"/>
      <c r="G45" s="429"/>
      <c r="H45" s="430"/>
      <c r="I45" s="75" t="s">
        <v>75</v>
      </c>
      <c r="J45" s="76"/>
      <c r="K45" s="139">
        <v>1</v>
      </c>
      <c r="L45" s="77" t="s">
        <v>63</v>
      </c>
      <c r="M45" s="78">
        <f t="shared" si="10"/>
        <v>700</v>
      </c>
      <c r="N45" s="79"/>
      <c r="O45" s="78"/>
      <c r="P45" s="80" t="s">
        <v>63</v>
      </c>
      <c r="Q45" s="443">
        <v>45961</v>
      </c>
      <c r="R45" s="78">
        <v>700</v>
      </c>
      <c r="S45" s="80" t="s">
        <v>63</v>
      </c>
      <c r="T45" s="84">
        <f t="shared" si="3"/>
        <v>0</v>
      </c>
      <c r="U45" s="82"/>
      <c r="V45" s="82"/>
      <c r="W45" s="83"/>
      <c r="X45" s="81"/>
      <c r="Y45" s="445" t="s">
        <v>64</v>
      </c>
      <c r="Z45" s="86"/>
      <c r="AA45" s="85"/>
      <c r="AB45" s="360" t="s">
        <v>187</v>
      </c>
    </row>
    <row r="46" spans="1:32" s="55" customFormat="1" ht="69.95" customHeight="1" x14ac:dyDescent="0.15">
      <c r="A46" s="432"/>
      <c r="B46" s="186">
        <f>$I$6</f>
        <v>0</v>
      </c>
      <c r="C46" s="368">
        <f>$A$6</f>
        <v>0</v>
      </c>
      <c r="D46" s="369"/>
      <c r="E46" s="370"/>
      <c r="F46" s="428"/>
      <c r="G46" s="429"/>
      <c r="H46" s="430"/>
      <c r="I46" s="75" t="s">
        <v>75</v>
      </c>
      <c r="J46" s="76"/>
      <c r="K46" s="139"/>
      <c r="L46" s="77" t="s">
        <v>63</v>
      </c>
      <c r="M46" s="78">
        <f t="shared" si="10"/>
        <v>0</v>
      </c>
      <c r="N46" s="140"/>
      <c r="O46" s="78"/>
      <c r="P46" s="80" t="s">
        <v>63</v>
      </c>
      <c r="Q46" s="444"/>
      <c r="R46" s="78"/>
      <c r="S46" s="80" t="s">
        <v>63</v>
      </c>
      <c r="T46" s="81">
        <f t="shared" si="3"/>
        <v>0</v>
      </c>
      <c r="U46" s="82"/>
      <c r="V46" s="137"/>
      <c r="W46" s="78"/>
      <c r="X46" s="78"/>
      <c r="Y46" s="446"/>
      <c r="Z46" s="141"/>
      <c r="AA46" s="135"/>
      <c r="AB46" s="362"/>
      <c r="AC46" s="142"/>
      <c r="AD46" s="179"/>
      <c r="AE46" s="179"/>
      <c r="AF46" s="179"/>
    </row>
    <row r="47" spans="1:32" s="55" customFormat="1" ht="69.95" customHeight="1" x14ac:dyDescent="0.15">
      <c r="A47" s="431" t="s">
        <v>141</v>
      </c>
      <c r="B47" s="182">
        <f t="shared" ref="B47" si="15">$I$5</f>
        <v>700</v>
      </c>
      <c r="C47" s="368" t="str">
        <f t="shared" ref="C47" si="16">$A$5</f>
        <v>NA</v>
      </c>
      <c r="D47" s="369"/>
      <c r="E47" s="370"/>
      <c r="F47" s="428"/>
      <c r="G47" s="429"/>
      <c r="H47" s="430"/>
      <c r="I47" s="441" t="s">
        <v>102</v>
      </c>
      <c r="J47" s="76"/>
      <c r="K47" s="136">
        <v>0.32</v>
      </c>
      <c r="L47" s="77" t="s">
        <v>129</v>
      </c>
      <c r="M47" s="78">
        <f t="shared" si="10"/>
        <v>224</v>
      </c>
      <c r="N47" s="79"/>
      <c r="O47" s="78"/>
      <c r="P47" s="80" t="s">
        <v>63</v>
      </c>
      <c r="Q47" s="443">
        <v>45926</v>
      </c>
      <c r="R47" s="78">
        <v>250</v>
      </c>
      <c r="S47" s="80" t="s">
        <v>63</v>
      </c>
      <c r="T47" s="84">
        <f t="shared" si="3"/>
        <v>26</v>
      </c>
      <c r="U47" s="82"/>
      <c r="V47" s="82"/>
      <c r="W47" s="83"/>
      <c r="X47" s="81"/>
      <c r="Y47" s="445" t="s">
        <v>130</v>
      </c>
      <c r="Z47" s="86"/>
      <c r="AA47" s="85"/>
      <c r="AB47" s="360" t="s">
        <v>166</v>
      </c>
    </row>
    <row r="48" spans="1:32" s="55" customFormat="1" ht="69.95" customHeight="1" x14ac:dyDescent="0.15">
      <c r="A48" s="432"/>
      <c r="B48" s="186">
        <f>$I$6</f>
        <v>0</v>
      </c>
      <c r="C48" s="368">
        <f>$A$6</f>
        <v>0</v>
      </c>
      <c r="D48" s="369"/>
      <c r="E48" s="370"/>
      <c r="F48" s="428"/>
      <c r="G48" s="429"/>
      <c r="H48" s="430"/>
      <c r="I48" s="442"/>
      <c r="J48" s="76"/>
      <c r="K48" s="139"/>
      <c r="L48" s="77" t="s">
        <v>129</v>
      </c>
      <c r="M48" s="78">
        <f t="shared" si="10"/>
        <v>0</v>
      </c>
      <c r="N48" s="140"/>
      <c r="O48" s="78"/>
      <c r="P48" s="80" t="s">
        <v>63</v>
      </c>
      <c r="Q48" s="444"/>
      <c r="R48" s="78"/>
      <c r="S48" s="80" t="s">
        <v>63</v>
      </c>
      <c r="T48" s="81">
        <f t="shared" si="3"/>
        <v>0</v>
      </c>
      <c r="U48" s="82"/>
      <c r="V48" s="137"/>
      <c r="W48" s="78"/>
      <c r="X48" s="78"/>
      <c r="Y48" s="446"/>
      <c r="Z48" s="141"/>
      <c r="AA48" s="135"/>
      <c r="AB48" s="362"/>
      <c r="AC48" s="142"/>
      <c r="AD48" s="179"/>
      <c r="AE48" s="179"/>
      <c r="AF48" s="179"/>
    </row>
    <row r="49" spans="1:32" s="206" customFormat="1" ht="69.95" customHeight="1" x14ac:dyDescent="0.15">
      <c r="A49" s="431" t="s">
        <v>120</v>
      </c>
      <c r="B49" s="191">
        <f t="shared" ref="B49" si="17">$I$5</f>
        <v>700</v>
      </c>
      <c r="C49" s="422" t="str">
        <f t="shared" ref="C49" si="18">$A$5</f>
        <v>NA</v>
      </c>
      <c r="D49" s="423"/>
      <c r="E49" s="424"/>
      <c r="F49" s="425"/>
      <c r="G49" s="426"/>
      <c r="H49" s="427"/>
      <c r="I49" s="433" t="s">
        <v>75</v>
      </c>
      <c r="J49" s="192"/>
      <c r="K49" s="193">
        <v>2</v>
      </c>
      <c r="L49" s="194" t="s">
        <v>63</v>
      </c>
      <c r="M49" s="195">
        <f t="shared" si="4"/>
        <v>1400</v>
      </c>
      <c r="N49" s="196"/>
      <c r="O49" s="195"/>
      <c r="P49" s="197" t="s">
        <v>63</v>
      </c>
      <c r="Q49" s="435"/>
      <c r="R49" s="195"/>
      <c r="S49" s="197" t="s">
        <v>63</v>
      </c>
      <c r="T49" s="205">
        <f t="shared" si="3"/>
        <v>-1400</v>
      </c>
      <c r="U49" s="199"/>
      <c r="V49" s="199"/>
      <c r="W49" s="208"/>
      <c r="X49" s="198"/>
      <c r="Y49" s="437" t="s">
        <v>64</v>
      </c>
      <c r="Z49" s="231"/>
      <c r="AA49" s="232"/>
      <c r="AB49" s="439"/>
    </row>
    <row r="50" spans="1:32" s="206" customFormat="1" ht="69.95" customHeight="1" x14ac:dyDescent="0.15">
      <c r="A50" s="432"/>
      <c r="B50" s="204">
        <f>$I$6</f>
        <v>0</v>
      </c>
      <c r="C50" s="422">
        <f>$A$6</f>
        <v>0</v>
      </c>
      <c r="D50" s="423"/>
      <c r="E50" s="424"/>
      <c r="F50" s="425"/>
      <c r="G50" s="426"/>
      <c r="H50" s="427"/>
      <c r="I50" s="434"/>
      <c r="J50" s="192"/>
      <c r="K50" s="193">
        <v>2</v>
      </c>
      <c r="L50" s="194" t="s">
        <v>63</v>
      </c>
      <c r="M50" s="195">
        <f t="shared" si="4"/>
        <v>0</v>
      </c>
      <c r="N50" s="233"/>
      <c r="O50" s="195"/>
      <c r="P50" s="197" t="s">
        <v>63</v>
      </c>
      <c r="Q50" s="436"/>
      <c r="R50" s="195"/>
      <c r="S50" s="197" t="s">
        <v>63</v>
      </c>
      <c r="T50" s="198">
        <f t="shared" si="3"/>
        <v>0</v>
      </c>
      <c r="U50" s="199"/>
      <c r="V50" s="200"/>
      <c r="W50" s="195"/>
      <c r="X50" s="195"/>
      <c r="Y50" s="438"/>
      <c r="Z50" s="201"/>
      <c r="AA50" s="202"/>
      <c r="AB50" s="440"/>
      <c r="AC50" s="234"/>
      <c r="AD50" s="230"/>
      <c r="AE50" s="230"/>
      <c r="AF50" s="230"/>
    </row>
    <row r="51" spans="1:32" s="176" customFormat="1" ht="54.95" customHeight="1" x14ac:dyDescent="0.15">
      <c r="A51" s="386" t="s">
        <v>66</v>
      </c>
      <c r="B51" s="164">
        <f>C11</f>
        <v>320</v>
      </c>
      <c r="C51" s="407" t="e">
        <f>#REF!</f>
        <v>#REF!</v>
      </c>
      <c r="D51" s="408"/>
      <c r="E51" s="409"/>
      <c r="F51" s="371"/>
      <c r="G51" s="372"/>
      <c r="H51" s="373"/>
      <c r="I51" s="276"/>
      <c r="J51" s="255"/>
      <c r="K51" s="263">
        <v>1</v>
      </c>
      <c r="L51" s="168" t="s">
        <v>63</v>
      </c>
      <c r="M51" s="169">
        <f t="shared" si="4"/>
        <v>320</v>
      </c>
      <c r="N51" s="171"/>
      <c r="O51" s="277"/>
      <c r="P51" s="169" t="s">
        <v>63</v>
      </c>
      <c r="Q51" s="376">
        <v>45926</v>
      </c>
      <c r="R51" s="277">
        <v>320</v>
      </c>
      <c r="S51" s="169" t="s">
        <v>63</v>
      </c>
      <c r="T51" s="278">
        <f t="shared" si="3"/>
        <v>0</v>
      </c>
      <c r="U51" s="279"/>
      <c r="V51" s="280"/>
      <c r="W51" s="278"/>
      <c r="X51" s="278"/>
      <c r="Y51" s="374" t="s">
        <v>72</v>
      </c>
      <c r="Z51" s="374"/>
      <c r="AA51" s="374"/>
      <c r="AB51" s="404" t="s">
        <v>167</v>
      </c>
    </row>
    <row r="52" spans="1:32" s="176" customFormat="1" ht="54.95" customHeight="1" x14ac:dyDescent="0.15">
      <c r="A52" s="387"/>
      <c r="B52" s="164">
        <f>D11</f>
        <v>300</v>
      </c>
      <c r="C52" s="410"/>
      <c r="D52" s="411"/>
      <c r="E52" s="412"/>
      <c r="F52" s="371"/>
      <c r="G52" s="372"/>
      <c r="H52" s="373"/>
      <c r="I52" s="276"/>
      <c r="J52" s="255"/>
      <c r="K52" s="167">
        <v>1</v>
      </c>
      <c r="L52" s="168" t="s">
        <v>63</v>
      </c>
      <c r="M52" s="169">
        <f t="shared" si="4"/>
        <v>300</v>
      </c>
      <c r="N52" s="171"/>
      <c r="O52" s="277"/>
      <c r="P52" s="169" t="s">
        <v>63</v>
      </c>
      <c r="Q52" s="377"/>
      <c r="R52" s="277">
        <v>300</v>
      </c>
      <c r="S52" s="169" t="s">
        <v>63</v>
      </c>
      <c r="T52" s="278">
        <f t="shared" si="3"/>
        <v>0</v>
      </c>
      <c r="U52" s="279"/>
      <c r="V52" s="280"/>
      <c r="W52" s="278"/>
      <c r="X52" s="278"/>
      <c r="Y52" s="375"/>
      <c r="Z52" s="375"/>
      <c r="AA52" s="375"/>
      <c r="AB52" s="405"/>
    </row>
    <row r="53" spans="1:32" s="176" customFormat="1" ht="54.95" customHeight="1" x14ac:dyDescent="0.15">
      <c r="A53" s="387"/>
      <c r="B53" s="164">
        <f>E11</f>
        <v>80</v>
      </c>
      <c r="C53" s="410"/>
      <c r="D53" s="411"/>
      <c r="E53" s="412"/>
      <c r="F53" s="371"/>
      <c r="G53" s="372"/>
      <c r="H53" s="373"/>
      <c r="I53" s="276"/>
      <c r="J53" s="255"/>
      <c r="K53" s="167">
        <v>1</v>
      </c>
      <c r="L53" s="168" t="s">
        <v>63</v>
      </c>
      <c r="M53" s="169">
        <f t="shared" si="4"/>
        <v>80</v>
      </c>
      <c r="N53" s="171"/>
      <c r="O53" s="277"/>
      <c r="P53" s="169" t="s">
        <v>63</v>
      </c>
      <c r="Q53" s="377"/>
      <c r="R53" s="277">
        <v>80</v>
      </c>
      <c r="S53" s="169" t="s">
        <v>63</v>
      </c>
      <c r="T53" s="278">
        <f t="shared" si="3"/>
        <v>0</v>
      </c>
      <c r="U53" s="279"/>
      <c r="V53" s="280"/>
      <c r="W53" s="278"/>
      <c r="X53" s="278"/>
      <c r="Y53" s="375"/>
      <c r="Z53" s="375"/>
      <c r="AA53" s="375"/>
      <c r="AB53" s="405"/>
    </row>
    <row r="54" spans="1:32" s="176" customFormat="1" ht="54.95" customHeight="1" x14ac:dyDescent="0.15">
      <c r="A54" s="387"/>
      <c r="B54" s="164">
        <f>F11</f>
        <v>0</v>
      </c>
      <c r="C54" s="410"/>
      <c r="D54" s="411"/>
      <c r="E54" s="412"/>
      <c r="F54" s="371"/>
      <c r="G54" s="372"/>
      <c r="H54" s="373"/>
      <c r="I54" s="276"/>
      <c r="J54" s="255"/>
      <c r="K54" s="167">
        <v>1</v>
      </c>
      <c r="L54" s="168" t="s">
        <v>63</v>
      </c>
      <c r="M54" s="169">
        <f t="shared" si="4"/>
        <v>0</v>
      </c>
      <c r="N54" s="171"/>
      <c r="O54" s="277"/>
      <c r="P54" s="169" t="s">
        <v>63</v>
      </c>
      <c r="Q54" s="377"/>
      <c r="R54" s="277"/>
      <c r="S54" s="169" t="s">
        <v>63</v>
      </c>
      <c r="T54" s="278">
        <f t="shared" si="3"/>
        <v>0</v>
      </c>
      <c r="U54" s="279"/>
      <c r="V54" s="280"/>
      <c r="W54" s="278"/>
      <c r="X54" s="278"/>
      <c r="Y54" s="375"/>
      <c r="Z54" s="375"/>
      <c r="AA54" s="375"/>
      <c r="AB54" s="405"/>
    </row>
    <row r="55" spans="1:32" s="176" customFormat="1" ht="54.95" customHeight="1" x14ac:dyDescent="0.15">
      <c r="A55" s="388"/>
      <c r="B55" s="164">
        <f>G11</f>
        <v>0</v>
      </c>
      <c r="C55" s="413"/>
      <c r="D55" s="414"/>
      <c r="E55" s="415"/>
      <c r="F55" s="371"/>
      <c r="G55" s="372"/>
      <c r="H55" s="373"/>
      <c r="I55" s="276"/>
      <c r="J55" s="255"/>
      <c r="K55" s="167">
        <v>1</v>
      </c>
      <c r="L55" s="168" t="s">
        <v>63</v>
      </c>
      <c r="M55" s="169">
        <f t="shared" si="4"/>
        <v>0</v>
      </c>
      <c r="N55" s="171"/>
      <c r="O55" s="277"/>
      <c r="P55" s="169" t="s">
        <v>63</v>
      </c>
      <c r="Q55" s="378"/>
      <c r="R55" s="277"/>
      <c r="S55" s="169" t="s">
        <v>63</v>
      </c>
      <c r="T55" s="278">
        <f t="shared" si="3"/>
        <v>0</v>
      </c>
      <c r="U55" s="279"/>
      <c r="V55" s="280"/>
      <c r="W55" s="278"/>
      <c r="X55" s="278"/>
      <c r="Y55" s="379"/>
      <c r="Z55" s="379"/>
      <c r="AA55" s="379"/>
      <c r="AB55" s="406"/>
    </row>
    <row r="56" spans="1:32" s="176" customFormat="1" ht="54.95" customHeight="1" x14ac:dyDescent="0.15">
      <c r="A56" s="386" t="s">
        <v>68</v>
      </c>
      <c r="B56" s="164">
        <f>C5+C8</f>
        <v>320</v>
      </c>
      <c r="C56" s="407" t="str">
        <f>A5</f>
        <v>NA</v>
      </c>
      <c r="D56" s="408"/>
      <c r="E56" s="409"/>
      <c r="F56" s="371"/>
      <c r="G56" s="372"/>
      <c r="H56" s="373"/>
      <c r="I56" s="276"/>
      <c r="J56" s="276"/>
      <c r="K56" s="167">
        <v>1</v>
      </c>
      <c r="L56" s="168" t="s">
        <v>63</v>
      </c>
      <c r="M56" s="169">
        <f t="shared" si="4"/>
        <v>320</v>
      </c>
      <c r="N56" s="171"/>
      <c r="O56" s="277"/>
      <c r="P56" s="169" t="s">
        <v>63</v>
      </c>
      <c r="Q56" s="376">
        <v>45926</v>
      </c>
      <c r="R56" s="277">
        <v>320</v>
      </c>
      <c r="S56" s="169" t="s">
        <v>63</v>
      </c>
      <c r="T56" s="278">
        <f t="shared" si="3"/>
        <v>0</v>
      </c>
      <c r="U56" s="281"/>
      <c r="V56" s="282"/>
      <c r="W56" s="278"/>
      <c r="X56" s="278"/>
      <c r="Y56" s="374" t="s">
        <v>72</v>
      </c>
      <c r="Z56" s="374"/>
      <c r="AA56" s="374"/>
      <c r="AB56" s="404" t="s">
        <v>167</v>
      </c>
    </row>
    <row r="57" spans="1:32" s="176" customFormat="1" ht="54.95" customHeight="1" x14ac:dyDescent="0.15">
      <c r="A57" s="387"/>
      <c r="B57" s="164">
        <f>D5+D8</f>
        <v>300</v>
      </c>
      <c r="C57" s="410"/>
      <c r="D57" s="411"/>
      <c r="E57" s="412"/>
      <c r="F57" s="371"/>
      <c r="G57" s="372"/>
      <c r="H57" s="373"/>
      <c r="I57" s="276"/>
      <c r="J57" s="276"/>
      <c r="K57" s="167">
        <v>1</v>
      </c>
      <c r="L57" s="168" t="s">
        <v>63</v>
      </c>
      <c r="M57" s="169">
        <f t="shared" si="4"/>
        <v>300</v>
      </c>
      <c r="N57" s="171"/>
      <c r="O57" s="277"/>
      <c r="P57" s="169" t="s">
        <v>63</v>
      </c>
      <c r="Q57" s="377"/>
      <c r="R57" s="277">
        <v>300</v>
      </c>
      <c r="S57" s="169" t="s">
        <v>63</v>
      </c>
      <c r="T57" s="278">
        <f t="shared" si="3"/>
        <v>0</v>
      </c>
      <c r="U57" s="281"/>
      <c r="V57" s="282"/>
      <c r="W57" s="278"/>
      <c r="X57" s="278"/>
      <c r="Y57" s="375"/>
      <c r="Z57" s="375"/>
      <c r="AA57" s="375"/>
      <c r="AB57" s="405"/>
    </row>
    <row r="58" spans="1:32" s="176" customFormat="1" ht="54.95" customHeight="1" x14ac:dyDescent="0.15">
      <c r="A58" s="387"/>
      <c r="B58" s="164">
        <f>E5+E8</f>
        <v>80</v>
      </c>
      <c r="C58" s="410"/>
      <c r="D58" s="411"/>
      <c r="E58" s="412"/>
      <c r="F58" s="371"/>
      <c r="G58" s="372"/>
      <c r="H58" s="373"/>
      <c r="I58" s="276"/>
      <c r="J58" s="276"/>
      <c r="K58" s="167">
        <v>1</v>
      </c>
      <c r="L58" s="168" t="s">
        <v>63</v>
      </c>
      <c r="M58" s="169">
        <f t="shared" si="4"/>
        <v>80</v>
      </c>
      <c r="N58" s="171"/>
      <c r="O58" s="277"/>
      <c r="P58" s="169" t="s">
        <v>63</v>
      </c>
      <c r="Q58" s="377"/>
      <c r="R58" s="277">
        <v>80</v>
      </c>
      <c r="S58" s="169" t="s">
        <v>63</v>
      </c>
      <c r="T58" s="278">
        <f t="shared" si="3"/>
        <v>0</v>
      </c>
      <c r="U58" s="281"/>
      <c r="V58" s="282"/>
      <c r="W58" s="278"/>
      <c r="X58" s="278"/>
      <c r="Y58" s="375"/>
      <c r="Z58" s="375"/>
      <c r="AA58" s="375"/>
      <c r="AB58" s="405"/>
    </row>
    <row r="59" spans="1:32" s="176" customFormat="1" ht="54.95" customHeight="1" x14ac:dyDescent="0.15">
      <c r="A59" s="387"/>
      <c r="B59" s="164">
        <f>F5+F8</f>
        <v>0</v>
      </c>
      <c r="C59" s="410"/>
      <c r="D59" s="411"/>
      <c r="E59" s="412"/>
      <c r="F59" s="371"/>
      <c r="G59" s="372"/>
      <c r="H59" s="373"/>
      <c r="I59" s="276"/>
      <c r="J59" s="276"/>
      <c r="K59" s="167">
        <v>1</v>
      </c>
      <c r="L59" s="168" t="s">
        <v>63</v>
      </c>
      <c r="M59" s="169">
        <f t="shared" si="4"/>
        <v>0</v>
      </c>
      <c r="N59" s="171"/>
      <c r="O59" s="277"/>
      <c r="P59" s="169" t="s">
        <v>63</v>
      </c>
      <c r="Q59" s="377"/>
      <c r="R59" s="168"/>
      <c r="S59" s="169" t="s">
        <v>63</v>
      </c>
      <c r="T59" s="278">
        <f t="shared" si="3"/>
        <v>0</v>
      </c>
      <c r="U59" s="281"/>
      <c r="V59" s="282"/>
      <c r="W59" s="278"/>
      <c r="X59" s="278"/>
      <c r="Y59" s="375"/>
      <c r="Z59" s="375"/>
      <c r="AA59" s="375"/>
      <c r="AB59" s="405"/>
    </row>
    <row r="60" spans="1:32" s="176" customFormat="1" ht="54.95" customHeight="1" x14ac:dyDescent="0.15">
      <c r="A60" s="387"/>
      <c r="B60" s="164">
        <f>G5+G8</f>
        <v>0</v>
      </c>
      <c r="C60" s="413"/>
      <c r="D60" s="414"/>
      <c r="E60" s="415"/>
      <c r="F60" s="371"/>
      <c r="G60" s="372"/>
      <c r="H60" s="373"/>
      <c r="I60" s="276"/>
      <c r="J60" s="276"/>
      <c r="K60" s="167">
        <v>1</v>
      </c>
      <c r="L60" s="168" t="s">
        <v>63</v>
      </c>
      <c r="M60" s="169">
        <f t="shared" si="4"/>
        <v>0</v>
      </c>
      <c r="N60" s="171"/>
      <c r="O60" s="277"/>
      <c r="P60" s="169" t="s">
        <v>63</v>
      </c>
      <c r="Q60" s="377"/>
      <c r="R60" s="168"/>
      <c r="S60" s="169" t="s">
        <v>63</v>
      </c>
      <c r="T60" s="278">
        <f t="shared" si="3"/>
        <v>0</v>
      </c>
      <c r="U60" s="281"/>
      <c r="V60" s="282"/>
      <c r="W60" s="278"/>
      <c r="X60" s="278"/>
      <c r="Y60" s="375"/>
      <c r="Z60" s="375"/>
      <c r="AA60" s="375"/>
      <c r="AB60" s="405"/>
    </row>
    <row r="61" spans="1:32" s="176" customFormat="1" ht="54.95" customHeight="1" x14ac:dyDescent="0.15">
      <c r="A61" s="387"/>
      <c r="B61" s="164">
        <f>C6</f>
        <v>0</v>
      </c>
      <c r="C61" s="407">
        <f>A6</f>
        <v>0</v>
      </c>
      <c r="D61" s="408"/>
      <c r="E61" s="409"/>
      <c r="F61" s="371"/>
      <c r="G61" s="372"/>
      <c r="H61" s="373"/>
      <c r="I61" s="276"/>
      <c r="J61" s="276"/>
      <c r="K61" s="167">
        <v>1</v>
      </c>
      <c r="L61" s="168" t="s">
        <v>63</v>
      </c>
      <c r="M61" s="169">
        <f t="shared" si="4"/>
        <v>0</v>
      </c>
      <c r="N61" s="171"/>
      <c r="O61" s="277"/>
      <c r="P61" s="169" t="s">
        <v>63</v>
      </c>
      <c r="Q61" s="377"/>
      <c r="R61" s="277"/>
      <c r="S61" s="169" t="s">
        <v>63</v>
      </c>
      <c r="T61" s="278">
        <f>R61-M61</f>
        <v>0</v>
      </c>
      <c r="U61" s="281"/>
      <c r="V61" s="282"/>
      <c r="W61" s="278"/>
      <c r="X61" s="278"/>
      <c r="Y61" s="375"/>
      <c r="Z61" s="375"/>
      <c r="AA61" s="375"/>
      <c r="AB61" s="405"/>
    </row>
    <row r="62" spans="1:32" s="176" customFormat="1" ht="54.95" customHeight="1" x14ac:dyDescent="0.15">
      <c r="A62" s="387"/>
      <c r="B62" s="164">
        <f>D6</f>
        <v>0</v>
      </c>
      <c r="C62" s="410"/>
      <c r="D62" s="411"/>
      <c r="E62" s="412"/>
      <c r="F62" s="371"/>
      <c r="G62" s="372"/>
      <c r="H62" s="373"/>
      <c r="I62" s="276"/>
      <c r="J62" s="276"/>
      <c r="K62" s="167">
        <v>1</v>
      </c>
      <c r="L62" s="168" t="s">
        <v>63</v>
      </c>
      <c r="M62" s="169">
        <f t="shared" si="4"/>
        <v>0</v>
      </c>
      <c r="N62" s="171"/>
      <c r="O62" s="277"/>
      <c r="P62" s="169" t="s">
        <v>63</v>
      </c>
      <c r="Q62" s="377"/>
      <c r="R62" s="277"/>
      <c r="S62" s="169" t="s">
        <v>63</v>
      </c>
      <c r="T62" s="278">
        <f>R62-M62</f>
        <v>0</v>
      </c>
      <c r="U62" s="281"/>
      <c r="V62" s="282"/>
      <c r="W62" s="278"/>
      <c r="X62" s="278"/>
      <c r="Y62" s="375"/>
      <c r="Z62" s="375"/>
      <c r="AA62" s="375"/>
      <c r="AB62" s="405"/>
    </row>
    <row r="63" spans="1:32" s="176" customFormat="1" ht="54.95" customHeight="1" x14ac:dyDescent="0.15">
      <c r="A63" s="387"/>
      <c r="B63" s="164">
        <f>E6</f>
        <v>0</v>
      </c>
      <c r="C63" s="410"/>
      <c r="D63" s="411"/>
      <c r="E63" s="412"/>
      <c r="F63" s="371"/>
      <c r="G63" s="372"/>
      <c r="H63" s="373"/>
      <c r="I63" s="276"/>
      <c r="J63" s="276"/>
      <c r="K63" s="167">
        <v>1</v>
      </c>
      <c r="L63" s="168" t="s">
        <v>63</v>
      </c>
      <c r="M63" s="169">
        <f t="shared" si="4"/>
        <v>0</v>
      </c>
      <c r="N63" s="171"/>
      <c r="O63" s="277"/>
      <c r="P63" s="169" t="s">
        <v>63</v>
      </c>
      <c r="Q63" s="377"/>
      <c r="R63" s="277"/>
      <c r="S63" s="169" t="s">
        <v>63</v>
      </c>
      <c r="T63" s="278">
        <f>R63-M63</f>
        <v>0</v>
      </c>
      <c r="U63" s="281"/>
      <c r="V63" s="282"/>
      <c r="W63" s="278"/>
      <c r="X63" s="278"/>
      <c r="Y63" s="375"/>
      <c r="Z63" s="375"/>
      <c r="AA63" s="375"/>
      <c r="AB63" s="405"/>
    </row>
    <row r="64" spans="1:32" s="176" customFormat="1" ht="54.95" customHeight="1" x14ac:dyDescent="0.15">
      <c r="A64" s="387"/>
      <c r="B64" s="164"/>
      <c r="C64" s="410"/>
      <c r="D64" s="411"/>
      <c r="E64" s="412"/>
      <c r="F64" s="371"/>
      <c r="G64" s="372"/>
      <c r="H64" s="373"/>
      <c r="I64" s="276"/>
      <c r="J64" s="276"/>
      <c r="K64" s="167">
        <v>1</v>
      </c>
      <c r="L64" s="168" t="s">
        <v>63</v>
      </c>
      <c r="M64" s="169">
        <f t="shared" si="4"/>
        <v>0</v>
      </c>
      <c r="N64" s="171"/>
      <c r="O64" s="277"/>
      <c r="P64" s="169" t="s">
        <v>63</v>
      </c>
      <c r="Q64" s="377"/>
      <c r="R64" s="168"/>
      <c r="S64" s="169" t="s">
        <v>63</v>
      </c>
      <c r="T64" s="278">
        <f>R64-M64</f>
        <v>0</v>
      </c>
      <c r="U64" s="281"/>
      <c r="V64" s="282"/>
      <c r="W64" s="278"/>
      <c r="X64" s="278"/>
      <c r="Y64" s="375"/>
      <c r="Z64" s="375"/>
      <c r="AA64" s="375"/>
      <c r="AB64" s="405"/>
    </row>
    <row r="65" spans="1:28" s="176" customFormat="1" ht="54.95" customHeight="1" x14ac:dyDescent="0.15">
      <c r="A65" s="388"/>
      <c r="B65" s="164">
        <f>G10+G13</f>
        <v>0</v>
      </c>
      <c r="C65" s="413"/>
      <c r="D65" s="414"/>
      <c r="E65" s="415"/>
      <c r="F65" s="371"/>
      <c r="G65" s="372"/>
      <c r="H65" s="373"/>
      <c r="I65" s="276"/>
      <c r="J65" s="276"/>
      <c r="K65" s="167">
        <v>1</v>
      </c>
      <c r="L65" s="168" t="s">
        <v>63</v>
      </c>
      <c r="M65" s="169">
        <f t="shared" si="4"/>
        <v>0</v>
      </c>
      <c r="N65" s="171"/>
      <c r="O65" s="277"/>
      <c r="P65" s="169" t="s">
        <v>63</v>
      </c>
      <c r="Q65" s="378"/>
      <c r="R65" s="168"/>
      <c r="S65" s="169" t="s">
        <v>63</v>
      </c>
      <c r="T65" s="278">
        <f>R65-M65</f>
        <v>0</v>
      </c>
      <c r="U65" s="281"/>
      <c r="V65" s="282"/>
      <c r="W65" s="278"/>
      <c r="X65" s="278"/>
      <c r="Y65" s="379"/>
      <c r="Z65" s="379"/>
      <c r="AA65" s="379"/>
      <c r="AB65" s="406"/>
    </row>
    <row r="66" spans="1:28" s="176" customFormat="1" ht="54.95" customHeight="1" x14ac:dyDescent="0.15">
      <c r="A66" s="386" t="s">
        <v>69</v>
      </c>
      <c r="B66" s="164">
        <f>C5</f>
        <v>320</v>
      </c>
      <c r="C66" s="407" t="str">
        <f>A5</f>
        <v>NA</v>
      </c>
      <c r="D66" s="408"/>
      <c r="E66" s="409"/>
      <c r="F66" s="371"/>
      <c r="G66" s="372"/>
      <c r="H66" s="373"/>
      <c r="I66" s="276"/>
      <c r="J66" s="276"/>
      <c r="K66" s="167">
        <v>1</v>
      </c>
      <c r="L66" s="168" t="s">
        <v>63</v>
      </c>
      <c r="M66" s="169">
        <f t="shared" si="4"/>
        <v>320</v>
      </c>
      <c r="N66" s="171"/>
      <c r="O66" s="277"/>
      <c r="P66" s="169" t="s">
        <v>63</v>
      </c>
      <c r="Q66" s="376">
        <v>45977</v>
      </c>
      <c r="R66" s="277">
        <v>320</v>
      </c>
      <c r="S66" s="169" t="s">
        <v>63</v>
      </c>
      <c r="T66" s="278">
        <f t="shared" si="3"/>
        <v>0</v>
      </c>
      <c r="U66" s="281"/>
      <c r="V66" s="282"/>
      <c r="W66" s="278"/>
      <c r="X66" s="278"/>
      <c r="Y66" s="374" t="s">
        <v>67</v>
      </c>
      <c r="Z66" s="374"/>
      <c r="AA66" s="374"/>
      <c r="AB66" s="404" t="s">
        <v>193</v>
      </c>
    </row>
    <row r="67" spans="1:28" s="176" customFormat="1" ht="54.95" customHeight="1" x14ac:dyDescent="0.15">
      <c r="A67" s="387"/>
      <c r="B67" s="164">
        <f>D5</f>
        <v>300</v>
      </c>
      <c r="C67" s="410"/>
      <c r="D67" s="411"/>
      <c r="E67" s="412"/>
      <c r="F67" s="371"/>
      <c r="G67" s="372"/>
      <c r="H67" s="373"/>
      <c r="I67" s="276"/>
      <c r="J67" s="276"/>
      <c r="K67" s="167">
        <v>1</v>
      </c>
      <c r="L67" s="168" t="s">
        <v>63</v>
      </c>
      <c r="M67" s="169">
        <f t="shared" si="4"/>
        <v>300</v>
      </c>
      <c r="N67" s="171"/>
      <c r="O67" s="277"/>
      <c r="P67" s="169" t="s">
        <v>63</v>
      </c>
      <c r="Q67" s="377"/>
      <c r="R67" s="277">
        <v>300</v>
      </c>
      <c r="S67" s="169" t="s">
        <v>63</v>
      </c>
      <c r="T67" s="278">
        <f t="shared" si="3"/>
        <v>0</v>
      </c>
      <c r="U67" s="281"/>
      <c r="V67" s="282"/>
      <c r="W67" s="278"/>
      <c r="X67" s="278"/>
      <c r="Y67" s="375"/>
      <c r="Z67" s="375"/>
      <c r="AA67" s="375"/>
      <c r="AB67" s="405"/>
    </row>
    <row r="68" spans="1:28" s="176" customFormat="1" ht="54.95" customHeight="1" x14ac:dyDescent="0.15">
      <c r="A68" s="387"/>
      <c r="B68" s="164">
        <f>E5</f>
        <v>80</v>
      </c>
      <c r="C68" s="410"/>
      <c r="D68" s="411"/>
      <c r="E68" s="412"/>
      <c r="F68" s="371"/>
      <c r="G68" s="372"/>
      <c r="H68" s="373"/>
      <c r="I68" s="276"/>
      <c r="J68" s="276"/>
      <c r="K68" s="167">
        <v>1</v>
      </c>
      <c r="L68" s="168" t="s">
        <v>63</v>
      </c>
      <c r="M68" s="169">
        <f t="shared" si="4"/>
        <v>80</v>
      </c>
      <c r="N68" s="171"/>
      <c r="O68" s="277"/>
      <c r="P68" s="169" t="s">
        <v>63</v>
      </c>
      <c r="Q68" s="377"/>
      <c r="R68" s="277">
        <v>80</v>
      </c>
      <c r="S68" s="169" t="s">
        <v>63</v>
      </c>
      <c r="T68" s="278">
        <f t="shared" si="3"/>
        <v>0</v>
      </c>
      <c r="U68" s="281"/>
      <c r="V68" s="282"/>
      <c r="W68" s="278"/>
      <c r="X68" s="278"/>
      <c r="Y68" s="375"/>
      <c r="Z68" s="375"/>
      <c r="AA68" s="375"/>
      <c r="AB68" s="405"/>
    </row>
    <row r="69" spans="1:28" s="176" customFormat="1" ht="54.95" customHeight="1" x14ac:dyDescent="0.15">
      <c r="A69" s="387"/>
      <c r="B69" s="164">
        <f>F5</f>
        <v>0</v>
      </c>
      <c r="C69" s="410"/>
      <c r="D69" s="411"/>
      <c r="E69" s="412"/>
      <c r="F69" s="371"/>
      <c r="G69" s="372"/>
      <c r="H69" s="373"/>
      <c r="I69" s="276"/>
      <c r="J69" s="276"/>
      <c r="K69" s="167">
        <v>1</v>
      </c>
      <c r="L69" s="168" t="s">
        <v>63</v>
      </c>
      <c r="M69" s="169">
        <f t="shared" si="4"/>
        <v>0</v>
      </c>
      <c r="N69" s="171"/>
      <c r="O69" s="277"/>
      <c r="P69" s="169" t="s">
        <v>63</v>
      </c>
      <c r="Q69" s="377"/>
      <c r="R69" s="168"/>
      <c r="S69" s="169" t="s">
        <v>63</v>
      </c>
      <c r="T69" s="278">
        <f t="shared" si="3"/>
        <v>0</v>
      </c>
      <c r="U69" s="281"/>
      <c r="V69" s="282"/>
      <c r="W69" s="278"/>
      <c r="X69" s="278"/>
      <c r="Y69" s="375"/>
      <c r="Z69" s="375"/>
      <c r="AA69" s="375"/>
      <c r="AB69" s="405"/>
    </row>
    <row r="70" spans="1:28" s="176" customFormat="1" ht="54.95" customHeight="1" x14ac:dyDescent="0.15">
      <c r="A70" s="387"/>
      <c r="B70" s="164">
        <f>G5</f>
        <v>0</v>
      </c>
      <c r="C70" s="413"/>
      <c r="D70" s="414"/>
      <c r="E70" s="415"/>
      <c r="F70" s="371"/>
      <c r="G70" s="372"/>
      <c r="H70" s="373"/>
      <c r="I70" s="276"/>
      <c r="J70" s="276"/>
      <c r="K70" s="167">
        <v>1</v>
      </c>
      <c r="L70" s="168" t="s">
        <v>63</v>
      </c>
      <c r="M70" s="169">
        <f t="shared" si="4"/>
        <v>0</v>
      </c>
      <c r="N70" s="171"/>
      <c r="O70" s="277"/>
      <c r="P70" s="169" t="s">
        <v>63</v>
      </c>
      <c r="Q70" s="377"/>
      <c r="R70" s="168"/>
      <c r="S70" s="169" t="s">
        <v>63</v>
      </c>
      <c r="T70" s="278">
        <f t="shared" si="3"/>
        <v>0</v>
      </c>
      <c r="U70" s="281"/>
      <c r="V70" s="282"/>
      <c r="W70" s="278"/>
      <c r="X70" s="278"/>
      <c r="Y70" s="375"/>
      <c r="Z70" s="375"/>
      <c r="AA70" s="375"/>
      <c r="AB70" s="405"/>
    </row>
    <row r="71" spans="1:28" s="176" customFormat="1" ht="54.95" customHeight="1" x14ac:dyDescent="0.15">
      <c r="A71" s="387"/>
      <c r="B71" s="164">
        <f>C6</f>
        <v>0</v>
      </c>
      <c r="C71" s="407">
        <f>A6</f>
        <v>0</v>
      </c>
      <c r="D71" s="408"/>
      <c r="E71" s="409"/>
      <c r="F71" s="371"/>
      <c r="G71" s="372"/>
      <c r="H71" s="373"/>
      <c r="I71" s="276"/>
      <c r="J71" s="276"/>
      <c r="K71" s="167">
        <v>1</v>
      </c>
      <c r="L71" s="168" t="s">
        <v>63</v>
      </c>
      <c r="M71" s="169">
        <f t="shared" si="4"/>
        <v>0</v>
      </c>
      <c r="N71" s="171"/>
      <c r="O71" s="277"/>
      <c r="P71" s="169" t="s">
        <v>63</v>
      </c>
      <c r="Q71" s="377"/>
      <c r="R71" s="277"/>
      <c r="S71" s="169" t="s">
        <v>63</v>
      </c>
      <c r="T71" s="278">
        <f t="shared" si="3"/>
        <v>0</v>
      </c>
      <c r="U71" s="281"/>
      <c r="V71" s="282"/>
      <c r="W71" s="278"/>
      <c r="X71" s="278"/>
      <c r="Y71" s="374" t="s">
        <v>67</v>
      </c>
      <c r="Z71" s="374"/>
      <c r="AA71" s="374"/>
      <c r="AB71" s="405"/>
    </row>
    <row r="72" spans="1:28" s="176" customFormat="1" ht="54.95" customHeight="1" x14ac:dyDescent="0.15">
      <c r="A72" s="387"/>
      <c r="B72" s="164">
        <f>D6</f>
        <v>0</v>
      </c>
      <c r="C72" s="410"/>
      <c r="D72" s="411"/>
      <c r="E72" s="412"/>
      <c r="F72" s="371"/>
      <c r="G72" s="372"/>
      <c r="H72" s="373"/>
      <c r="I72" s="276"/>
      <c r="J72" s="276"/>
      <c r="K72" s="167">
        <v>1</v>
      </c>
      <c r="L72" s="168" t="s">
        <v>63</v>
      </c>
      <c r="M72" s="169">
        <f t="shared" si="4"/>
        <v>0</v>
      </c>
      <c r="N72" s="171"/>
      <c r="O72" s="277"/>
      <c r="P72" s="169" t="s">
        <v>63</v>
      </c>
      <c r="Q72" s="377"/>
      <c r="R72" s="277"/>
      <c r="S72" s="169" t="s">
        <v>63</v>
      </c>
      <c r="T72" s="278">
        <f t="shared" si="3"/>
        <v>0</v>
      </c>
      <c r="U72" s="281"/>
      <c r="V72" s="282"/>
      <c r="W72" s="278"/>
      <c r="X72" s="278"/>
      <c r="Y72" s="375"/>
      <c r="Z72" s="375"/>
      <c r="AA72" s="375"/>
      <c r="AB72" s="405"/>
    </row>
    <row r="73" spans="1:28" s="176" customFormat="1" ht="54.95" customHeight="1" x14ac:dyDescent="0.15">
      <c r="A73" s="387"/>
      <c r="B73" s="164">
        <f>E6</f>
        <v>0</v>
      </c>
      <c r="C73" s="410"/>
      <c r="D73" s="411"/>
      <c r="E73" s="412"/>
      <c r="F73" s="371"/>
      <c r="G73" s="372"/>
      <c r="H73" s="373"/>
      <c r="I73" s="276"/>
      <c r="J73" s="276"/>
      <c r="K73" s="167">
        <v>1</v>
      </c>
      <c r="L73" s="168" t="s">
        <v>63</v>
      </c>
      <c r="M73" s="169">
        <f t="shared" si="4"/>
        <v>0</v>
      </c>
      <c r="N73" s="171"/>
      <c r="O73" s="277"/>
      <c r="P73" s="169" t="s">
        <v>63</v>
      </c>
      <c r="Q73" s="377"/>
      <c r="R73" s="277"/>
      <c r="S73" s="169" t="s">
        <v>63</v>
      </c>
      <c r="T73" s="278">
        <f t="shared" si="3"/>
        <v>0</v>
      </c>
      <c r="U73" s="281"/>
      <c r="V73" s="282"/>
      <c r="W73" s="278"/>
      <c r="X73" s="278"/>
      <c r="Y73" s="375"/>
      <c r="Z73" s="375"/>
      <c r="AA73" s="375"/>
      <c r="AB73" s="405"/>
    </row>
    <row r="74" spans="1:28" s="176" customFormat="1" ht="54.95" customHeight="1" x14ac:dyDescent="0.15">
      <c r="A74" s="387"/>
      <c r="B74" s="164">
        <f>F10</f>
        <v>0</v>
      </c>
      <c r="C74" s="410"/>
      <c r="D74" s="411"/>
      <c r="E74" s="412"/>
      <c r="F74" s="371"/>
      <c r="G74" s="372"/>
      <c r="H74" s="373"/>
      <c r="I74" s="276"/>
      <c r="J74" s="276"/>
      <c r="K74" s="167">
        <v>1</v>
      </c>
      <c r="L74" s="168" t="s">
        <v>63</v>
      </c>
      <c r="M74" s="169">
        <f t="shared" si="4"/>
        <v>0</v>
      </c>
      <c r="N74" s="171"/>
      <c r="O74" s="277"/>
      <c r="P74" s="169" t="s">
        <v>63</v>
      </c>
      <c r="Q74" s="377"/>
      <c r="R74" s="168"/>
      <c r="S74" s="169" t="s">
        <v>63</v>
      </c>
      <c r="T74" s="278">
        <f t="shared" si="3"/>
        <v>0</v>
      </c>
      <c r="U74" s="281"/>
      <c r="V74" s="282"/>
      <c r="W74" s="278"/>
      <c r="X74" s="278"/>
      <c r="Y74" s="375"/>
      <c r="Z74" s="375"/>
      <c r="AA74" s="375"/>
      <c r="AB74" s="405"/>
    </row>
    <row r="75" spans="1:28" s="176" customFormat="1" ht="54.95" customHeight="1" x14ac:dyDescent="0.15">
      <c r="A75" s="388"/>
      <c r="B75" s="164">
        <f>G10</f>
        <v>0</v>
      </c>
      <c r="C75" s="413"/>
      <c r="D75" s="414"/>
      <c r="E75" s="415"/>
      <c r="F75" s="371"/>
      <c r="G75" s="372"/>
      <c r="H75" s="373"/>
      <c r="I75" s="276"/>
      <c r="J75" s="276"/>
      <c r="K75" s="167">
        <v>1</v>
      </c>
      <c r="L75" s="168" t="s">
        <v>63</v>
      </c>
      <c r="M75" s="169">
        <f t="shared" si="4"/>
        <v>0</v>
      </c>
      <c r="N75" s="171"/>
      <c r="O75" s="277"/>
      <c r="P75" s="169" t="s">
        <v>63</v>
      </c>
      <c r="Q75" s="378"/>
      <c r="R75" s="168"/>
      <c r="S75" s="169" t="s">
        <v>63</v>
      </c>
      <c r="T75" s="278">
        <f t="shared" si="3"/>
        <v>0</v>
      </c>
      <c r="U75" s="281"/>
      <c r="V75" s="282"/>
      <c r="W75" s="278"/>
      <c r="X75" s="278"/>
      <c r="Y75" s="375"/>
      <c r="Z75" s="375"/>
      <c r="AA75" s="375"/>
      <c r="AB75" s="406"/>
    </row>
    <row r="76" spans="1:28" s="55" customFormat="1" ht="54.95" customHeight="1" x14ac:dyDescent="0.15">
      <c r="A76" s="386" t="s">
        <v>70</v>
      </c>
      <c r="B76" s="87">
        <f>C11</f>
        <v>320</v>
      </c>
      <c r="C76" s="389" t="s">
        <v>71</v>
      </c>
      <c r="D76" s="390"/>
      <c r="E76" s="391"/>
      <c r="F76" s="368"/>
      <c r="G76" s="369"/>
      <c r="H76" s="370"/>
      <c r="I76" s="152"/>
      <c r="J76" s="90"/>
      <c r="K76" s="156">
        <v>1</v>
      </c>
      <c r="L76" s="77" t="s">
        <v>63</v>
      </c>
      <c r="M76" s="88">
        <f t="shared" si="4"/>
        <v>320</v>
      </c>
      <c r="N76" s="89"/>
      <c r="O76" s="153"/>
      <c r="P76" s="88" t="s">
        <v>63</v>
      </c>
      <c r="Q76" s="398">
        <v>45926</v>
      </c>
      <c r="R76" s="93">
        <v>320</v>
      </c>
      <c r="S76" s="88" t="s">
        <v>63</v>
      </c>
      <c r="T76" s="154">
        <f t="shared" si="3"/>
        <v>0</v>
      </c>
      <c r="U76" s="91"/>
      <c r="V76" s="159"/>
      <c r="W76" s="159"/>
      <c r="X76" s="159"/>
      <c r="Y76" s="401" t="s">
        <v>94</v>
      </c>
      <c r="Z76" s="416"/>
      <c r="AA76" s="416"/>
      <c r="AB76" s="419" t="s">
        <v>166</v>
      </c>
    </row>
    <row r="77" spans="1:28" s="55" customFormat="1" ht="54.95" customHeight="1" x14ac:dyDescent="0.15">
      <c r="A77" s="387"/>
      <c r="B77" s="87">
        <f>D11</f>
        <v>300</v>
      </c>
      <c r="C77" s="392"/>
      <c r="D77" s="393"/>
      <c r="E77" s="394"/>
      <c r="F77" s="368"/>
      <c r="G77" s="369"/>
      <c r="H77" s="370"/>
      <c r="I77" s="152"/>
      <c r="J77" s="90"/>
      <c r="K77" s="156">
        <v>1</v>
      </c>
      <c r="L77" s="77" t="s">
        <v>63</v>
      </c>
      <c r="M77" s="88">
        <f t="shared" si="4"/>
        <v>300</v>
      </c>
      <c r="N77" s="89"/>
      <c r="O77" s="153"/>
      <c r="P77" s="88" t="s">
        <v>63</v>
      </c>
      <c r="Q77" s="399"/>
      <c r="R77" s="93">
        <v>300</v>
      </c>
      <c r="S77" s="88" t="s">
        <v>63</v>
      </c>
      <c r="T77" s="154">
        <f t="shared" si="3"/>
        <v>0</v>
      </c>
      <c r="U77" s="91"/>
      <c r="V77" s="159"/>
      <c r="W77" s="159"/>
      <c r="X77" s="159"/>
      <c r="Y77" s="402"/>
      <c r="Z77" s="417"/>
      <c r="AA77" s="417"/>
      <c r="AB77" s="420"/>
    </row>
    <row r="78" spans="1:28" s="55" customFormat="1" ht="54.95" customHeight="1" x14ac:dyDescent="0.15">
      <c r="A78" s="387"/>
      <c r="B78" s="87">
        <f>E11</f>
        <v>80</v>
      </c>
      <c r="C78" s="392"/>
      <c r="D78" s="393"/>
      <c r="E78" s="394"/>
      <c r="F78" s="368"/>
      <c r="G78" s="369"/>
      <c r="H78" s="370"/>
      <c r="I78" s="152"/>
      <c r="J78" s="90"/>
      <c r="K78" s="156">
        <v>1</v>
      </c>
      <c r="L78" s="77" t="s">
        <v>63</v>
      </c>
      <c r="M78" s="88">
        <f t="shared" si="4"/>
        <v>80</v>
      </c>
      <c r="N78" s="89"/>
      <c r="O78" s="153"/>
      <c r="P78" s="88" t="s">
        <v>63</v>
      </c>
      <c r="Q78" s="399"/>
      <c r="R78" s="93">
        <v>80</v>
      </c>
      <c r="S78" s="88" t="s">
        <v>63</v>
      </c>
      <c r="T78" s="154">
        <f t="shared" si="3"/>
        <v>0</v>
      </c>
      <c r="U78" s="91"/>
      <c r="V78" s="159"/>
      <c r="W78" s="159"/>
      <c r="X78" s="159"/>
      <c r="Y78" s="402"/>
      <c r="Z78" s="417"/>
      <c r="AA78" s="417"/>
      <c r="AB78" s="420"/>
    </row>
    <row r="79" spans="1:28" s="55" customFormat="1" ht="54.95" customHeight="1" x14ac:dyDescent="0.15">
      <c r="A79" s="388"/>
      <c r="B79" s="87">
        <f>F11</f>
        <v>0</v>
      </c>
      <c r="C79" s="395"/>
      <c r="D79" s="396"/>
      <c r="E79" s="397"/>
      <c r="F79" s="368"/>
      <c r="G79" s="369"/>
      <c r="H79" s="370"/>
      <c r="I79" s="152"/>
      <c r="J79" s="90"/>
      <c r="K79" s="156"/>
      <c r="L79" s="77" t="s">
        <v>63</v>
      </c>
      <c r="M79" s="88">
        <f t="shared" si="4"/>
        <v>0</v>
      </c>
      <c r="N79" s="89"/>
      <c r="O79" s="153"/>
      <c r="P79" s="88" t="s">
        <v>63</v>
      </c>
      <c r="Q79" s="400"/>
      <c r="R79" s="162"/>
      <c r="S79" s="88" t="s">
        <v>63</v>
      </c>
      <c r="T79" s="154">
        <f t="shared" si="3"/>
        <v>0</v>
      </c>
      <c r="U79" s="91"/>
      <c r="V79" s="159"/>
      <c r="W79" s="159"/>
      <c r="X79" s="159"/>
      <c r="Y79" s="403"/>
      <c r="Z79" s="418"/>
      <c r="AA79" s="418"/>
      <c r="AB79" s="421"/>
    </row>
    <row r="80" spans="1:28" s="176" customFormat="1" ht="54.95" customHeight="1" x14ac:dyDescent="0.15">
      <c r="A80" s="163" t="s">
        <v>73</v>
      </c>
      <c r="B80" s="164">
        <f>I11</f>
        <v>700</v>
      </c>
      <c r="C80" s="371" t="s">
        <v>71</v>
      </c>
      <c r="D80" s="372"/>
      <c r="E80" s="373"/>
      <c r="F80" s="371"/>
      <c r="G80" s="372"/>
      <c r="H80" s="373"/>
      <c r="I80" s="165"/>
      <c r="J80" s="166"/>
      <c r="K80" s="167">
        <v>1</v>
      </c>
      <c r="L80" s="168" t="s">
        <v>63</v>
      </c>
      <c r="M80" s="88">
        <f t="shared" si="4"/>
        <v>700</v>
      </c>
      <c r="N80" s="170"/>
      <c r="O80" s="170"/>
      <c r="P80" s="169" t="s">
        <v>63</v>
      </c>
      <c r="Q80" s="363">
        <v>45926</v>
      </c>
      <c r="R80" s="165">
        <v>700</v>
      </c>
      <c r="S80" s="169" t="s">
        <v>63</v>
      </c>
      <c r="T80" s="154">
        <f t="shared" si="3"/>
        <v>0</v>
      </c>
      <c r="U80" s="170"/>
      <c r="V80" s="172"/>
      <c r="W80" s="172"/>
      <c r="X80" s="172"/>
      <c r="Y80" s="374" t="s">
        <v>72</v>
      </c>
      <c r="Z80" s="380"/>
      <c r="AA80" s="383"/>
      <c r="AB80" s="360" t="s">
        <v>167</v>
      </c>
    </row>
    <row r="81" spans="1:29" s="55" customFormat="1" ht="54.95" customHeight="1" x14ac:dyDescent="0.15">
      <c r="A81" s="163" t="s">
        <v>81</v>
      </c>
      <c r="B81" s="87">
        <f>I11</f>
        <v>700</v>
      </c>
      <c r="C81" s="368" t="s">
        <v>71</v>
      </c>
      <c r="D81" s="369"/>
      <c r="E81" s="370"/>
      <c r="F81" s="368"/>
      <c r="G81" s="369"/>
      <c r="H81" s="370"/>
      <c r="I81" s="93"/>
      <c r="J81" s="90"/>
      <c r="K81" s="156">
        <v>1</v>
      </c>
      <c r="L81" s="77" t="s">
        <v>63</v>
      </c>
      <c r="M81" s="88">
        <f>K81*B81</f>
        <v>700</v>
      </c>
      <c r="N81" s="91"/>
      <c r="O81" s="91"/>
      <c r="P81" s="169" t="s">
        <v>63</v>
      </c>
      <c r="Q81" s="364"/>
      <c r="R81" s="93">
        <v>700</v>
      </c>
      <c r="S81" s="169" t="s">
        <v>63</v>
      </c>
      <c r="T81" s="154">
        <f t="shared" si="3"/>
        <v>0</v>
      </c>
      <c r="U81" s="91"/>
      <c r="V81" s="91"/>
      <c r="W81" s="91"/>
      <c r="X81" s="91"/>
      <c r="Y81" s="375"/>
      <c r="Z81" s="381"/>
      <c r="AA81" s="384"/>
      <c r="AB81" s="361"/>
    </row>
    <row r="82" spans="1:29" s="55" customFormat="1" ht="54.95" customHeight="1" x14ac:dyDescent="0.15">
      <c r="A82" s="284" t="s">
        <v>74</v>
      </c>
      <c r="B82" s="87">
        <f>I11</f>
        <v>700</v>
      </c>
      <c r="C82" s="368" t="s">
        <v>71</v>
      </c>
      <c r="D82" s="369"/>
      <c r="E82" s="370"/>
      <c r="F82" s="368"/>
      <c r="G82" s="369"/>
      <c r="H82" s="370"/>
      <c r="I82" s="93"/>
      <c r="J82" s="93"/>
      <c r="K82" s="156">
        <v>1</v>
      </c>
      <c r="L82" s="77" t="s">
        <v>63</v>
      </c>
      <c r="M82" s="88">
        <f t="shared" si="4"/>
        <v>700</v>
      </c>
      <c r="N82" s="91"/>
      <c r="O82" s="91"/>
      <c r="P82" s="89" t="s">
        <v>63</v>
      </c>
      <c r="Q82" s="365"/>
      <c r="R82" s="93">
        <v>700</v>
      </c>
      <c r="S82" s="89" t="s">
        <v>63</v>
      </c>
      <c r="T82" s="154">
        <f t="shared" si="3"/>
        <v>0</v>
      </c>
      <c r="U82" s="91"/>
      <c r="V82" s="91"/>
      <c r="W82" s="91"/>
      <c r="X82" s="91"/>
      <c r="Y82" s="379"/>
      <c r="Z82" s="382"/>
      <c r="AA82" s="385"/>
      <c r="AB82" s="362"/>
    </row>
    <row r="83" spans="1:29" x14ac:dyDescent="0.15">
      <c r="A83" s="285"/>
      <c r="B83" s="366"/>
      <c r="C83" s="366"/>
      <c r="D83" s="177"/>
      <c r="E83" s="177"/>
      <c r="F83" s="100"/>
      <c r="G83" s="100"/>
      <c r="H83" s="100"/>
      <c r="I83" s="177"/>
      <c r="J83" s="177"/>
      <c r="K83" s="101"/>
      <c r="L83" s="102"/>
      <c r="M83" s="103"/>
      <c r="N83" s="104"/>
      <c r="O83" s="104"/>
      <c r="P83" s="177"/>
      <c r="Q83" s="105"/>
      <c r="R83" s="105"/>
      <c r="S83" s="106"/>
      <c r="T83" s="107"/>
      <c r="U83" s="108"/>
      <c r="V83" s="108"/>
      <c r="W83" s="109"/>
      <c r="X83" s="107"/>
      <c r="Y83" s="110"/>
      <c r="Z83" s="111"/>
      <c r="AA83" s="111"/>
    </row>
    <row r="84" spans="1:29" x14ac:dyDescent="0.15">
      <c r="A84" s="285"/>
      <c r="B84" s="366"/>
      <c r="C84" s="366"/>
      <c r="D84" s="177"/>
      <c r="E84" s="177"/>
      <c r="F84" s="367"/>
      <c r="G84" s="367"/>
      <c r="H84" s="367"/>
      <c r="I84" s="177"/>
      <c r="J84" s="177"/>
      <c r="K84" s="101"/>
      <c r="L84" s="102"/>
      <c r="M84" s="103"/>
      <c r="N84" s="104"/>
      <c r="O84" s="104"/>
      <c r="P84" s="177"/>
      <c r="Q84" s="105"/>
      <c r="R84" s="105"/>
      <c r="S84" s="106"/>
      <c r="T84" s="107"/>
      <c r="U84" s="108"/>
      <c r="V84" s="108"/>
      <c r="W84" s="109"/>
      <c r="X84" s="107"/>
      <c r="Y84" s="112"/>
      <c r="Z84" s="111"/>
      <c r="AA84" s="111"/>
    </row>
    <row r="85" spans="1:29" x14ac:dyDescent="0.15">
      <c r="J85" s="177"/>
    </row>
    <row r="86" spans="1:29" x14ac:dyDescent="0.15">
      <c r="J86" s="177"/>
    </row>
    <row r="93" spans="1:29" s="114" customFormat="1" x14ac:dyDescent="0.15">
      <c r="A93" s="286"/>
      <c r="B93" s="113"/>
      <c r="C93" s="1"/>
      <c r="D93" s="1"/>
      <c r="E93" s="1"/>
      <c r="F93" s="1"/>
      <c r="G93" s="1"/>
      <c r="H93" s="1"/>
      <c r="I93" s="1"/>
      <c r="J93" s="1"/>
      <c r="L93" s="115"/>
      <c r="M93" s="116"/>
      <c r="N93" s="117"/>
      <c r="O93" s="117"/>
      <c r="P93" s="1"/>
      <c r="Q93" s="118"/>
      <c r="R93" s="118"/>
      <c r="S93" s="115"/>
      <c r="T93" s="119"/>
      <c r="U93" s="1"/>
      <c r="V93" s="1"/>
      <c r="W93" s="120"/>
      <c r="X93" s="121"/>
      <c r="Y93" s="1"/>
      <c r="Z93" s="1"/>
      <c r="AA93" s="1"/>
      <c r="AB93" s="1"/>
      <c r="AC93" s="1"/>
    </row>
    <row r="94" spans="1:29" s="114" customFormat="1" x14ac:dyDescent="0.15">
      <c r="A94" s="286"/>
      <c r="B94" s="113"/>
      <c r="C94" s="1"/>
      <c r="D94" s="1"/>
      <c r="E94" s="1"/>
      <c r="F94" s="1"/>
      <c r="G94" s="1"/>
      <c r="H94" s="1"/>
      <c r="I94" s="1"/>
      <c r="J94" s="1"/>
      <c r="L94" s="115"/>
      <c r="M94" s="116"/>
      <c r="N94" s="117"/>
      <c r="O94" s="117"/>
      <c r="P94" s="1"/>
      <c r="Q94" s="118"/>
      <c r="R94" s="118"/>
      <c r="S94" s="115"/>
      <c r="T94" s="119"/>
      <c r="U94" s="1"/>
      <c r="V94" s="1"/>
      <c r="W94" s="120"/>
      <c r="X94" s="121"/>
      <c r="Y94" s="1"/>
      <c r="Z94" s="1"/>
      <c r="AA94" s="1"/>
      <c r="AB94" s="1"/>
      <c r="AC94" s="1"/>
    </row>
  </sheetData>
  <mergeCells count="293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N13:P13"/>
    <mergeCell ref="C20:E20"/>
    <mergeCell ref="F20:H20"/>
    <mergeCell ref="A21:A22"/>
    <mergeCell ref="C21:E21"/>
    <mergeCell ref="F21:H21"/>
    <mergeCell ref="I21:I22"/>
    <mergeCell ref="AB17:AB18"/>
    <mergeCell ref="C18:E18"/>
    <mergeCell ref="F18:H18"/>
    <mergeCell ref="A19:A20"/>
    <mergeCell ref="C19:E19"/>
    <mergeCell ref="F19:H19"/>
    <mergeCell ref="I19:I20"/>
    <mergeCell ref="Q19:Q20"/>
    <mergeCell ref="Y19:Y20"/>
    <mergeCell ref="AB19:AB20"/>
    <mergeCell ref="Q21:Q22"/>
    <mergeCell ref="Y21:Y22"/>
    <mergeCell ref="AB21:AB22"/>
    <mergeCell ref="C22:E22"/>
    <mergeCell ref="F22:H22"/>
    <mergeCell ref="AB15:AB16"/>
    <mergeCell ref="A23:A24"/>
    <mergeCell ref="C23:E23"/>
    <mergeCell ref="F23:H23"/>
    <mergeCell ref="I23:I24"/>
    <mergeCell ref="Q23:Q24"/>
    <mergeCell ref="Y23:Y24"/>
    <mergeCell ref="AB23:AB26"/>
    <mergeCell ref="C24:E24"/>
    <mergeCell ref="F24:H24"/>
    <mergeCell ref="A25:A26"/>
    <mergeCell ref="C25:E25"/>
    <mergeCell ref="F25:H25"/>
    <mergeCell ref="I25:I26"/>
    <mergeCell ref="Q25:Q26"/>
    <mergeCell ref="Y25:Y26"/>
    <mergeCell ref="C26:E26"/>
    <mergeCell ref="F26:H26"/>
    <mergeCell ref="AC26:AF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28:AF28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C34:AF34"/>
    <mergeCell ref="A35:A36"/>
    <mergeCell ref="C35:E35"/>
    <mergeCell ref="F35:H35"/>
    <mergeCell ref="I35:I36"/>
    <mergeCell ref="Y35:Y36"/>
    <mergeCell ref="C36:E36"/>
    <mergeCell ref="F36:H36"/>
    <mergeCell ref="AC36:AF36"/>
    <mergeCell ref="A33:A34"/>
    <mergeCell ref="C33:E33"/>
    <mergeCell ref="F33:H33"/>
    <mergeCell ref="I33:I34"/>
    <mergeCell ref="Y33:Y34"/>
    <mergeCell ref="C34:E34"/>
    <mergeCell ref="F34:H34"/>
    <mergeCell ref="Q33:Q38"/>
    <mergeCell ref="AB33:AB38"/>
    <mergeCell ref="A37:A38"/>
    <mergeCell ref="C37:E37"/>
    <mergeCell ref="F37:H37"/>
    <mergeCell ref="I37:I38"/>
    <mergeCell ref="Y37:Y38"/>
    <mergeCell ref="C38:E38"/>
    <mergeCell ref="AC38:AF38"/>
    <mergeCell ref="F38:H38"/>
    <mergeCell ref="A39:A40"/>
    <mergeCell ref="C39:E39"/>
    <mergeCell ref="F39:H39"/>
    <mergeCell ref="Q39:Q40"/>
    <mergeCell ref="Y39:Y40"/>
    <mergeCell ref="AB39:AB40"/>
    <mergeCell ref="C40:E40"/>
    <mergeCell ref="F40:H40"/>
    <mergeCell ref="A41:A42"/>
    <mergeCell ref="C41:E41"/>
    <mergeCell ref="F41:H41"/>
    <mergeCell ref="Y41:Y42"/>
    <mergeCell ref="C42:E42"/>
    <mergeCell ref="F42:H42"/>
    <mergeCell ref="Q41:Q44"/>
    <mergeCell ref="AB41:AB44"/>
    <mergeCell ref="A45:A46"/>
    <mergeCell ref="C45:E45"/>
    <mergeCell ref="F45:H45"/>
    <mergeCell ref="Q45:Q46"/>
    <mergeCell ref="Y45:Y46"/>
    <mergeCell ref="AB45:AB46"/>
    <mergeCell ref="C46:E46"/>
    <mergeCell ref="F46:H46"/>
    <mergeCell ref="A43:A44"/>
    <mergeCell ref="C43:E43"/>
    <mergeCell ref="F43:H43"/>
    <mergeCell ref="Y43:Y44"/>
    <mergeCell ref="C44:E44"/>
    <mergeCell ref="F44:H44"/>
    <mergeCell ref="AB47:AB48"/>
    <mergeCell ref="C48:E48"/>
    <mergeCell ref="F48:H48"/>
    <mergeCell ref="A49:A50"/>
    <mergeCell ref="C49:E49"/>
    <mergeCell ref="F49:H49"/>
    <mergeCell ref="I49:I50"/>
    <mergeCell ref="Q49:Q50"/>
    <mergeCell ref="Y49:Y50"/>
    <mergeCell ref="AB49:AB50"/>
    <mergeCell ref="A47:A48"/>
    <mergeCell ref="C47:E47"/>
    <mergeCell ref="F47:H47"/>
    <mergeCell ref="I47:I48"/>
    <mergeCell ref="Q47:Q48"/>
    <mergeCell ref="Y47:Y48"/>
    <mergeCell ref="AA51:AA55"/>
    <mergeCell ref="AB51:AB55"/>
    <mergeCell ref="F52:H52"/>
    <mergeCell ref="F53:H53"/>
    <mergeCell ref="F54:H54"/>
    <mergeCell ref="F55:H55"/>
    <mergeCell ref="C50:E50"/>
    <mergeCell ref="F50:H50"/>
    <mergeCell ref="A51:A55"/>
    <mergeCell ref="C51:E55"/>
    <mergeCell ref="F51:H51"/>
    <mergeCell ref="Q51:Q55"/>
    <mergeCell ref="A56:A65"/>
    <mergeCell ref="C56:E60"/>
    <mergeCell ref="F56:H56"/>
    <mergeCell ref="Q56:Q65"/>
    <mergeCell ref="Y56:Y65"/>
    <mergeCell ref="Z56:Z65"/>
    <mergeCell ref="C61:E65"/>
    <mergeCell ref="F65:H65"/>
    <mergeCell ref="Y51:Y55"/>
    <mergeCell ref="Z51:Z55"/>
    <mergeCell ref="AA56:AA65"/>
    <mergeCell ref="AB56:AB65"/>
    <mergeCell ref="F57:H57"/>
    <mergeCell ref="F58:H58"/>
    <mergeCell ref="F59:H59"/>
    <mergeCell ref="F60:H60"/>
    <mergeCell ref="F61:H61"/>
    <mergeCell ref="F62:H62"/>
    <mergeCell ref="F63:H63"/>
    <mergeCell ref="F64:H64"/>
    <mergeCell ref="A76:A79"/>
    <mergeCell ref="C76:E79"/>
    <mergeCell ref="F76:H76"/>
    <mergeCell ref="Q76:Q79"/>
    <mergeCell ref="Y76:Y79"/>
    <mergeCell ref="AA66:AA70"/>
    <mergeCell ref="AB66:AB75"/>
    <mergeCell ref="F67:H67"/>
    <mergeCell ref="F68:H68"/>
    <mergeCell ref="F69:H69"/>
    <mergeCell ref="F70:H70"/>
    <mergeCell ref="F71:H71"/>
    <mergeCell ref="Y71:Y75"/>
    <mergeCell ref="Z71:Z75"/>
    <mergeCell ref="A66:A75"/>
    <mergeCell ref="C66:E70"/>
    <mergeCell ref="F66:H66"/>
    <mergeCell ref="Y66:Y70"/>
    <mergeCell ref="Z66:Z70"/>
    <mergeCell ref="C71:E75"/>
    <mergeCell ref="Z76:Z79"/>
    <mergeCell ref="AA76:AA79"/>
    <mergeCell ref="AB76:AB79"/>
    <mergeCell ref="F77:H77"/>
    <mergeCell ref="F78:H78"/>
    <mergeCell ref="F79:H79"/>
    <mergeCell ref="AA71:AA75"/>
    <mergeCell ref="F72:H72"/>
    <mergeCell ref="F73:H73"/>
    <mergeCell ref="F74:H74"/>
    <mergeCell ref="F75:H75"/>
    <mergeCell ref="Q66:Q75"/>
    <mergeCell ref="Y80:Y82"/>
    <mergeCell ref="Z80:Z82"/>
    <mergeCell ref="AA80:AA82"/>
    <mergeCell ref="AB80:AB82"/>
    <mergeCell ref="Q80:Q82"/>
    <mergeCell ref="B84:C84"/>
    <mergeCell ref="F84:H84"/>
    <mergeCell ref="C81:E81"/>
    <mergeCell ref="F81:H81"/>
    <mergeCell ref="C82:E82"/>
    <mergeCell ref="F82:H82"/>
    <mergeCell ref="B83:C83"/>
    <mergeCell ref="C80:E80"/>
    <mergeCell ref="F80:H8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5" orientation="portrait" r:id="rId1"/>
  <headerFooter alignWithMargins="0"/>
  <rowBreaks count="1" manualBreakCount="1">
    <brk id="55" max="27" man="1"/>
  </rowBreaks>
  <colBreaks count="1" manualBreakCount="1">
    <brk id="2" max="4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01DF-C0B1-40C6-BF19-1FC5D4011306}">
  <sheetPr>
    <pageSetUpPr fitToPage="1"/>
  </sheetPr>
  <dimension ref="A1:AF94"/>
  <sheetViews>
    <sheetView view="pageBreakPreview" zoomScale="75" zoomScaleNormal="100" zoomScaleSheetLayoutView="75" workbookViewId="0">
      <selection activeCell="B2" sqref="B2:G2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150</v>
      </c>
      <c r="C2" s="548"/>
      <c r="D2" s="548"/>
      <c r="E2" s="548"/>
      <c r="F2" s="548"/>
      <c r="G2" s="549"/>
      <c r="H2" s="180" t="s">
        <v>1</v>
      </c>
      <c r="I2" s="550">
        <f>I11</f>
        <v>1098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260</v>
      </c>
      <c r="D5" s="182">
        <v>250</v>
      </c>
      <c r="E5" s="182">
        <v>66</v>
      </c>
      <c r="F5" s="182"/>
      <c r="G5" s="182"/>
      <c r="H5" s="542" t="s">
        <v>24</v>
      </c>
      <c r="I5" s="524">
        <f t="shared" ref="I5:I11" si="0">SUM(C5:G5)</f>
        <v>576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105</v>
      </c>
      <c r="B6" s="523"/>
      <c r="C6" s="182">
        <v>240</v>
      </c>
      <c r="D6" s="182">
        <v>230</v>
      </c>
      <c r="E6" s="182">
        <v>52</v>
      </c>
      <c r="F6" s="182"/>
      <c r="G6" s="182"/>
      <c r="H6" s="537"/>
      <c r="I6" s="524">
        <f t="shared" si="0"/>
        <v>522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45911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500</v>
      </c>
      <c r="D11" s="181">
        <f>SUM(D5:D10)</f>
        <v>480</v>
      </c>
      <c r="E11" s="181">
        <f>SUM(E5:E10)</f>
        <v>118</v>
      </c>
      <c r="F11" s="181">
        <f>SUM(F5:F10)</f>
        <v>0</v>
      </c>
      <c r="G11" s="181">
        <f>SUM(G5:G10)</f>
        <v>0</v>
      </c>
      <c r="H11" s="182"/>
      <c r="I11" s="481">
        <f t="shared" si="0"/>
        <v>1098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46024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510</v>
      </c>
      <c r="D12" s="43">
        <f>D11*1.02</f>
        <v>489.6</v>
      </c>
      <c r="E12" s="43">
        <f>E11*1.02</f>
        <v>120.36</v>
      </c>
      <c r="F12" s="43">
        <f>F11*1.02</f>
        <v>0</v>
      </c>
      <c r="G12" s="43">
        <f>G11*1.02</f>
        <v>0</v>
      </c>
      <c r="H12" s="44"/>
      <c r="I12" s="486">
        <f>I11*1.02</f>
        <v>1119.96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3" si="1">$I$5</f>
        <v>576</v>
      </c>
      <c r="C15" s="474" t="str">
        <f t="shared" ref="C15:C23" si="2">$A$5</f>
        <v>BK</v>
      </c>
      <c r="D15" s="475"/>
      <c r="E15" s="476"/>
      <c r="F15" s="474"/>
      <c r="G15" s="475"/>
      <c r="H15" s="476"/>
      <c r="I15" s="297" t="s">
        <v>128</v>
      </c>
      <c r="J15" s="65" t="s">
        <v>6</v>
      </c>
      <c r="K15" s="66">
        <v>1.48</v>
      </c>
      <c r="L15" s="67" t="s">
        <v>7</v>
      </c>
      <c r="M15" s="68">
        <f>K15*B15</f>
        <v>852.48</v>
      </c>
      <c r="N15" s="69"/>
      <c r="O15" s="70"/>
      <c r="P15" s="67" t="s">
        <v>7</v>
      </c>
      <c r="Q15" s="478">
        <v>45923</v>
      </c>
      <c r="R15" s="293">
        <v>853</v>
      </c>
      <c r="S15" s="71" t="s">
        <v>7</v>
      </c>
      <c r="T15" s="123">
        <f t="shared" ref="T15:T82" si="3">R15-M15</f>
        <v>0.51999999999998181</v>
      </c>
      <c r="U15" s="72"/>
      <c r="V15" s="72"/>
      <c r="W15" s="73"/>
      <c r="X15" s="74"/>
      <c r="Y15" s="479" t="s">
        <v>138</v>
      </c>
      <c r="Z15" s="63"/>
      <c r="AA15" s="64"/>
      <c r="AB15" s="360" t="s">
        <v>165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522</v>
      </c>
      <c r="C16" s="368" t="str">
        <f>$A$6</f>
        <v>BE</v>
      </c>
      <c r="D16" s="369"/>
      <c r="E16" s="370"/>
      <c r="F16" s="368"/>
      <c r="G16" s="369"/>
      <c r="H16" s="370"/>
      <c r="I16" s="296" t="s">
        <v>99</v>
      </c>
      <c r="J16" s="76" t="s">
        <v>6</v>
      </c>
      <c r="K16" s="83">
        <v>1.44</v>
      </c>
      <c r="L16" s="77" t="s">
        <v>7</v>
      </c>
      <c r="M16" s="78">
        <f t="shared" ref="M16:M82" si="4">K16*B16</f>
        <v>751.68</v>
      </c>
      <c r="N16" s="79"/>
      <c r="O16" s="128"/>
      <c r="P16" s="77" t="s">
        <v>7</v>
      </c>
      <c r="Q16" s="444"/>
      <c r="R16" s="137">
        <v>753</v>
      </c>
      <c r="S16" s="75" t="s">
        <v>7</v>
      </c>
      <c r="T16" s="81">
        <f t="shared" si="3"/>
        <v>1.32000000000005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576</v>
      </c>
      <c r="C17" s="461" t="str">
        <f t="shared" si="2"/>
        <v>BK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522</v>
      </c>
      <c r="C18" s="461" t="str">
        <f>$A$6</f>
        <v>BE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206" customFormat="1" ht="69.95" customHeight="1" x14ac:dyDescent="0.15">
      <c r="A19" s="431" t="s">
        <v>132</v>
      </c>
      <c r="B19" s="191">
        <f t="shared" ref="B19" si="5">$I$5</f>
        <v>576</v>
      </c>
      <c r="C19" s="465" t="str">
        <f t="shared" ref="C19" si="6">$A$5</f>
        <v>BK</v>
      </c>
      <c r="D19" s="465"/>
      <c r="E19" s="465"/>
      <c r="F19" s="465"/>
      <c r="G19" s="465"/>
      <c r="H19" s="465"/>
      <c r="I19" s="433" t="s">
        <v>58</v>
      </c>
      <c r="J19" s="192" t="s">
        <v>6</v>
      </c>
      <c r="K19" s="209">
        <v>7.0000000000000007E-2</v>
      </c>
      <c r="L19" s="194" t="s">
        <v>7</v>
      </c>
      <c r="M19" s="195">
        <f t="shared" si="4"/>
        <v>40.320000000000007</v>
      </c>
      <c r="N19" s="196"/>
      <c r="O19" s="195"/>
      <c r="P19" s="197" t="s">
        <v>7</v>
      </c>
      <c r="Q19" s="435"/>
      <c r="R19" s="195"/>
      <c r="S19" s="197" t="s">
        <v>7</v>
      </c>
      <c r="T19" s="198">
        <f t="shared" si="3"/>
        <v>-40.320000000000007</v>
      </c>
      <c r="U19" s="199"/>
      <c r="V19" s="200"/>
      <c r="W19" s="195"/>
      <c r="X19" s="195"/>
      <c r="Y19" s="437" t="s">
        <v>93</v>
      </c>
      <c r="Z19" s="235"/>
      <c r="AA19" s="202"/>
      <c r="AB19" s="439"/>
      <c r="AC19" s="229"/>
      <c r="AD19" s="230"/>
      <c r="AE19" s="230"/>
      <c r="AF19" s="230"/>
    </row>
    <row r="20" spans="1:32" s="206" customFormat="1" ht="69.95" customHeight="1" x14ac:dyDescent="0.15">
      <c r="A20" s="432"/>
      <c r="B20" s="191">
        <f>$I$6</f>
        <v>522</v>
      </c>
      <c r="C20" s="465" t="str">
        <f>$A$6</f>
        <v>BE</v>
      </c>
      <c r="D20" s="465"/>
      <c r="E20" s="465"/>
      <c r="F20" s="465"/>
      <c r="G20" s="465"/>
      <c r="H20" s="465"/>
      <c r="I20" s="434"/>
      <c r="J20" s="192" t="s">
        <v>6</v>
      </c>
      <c r="K20" s="209"/>
      <c r="L20" s="194" t="s">
        <v>7</v>
      </c>
      <c r="M20" s="195">
        <f t="shared" si="4"/>
        <v>0</v>
      </c>
      <c r="N20" s="196"/>
      <c r="O20" s="210"/>
      <c r="P20" s="194" t="s">
        <v>7</v>
      </c>
      <c r="Q20" s="436"/>
      <c r="R20" s="236"/>
      <c r="S20" s="207" t="s">
        <v>7</v>
      </c>
      <c r="T20" s="198">
        <f t="shared" si="3"/>
        <v>0</v>
      </c>
      <c r="U20" s="211"/>
      <c r="V20" s="211"/>
      <c r="W20" s="212"/>
      <c r="X20" s="213"/>
      <c r="Y20" s="438"/>
      <c r="Z20" s="214"/>
      <c r="AA20" s="202"/>
      <c r="AB20" s="440"/>
      <c r="AC20" s="229"/>
      <c r="AD20" s="230"/>
      <c r="AE20" s="230"/>
      <c r="AF20" s="230"/>
    </row>
    <row r="21" spans="1:32" s="55" customFormat="1" ht="69.95" customHeight="1" x14ac:dyDescent="0.15">
      <c r="A21" s="431" t="s">
        <v>85</v>
      </c>
      <c r="B21" s="182">
        <f t="shared" si="1"/>
        <v>576</v>
      </c>
      <c r="C21" s="461" t="str">
        <f t="shared" si="2"/>
        <v>BK</v>
      </c>
      <c r="D21" s="461"/>
      <c r="E21" s="461"/>
      <c r="F21" s="461"/>
      <c r="G21" s="461"/>
      <c r="H21" s="461"/>
      <c r="I21" s="441" t="s">
        <v>8</v>
      </c>
      <c r="J21" s="76" t="s">
        <v>6</v>
      </c>
      <c r="K21" s="136">
        <v>0.26</v>
      </c>
      <c r="L21" s="77" t="s">
        <v>7</v>
      </c>
      <c r="M21" s="78">
        <f t="shared" si="4"/>
        <v>149.76</v>
      </c>
      <c r="N21" s="79"/>
      <c r="O21" s="78"/>
      <c r="P21" s="80" t="s">
        <v>7</v>
      </c>
      <c r="Q21" s="443">
        <v>45926</v>
      </c>
      <c r="R21" s="78">
        <v>150</v>
      </c>
      <c r="S21" s="80" t="s">
        <v>7</v>
      </c>
      <c r="T21" s="81">
        <f t="shared" si="3"/>
        <v>0.24000000000000909</v>
      </c>
      <c r="U21" s="82"/>
      <c r="V21" s="137"/>
      <c r="W21" s="78"/>
      <c r="X21" s="78"/>
      <c r="Y21" s="445" t="s">
        <v>93</v>
      </c>
      <c r="Z21" s="138"/>
      <c r="AA21" s="135"/>
      <c r="AB21" s="360" t="s">
        <v>167</v>
      </c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$I$6</f>
        <v>522</v>
      </c>
      <c r="C22" s="461" t="str">
        <f>$A$6</f>
        <v>BE</v>
      </c>
      <c r="D22" s="461"/>
      <c r="E22" s="461"/>
      <c r="F22" s="461"/>
      <c r="G22" s="461"/>
      <c r="H22" s="461"/>
      <c r="I22" s="442"/>
      <c r="J22" s="76" t="s">
        <v>6</v>
      </c>
      <c r="K22" s="136">
        <v>0.26</v>
      </c>
      <c r="L22" s="77" t="s">
        <v>7</v>
      </c>
      <c r="M22" s="78">
        <f t="shared" si="4"/>
        <v>135.72</v>
      </c>
      <c r="N22" s="79"/>
      <c r="O22" s="128"/>
      <c r="P22" s="77" t="s">
        <v>7</v>
      </c>
      <c r="Q22" s="444"/>
      <c r="R22" s="130">
        <v>136</v>
      </c>
      <c r="S22" s="75" t="s">
        <v>7</v>
      </c>
      <c r="T22" s="81">
        <f t="shared" si="3"/>
        <v>0.28000000000000114</v>
      </c>
      <c r="U22" s="131"/>
      <c r="V22" s="131"/>
      <c r="W22" s="132"/>
      <c r="X22" s="133"/>
      <c r="Y22" s="446"/>
      <c r="Z22" s="228"/>
      <c r="AA22" s="228"/>
      <c r="AB22" s="362"/>
      <c r="AC22" s="178"/>
      <c r="AD22" s="179"/>
      <c r="AE22" s="179"/>
      <c r="AF22" s="179"/>
    </row>
    <row r="23" spans="1:32" s="176" customFormat="1" ht="69.95" customHeight="1" x14ac:dyDescent="0.15">
      <c r="A23" s="431" t="s">
        <v>107</v>
      </c>
      <c r="B23" s="239">
        <f t="shared" si="1"/>
        <v>576</v>
      </c>
      <c r="C23" s="456" t="str">
        <f t="shared" si="2"/>
        <v>BK</v>
      </c>
      <c r="D23" s="456"/>
      <c r="E23" s="456"/>
      <c r="F23" s="456"/>
      <c r="G23" s="456"/>
      <c r="H23" s="456"/>
      <c r="I23" s="457" t="s">
        <v>58</v>
      </c>
      <c r="J23" s="240" t="s">
        <v>6</v>
      </c>
      <c r="K23" s="241">
        <v>0.12</v>
      </c>
      <c r="L23" s="168" t="s">
        <v>7</v>
      </c>
      <c r="M23" s="242">
        <f t="shared" si="4"/>
        <v>69.12</v>
      </c>
      <c r="N23" s="243"/>
      <c r="O23" s="242"/>
      <c r="P23" s="244" t="s">
        <v>7</v>
      </c>
      <c r="Q23" s="376">
        <v>45926</v>
      </c>
      <c r="R23" s="245">
        <v>69</v>
      </c>
      <c r="S23" s="244" t="s">
        <v>7</v>
      </c>
      <c r="T23" s="245">
        <f t="shared" si="3"/>
        <v>-0.12000000000000455</v>
      </c>
      <c r="U23" s="246"/>
      <c r="V23" s="247"/>
      <c r="W23" s="242"/>
      <c r="X23" s="242"/>
      <c r="Y23" s="459" t="s">
        <v>59</v>
      </c>
      <c r="Z23" s="248"/>
      <c r="AA23" s="249"/>
      <c r="AB23" s="448" t="s">
        <v>167</v>
      </c>
      <c r="AC23" s="250"/>
      <c r="AD23" s="251"/>
      <c r="AE23" s="251"/>
      <c r="AF23" s="251"/>
    </row>
    <row r="24" spans="1:32" s="176" customFormat="1" ht="69.95" customHeight="1" x14ac:dyDescent="0.15">
      <c r="A24" s="432"/>
      <c r="B24" s="239">
        <f>$I$6</f>
        <v>522</v>
      </c>
      <c r="C24" s="456" t="str">
        <f>$A$6</f>
        <v>BE</v>
      </c>
      <c r="D24" s="456"/>
      <c r="E24" s="456"/>
      <c r="F24" s="456"/>
      <c r="G24" s="456"/>
      <c r="H24" s="456"/>
      <c r="I24" s="458"/>
      <c r="J24" s="240" t="s">
        <v>6</v>
      </c>
      <c r="K24" s="241">
        <v>0.12</v>
      </c>
      <c r="L24" s="168" t="s">
        <v>7</v>
      </c>
      <c r="M24" s="242">
        <f t="shared" si="4"/>
        <v>62.64</v>
      </c>
      <c r="N24" s="243"/>
      <c r="O24" s="253"/>
      <c r="P24" s="168" t="s">
        <v>7</v>
      </c>
      <c r="Q24" s="377"/>
      <c r="R24" s="254">
        <v>63</v>
      </c>
      <c r="S24" s="255" t="s">
        <v>7</v>
      </c>
      <c r="T24" s="245">
        <f t="shared" si="3"/>
        <v>0.35999999999999943</v>
      </c>
      <c r="U24" s="256"/>
      <c r="V24" s="256"/>
      <c r="W24" s="257"/>
      <c r="X24" s="258"/>
      <c r="Y24" s="460"/>
      <c r="Z24" s="259"/>
      <c r="AA24" s="249"/>
      <c r="AB24" s="449"/>
      <c r="AC24" s="250"/>
      <c r="AD24" s="251"/>
      <c r="AE24" s="251"/>
      <c r="AF24" s="251"/>
    </row>
    <row r="25" spans="1:32" s="261" customFormat="1" ht="69.95" customHeight="1" x14ac:dyDescent="0.15">
      <c r="A25" s="431" t="s">
        <v>108</v>
      </c>
      <c r="B25" s="239">
        <f>$I$5</f>
        <v>576</v>
      </c>
      <c r="C25" s="456" t="str">
        <f>$A$5</f>
        <v>BK</v>
      </c>
      <c r="D25" s="456"/>
      <c r="E25" s="456"/>
      <c r="F25" s="456"/>
      <c r="G25" s="456"/>
      <c r="H25" s="456"/>
      <c r="I25" s="457" t="s">
        <v>8</v>
      </c>
      <c r="J25" s="240" t="s">
        <v>6</v>
      </c>
      <c r="K25" s="241">
        <v>0.17</v>
      </c>
      <c r="L25" s="168" t="s">
        <v>7</v>
      </c>
      <c r="M25" s="242">
        <f>K25*B25</f>
        <v>97.92</v>
      </c>
      <c r="N25" s="243"/>
      <c r="O25" s="242"/>
      <c r="P25" s="244" t="s">
        <v>7</v>
      </c>
      <c r="Q25" s="377"/>
      <c r="R25" s="242">
        <v>98</v>
      </c>
      <c r="S25" s="244" t="s">
        <v>9</v>
      </c>
      <c r="T25" s="245">
        <f t="shared" si="3"/>
        <v>7.9999999999998295E-2</v>
      </c>
      <c r="U25" s="246"/>
      <c r="V25" s="247"/>
      <c r="W25" s="242"/>
      <c r="X25" s="242"/>
      <c r="Y25" s="459" t="s">
        <v>59</v>
      </c>
      <c r="Z25" s="260"/>
      <c r="AA25" s="249"/>
      <c r="AB25" s="449"/>
    </row>
    <row r="26" spans="1:32" s="261" customFormat="1" ht="69.95" customHeight="1" x14ac:dyDescent="0.15">
      <c r="A26" s="432"/>
      <c r="B26" s="239">
        <f>$I$6</f>
        <v>522</v>
      </c>
      <c r="C26" s="456" t="str">
        <f>$A$6</f>
        <v>BE</v>
      </c>
      <c r="D26" s="456"/>
      <c r="E26" s="456"/>
      <c r="F26" s="456"/>
      <c r="G26" s="456"/>
      <c r="H26" s="456"/>
      <c r="I26" s="458"/>
      <c r="J26" s="240" t="s">
        <v>6</v>
      </c>
      <c r="K26" s="262">
        <v>0.17</v>
      </c>
      <c r="L26" s="168" t="s">
        <v>7</v>
      </c>
      <c r="M26" s="242">
        <f>K26*B26</f>
        <v>88.740000000000009</v>
      </c>
      <c r="N26" s="243"/>
      <c r="O26" s="253"/>
      <c r="P26" s="168" t="s">
        <v>7</v>
      </c>
      <c r="Q26" s="378"/>
      <c r="R26" s="247">
        <v>89</v>
      </c>
      <c r="S26" s="255" t="s">
        <v>9</v>
      </c>
      <c r="T26" s="245">
        <f t="shared" si="3"/>
        <v>0.25999999999999091</v>
      </c>
      <c r="U26" s="256"/>
      <c r="V26" s="256"/>
      <c r="W26" s="257"/>
      <c r="X26" s="258"/>
      <c r="Y26" s="460"/>
      <c r="Z26" s="259"/>
      <c r="AA26" s="249"/>
      <c r="AB26" s="450"/>
      <c r="AC26" s="462"/>
      <c r="AD26" s="463"/>
      <c r="AE26" s="463"/>
      <c r="AF26" s="463"/>
    </row>
    <row r="27" spans="1:32" s="203" customFormat="1" ht="69.95" customHeight="1" x14ac:dyDescent="0.15">
      <c r="A27" s="464" t="s">
        <v>77</v>
      </c>
      <c r="B27" s="191">
        <f>$I$5</f>
        <v>576</v>
      </c>
      <c r="C27" s="465" t="str">
        <f>$A$5</f>
        <v>BK</v>
      </c>
      <c r="D27" s="465"/>
      <c r="E27" s="465"/>
      <c r="F27" s="465"/>
      <c r="G27" s="465"/>
      <c r="H27" s="465"/>
      <c r="I27" s="433" t="s">
        <v>110</v>
      </c>
      <c r="J27" s="192"/>
      <c r="K27" s="209">
        <v>1.8</v>
      </c>
      <c r="L27" s="194" t="s">
        <v>7</v>
      </c>
      <c r="M27" s="195">
        <f>K27*B27/100</f>
        <v>10.368</v>
      </c>
      <c r="N27" s="196"/>
      <c r="O27" s="195"/>
      <c r="P27" s="197" t="s">
        <v>7</v>
      </c>
      <c r="Q27" s="435"/>
      <c r="R27" s="195"/>
      <c r="S27" s="197" t="s">
        <v>9</v>
      </c>
      <c r="T27" s="198">
        <f t="shared" si="3"/>
        <v>-10.368</v>
      </c>
      <c r="U27" s="199"/>
      <c r="V27" s="200"/>
      <c r="W27" s="195"/>
      <c r="X27" s="195"/>
      <c r="Y27" s="437" t="s">
        <v>94</v>
      </c>
      <c r="Z27" s="201"/>
      <c r="AA27" s="202"/>
      <c r="AB27" s="439"/>
    </row>
    <row r="28" spans="1:32" s="203" customFormat="1" ht="69.95" customHeight="1" x14ac:dyDescent="0.15">
      <c r="A28" s="464"/>
      <c r="B28" s="191">
        <f>$I$6</f>
        <v>522</v>
      </c>
      <c r="C28" s="465" t="str">
        <f>$A$6</f>
        <v>BE</v>
      </c>
      <c r="D28" s="465"/>
      <c r="E28" s="465"/>
      <c r="F28" s="465"/>
      <c r="G28" s="465"/>
      <c r="H28" s="465"/>
      <c r="I28" s="434"/>
      <c r="J28" s="192"/>
      <c r="K28" s="208">
        <v>1.8</v>
      </c>
      <c r="L28" s="194" t="s">
        <v>7</v>
      </c>
      <c r="M28" s="195">
        <f>K28*B28/100</f>
        <v>9.3960000000000008</v>
      </c>
      <c r="N28" s="196"/>
      <c r="O28" s="210"/>
      <c r="P28" s="194" t="s">
        <v>7</v>
      </c>
      <c r="Q28" s="436"/>
      <c r="R28" s="200"/>
      <c r="S28" s="207" t="s">
        <v>9</v>
      </c>
      <c r="T28" s="198">
        <f t="shared" si="3"/>
        <v>-9.3960000000000008</v>
      </c>
      <c r="U28" s="211"/>
      <c r="V28" s="211"/>
      <c r="W28" s="212"/>
      <c r="X28" s="213"/>
      <c r="Y28" s="438"/>
      <c r="Z28" s="214"/>
      <c r="AA28" s="202"/>
      <c r="AB28" s="440"/>
      <c r="AC28" s="466"/>
      <c r="AD28" s="467"/>
      <c r="AE28" s="467"/>
      <c r="AF28" s="467"/>
    </row>
    <row r="29" spans="1:32" s="261" customFormat="1" ht="69.95" customHeight="1" x14ac:dyDescent="0.15">
      <c r="A29" s="464" t="s">
        <v>86</v>
      </c>
      <c r="B29" s="239">
        <f>$I$5</f>
        <v>576</v>
      </c>
      <c r="C29" s="456" t="str">
        <f>$A$5</f>
        <v>BK</v>
      </c>
      <c r="D29" s="456"/>
      <c r="E29" s="456"/>
      <c r="F29" s="456"/>
      <c r="G29" s="456"/>
      <c r="H29" s="456"/>
      <c r="I29" s="457" t="s">
        <v>76</v>
      </c>
      <c r="J29" s="240"/>
      <c r="K29" s="241">
        <v>3.5</v>
      </c>
      <c r="L29" s="168" t="s">
        <v>7</v>
      </c>
      <c r="M29" s="242">
        <f>K29*B29/50</f>
        <v>40.32</v>
      </c>
      <c r="N29" s="243"/>
      <c r="O29" s="242"/>
      <c r="P29" s="244" t="s">
        <v>7</v>
      </c>
      <c r="Q29" s="376">
        <v>45926</v>
      </c>
      <c r="R29" s="242">
        <v>41</v>
      </c>
      <c r="S29" s="244" t="s">
        <v>9</v>
      </c>
      <c r="T29" s="245">
        <f t="shared" si="3"/>
        <v>0.67999999999999972</v>
      </c>
      <c r="U29" s="246"/>
      <c r="V29" s="247"/>
      <c r="W29" s="242"/>
      <c r="X29" s="242"/>
      <c r="Y29" s="459" t="s">
        <v>94</v>
      </c>
      <c r="Z29" s="260"/>
      <c r="AA29" s="249"/>
      <c r="AB29" s="360" t="s">
        <v>167</v>
      </c>
    </row>
    <row r="30" spans="1:32" s="261" customFormat="1" ht="69.95" customHeight="1" x14ac:dyDescent="0.15">
      <c r="A30" s="464"/>
      <c r="B30" s="239">
        <f>$I$6</f>
        <v>522</v>
      </c>
      <c r="C30" s="456" t="str">
        <f>$A$6</f>
        <v>BE</v>
      </c>
      <c r="D30" s="456"/>
      <c r="E30" s="456"/>
      <c r="F30" s="456"/>
      <c r="G30" s="456"/>
      <c r="H30" s="456"/>
      <c r="I30" s="458"/>
      <c r="J30" s="240"/>
      <c r="K30" s="241">
        <v>3.5</v>
      </c>
      <c r="L30" s="168" t="s">
        <v>7</v>
      </c>
      <c r="M30" s="242">
        <f>K30*B30/50</f>
        <v>36.54</v>
      </c>
      <c r="N30" s="243"/>
      <c r="O30" s="253"/>
      <c r="P30" s="168" t="s">
        <v>7</v>
      </c>
      <c r="Q30" s="378"/>
      <c r="R30" s="247">
        <v>37</v>
      </c>
      <c r="S30" s="255" t="s">
        <v>9</v>
      </c>
      <c r="T30" s="245">
        <f t="shared" si="3"/>
        <v>0.46000000000000085</v>
      </c>
      <c r="U30" s="256"/>
      <c r="V30" s="256"/>
      <c r="W30" s="257"/>
      <c r="X30" s="258"/>
      <c r="Y30" s="460"/>
      <c r="Z30" s="259"/>
      <c r="AA30" s="249"/>
      <c r="AB30" s="362"/>
      <c r="AC30" s="462"/>
      <c r="AD30" s="463"/>
      <c r="AE30" s="463"/>
      <c r="AF30" s="463"/>
    </row>
    <row r="31" spans="1:32" s="203" customFormat="1" ht="69.95" customHeight="1" x14ac:dyDescent="0.15">
      <c r="A31" s="464" t="s">
        <v>116</v>
      </c>
      <c r="B31" s="191">
        <f>$I$5</f>
        <v>576</v>
      </c>
      <c r="C31" s="465" t="str">
        <f>$A$5</f>
        <v>BK</v>
      </c>
      <c r="D31" s="465"/>
      <c r="E31" s="465"/>
      <c r="F31" s="465"/>
      <c r="G31" s="465"/>
      <c r="H31" s="465"/>
      <c r="I31" s="433" t="s">
        <v>76</v>
      </c>
      <c r="J31" s="192"/>
      <c r="K31" s="209">
        <v>2.4</v>
      </c>
      <c r="L31" s="194" t="s">
        <v>7</v>
      </c>
      <c r="M31" s="195">
        <f>K31*B31/50</f>
        <v>27.647999999999996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-27.647999999999996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x14ac:dyDescent="0.15">
      <c r="A32" s="464"/>
      <c r="B32" s="191">
        <f>$I$6</f>
        <v>522</v>
      </c>
      <c r="C32" s="465" t="str">
        <f>$A$6</f>
        <v>BE</v>
      </c>
      <c r="D32" s="465"/>
      <c r="E32" s="465"/>
      <c r="F32" s="465"/>
      <c r="G32" s="465"/>
      <c r="H32" s="465"/>
      <c r="I32" s="434"/>
      <c r="J32" s="192"/>
      <c r="K32" s="208">
        <v>2.4</v>
      </c>
      <c r="L32" s="194" t="s">
        <v>7</v>
      </c>
      <c r="M32" s="195">
        <f>K32*B32/50</f>
        <v>25.055999999999997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-25.055999999999997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x14ac:dyDescent="0.15">
      <c r="A33" s="431" t="s">
        <v>155</v>
      </c>
      <c r="B33" s="239">
        <f>$I$5</f>
        <v>576</v>
      </c>
      <c r="C33" s="456" t="str">
        <f>$A$5</f>
        <v>BK</v>
      </c>
      <c r="D33" s="456"/>
      <c r="E33" s="456"/>
      <c r="F33" s="456" t="str">
        <f>$A$5</f>
        <v>BK</v>
      </c>
      <c r="G33" s="456"/>
      <c r="H33" s="456"/>
      <c r="I33" s="457" t="s">
        <v>60</v>
      </c>
      <c r="J33" s="240"/>
      <c r="K33" s="263">
        <v>220</v>
      </c>
      <c r="L33" s="168" t="s">
        <v>61</v>
      </c>
      <c r="M33" s="242">
        <f>K33*B33/4000</f>
        <v>31.68</v>
      </c>
      <c r="N33" s="243"/>
      <c r="O33" s="242"/>
      <c r="P33" s="244" t="s">
        <v>10</v>
      </c>
      <c r="Q33" s="376">
        <v>45926</v>
      </c>
      <c r="R33" s="242">
        <v>32</v>
      </c>
      <c r="S33" s="244" t="s">
        <v>10</v>
      </c>
      <c r="T33" s="245">
        <f t="shared" si="3"/>
        <v>0.32000000000000028</v>
      </c>
      <c r="U33" s="246"/>
      <c r="V33" s="247"/>
      <c r="W33" s="242"/>
      <c r="X33" s="242"/>
      <c r="Y33" s="459" t="s">
        <v>94</v>
      </c>
      <c r="Z33" s="260"/>
      <c r="AA33" s="249"/>
      <c r="AB33" s="448" t="s">
        <v>166</v>
      </c>
    </row>
    <row r="34" spans="1:32" s="176" customFormat="1" ht="69.95" customHeight="1" x14ac:dyDescent="0.15">
      <c r="A34" s="432"/>
      <c r="B34" s="264">
        <f>$I$6</f>
        <v>522</v>
      </c>
      <c r="C34" s="413" t="str">
        <f>$A$6</f>
        <v>BE</v>
      </c>
      <c r="D34" s="414"/>
      <c r="E34" s="415"/>
      <c r="F34" s="413" t="str">
        <f>$A$6</f>
        <v>BE</v>
      </c>
      <c r="G34" s="414"/>
      <c r="H34" s="415"/>
      <c r="I34" s="458"/>
      <c r="J34" s="265"/>
      <c r="K34" s="263">
        <v>220</v>
      </c>
      <c r="L34" s="266" t="s">
        <v>61</v>
      </c>
      <c r="M34" s="242">
        <f>K34*B34/4000</f>
        <v>28.71</v>
      </c>
      <c r="N34" s="267"/>
      <c r="O34" s="268"/>
      <c r="P34" s="266" t="s">
        <v>10</v>
      </c>
      <c r="Q34" s="377"/>
      <c r="R34" s="269">
        <v>29</v>
      </c>
      <c r="S34" s="252" t="s">
        <v>10</v>
      </c>
      <c r="T34" s="270">
        <f t="shared" si="3"/>
        <v>0.28999999999999915</v>
      </c>
      <c r="U34" s="271"/>
      <c r="V34" s="271"/>
      <c r="W34" s="272"/>
      <c r="X34" s="273"/>
      <c r="Y34" s="460"/>
      <c r="Z34" s="274"/>
      <c r="AA34" s="275"/>
      <c r="AB34" s="449"/>
      <c r="AC34" s="451"/>
      <c r="AD34" s="452"/>
      <c r="AE34" s="452"/>
      <c r="AF34" s="452"/>
    </row>
    <row r="35" spans="1:32" s="261" customFormat="1" ht="69.95" customHeight="1" x14ac:dyDescent="0.15">
      <c r="A35" s="431" t="s">
        <v>156</v>
      </c>
      <c r="B35" s="239">
        <f>$I$5</f>
        <v>576</v>
      </c>
      <c r="C35" s="456" t="str">
        <f>$A$5</f>
        <v>BK</v>
      </c>
      <c r="D35" s="456"/>
      <c r="E35" s="456"/>
      <c r="F35" s="456" t="str">
        <f>$A$5</f>
        <v>BK</v>
      </c>
      <c r="G35" s="456"/>
      <c r="H35" s="456"/>
      <c r="I35" s="457" t="s">
        <v>62</v>
      </c>
      <c r="J35" s="240"/>
      <c r="K35" s="263">
        <v>130</v>
      </c>
      <c r="L35" s="168" t="s">
        <v>61</v>
      </c>
      <c r="M35" s="242">
        <f t="shared" ref="M35:M36" si="7">K35*B35/2500</f>
        <v>29.952000000000002</v>
      </c>
      <c r="N35" s="243"/>
      <c r="O35" s="242"/>
      <c r="P35" s="244" t="s">
        <v>10</v>
      </c>
      <c r="Q35" s="377"/>
      <c r="R35" s="242">
        <v>30</v>
      </c>
      <c r="S35" s="244" t="s">
        <v>10</v>
      </c>
      <c r="T35" s="245">
        <f t="shared" si="3"/>
        <v>4.7999999999998266E-2</v>
      </c>
      <c r="U35" s="246"/>
      <c r="V35" s="247"/>
      <c r="W35" s="242"/>
      <c r="X35" s="242"/>
      <c r="Y35" s="459" t="s">
        <v>94</v>
      </c>
      <c r="Z35" s="260"/>
      <c r="AA35" s="249"/>
      <c r="AB35" s="449"/>
    </row>
    <row r="36" spans="1:32" s="176" customFormat="1" ht="69.95" customHeight="1" x14ac:dyDescent="0.15">
      <c r="A36" s="432"/>
      <c r="B36" s="264">
        <f>$I$6</f>
        <v>522</v>
      </c>
      <c r="C36" s="413" t="str">
        <f>$A$6</f>
        <v>BE</v>
      </c>
      <c r="D36" s="414"/>
      <c r="E36" s="415"/>
      <c r="F36" s="413" t="str">
        <f>$A$6</f>
        <v>BE</v>
      </c>
      <c r="G36" s="414"/>
      <c r="H36" s="415"/>
      <c r="I36" s="458"/>
      <c r="J36" s="265"/>
      <c r="K36" s="263">
        <v>130</v>
      </c>
      <c r="L36" s="266" t="s">
        <v>61</v>
      </c>
      <c r="M36" s="242">
        <f t="shared" si="7"/>
        <v>27.143999999999998</v>
      </c>
      <c r="N36" s="267"/>
      <c r="O36" s="268"/>
      <c r="P36" s="266" t="s">
        <v>10</v>
      </c>
      <c r="Q36" s="378"/>
      <c r="R36" s="269">
        <v>28</v>
      </c>
      <c r="S36" s="252" t="s">
        <v>10</v>
      </c>
      <c r="T36" s="270">
        <f t="shared" si="3"/>
        <v>0.85600000000000165</v>
      </c>
      <c r="U36" s="271"/>
      <c r="V36" s="271"/>
      <c r="W36" s="272"/>
      <c r="X36" s="273"/>
      <c r="Y36" s="460"/>
      <c r="Z36" s="274"/>
      <c r="AA36" s="275"/>
      <c r="AB36" s="450"/>
      <c r="AC36" s="451"/>
      <c r="AD36" s="452"/>
      <c r="AE36" s="452"/>
      <c r="AF36" s="452"/>
    </row>
    <row r="37" spans="1:32" s="261" customFormat="1" ht="69.95" customHeight="1" x14ac:dyDescent="0.15">
      <c r="A37" s="431" t="s">
        <v>157</v>
      </c>
      <c r="B37" s="191">
        <f>$I$5</f>
        <v>576</v>
      </c>
      <c r="C37" s="465" t="str">
        <f>$A$5</f>
        <v>BK</v>
      </c>
      <c r="D37" s="465"/>
      <c r="E37" s="465"/>
      <c r="F37" s="465" t="str">
        <f>$A$5</f>
        <v>BK</v>
      </c>
      <c r="G37" s="465"/>
      <c r="H37" s="465"/>
      <c r="I37" s="433" t="s">
        <v>60</v>
      </c>
      <c r="J37" s="192"/>
      <c r="K37" s="193"/>
      <c r="L37" s="194" t="s">
        <v>61</v>
      </c>
      <c r="M37" s="195">
        <f>K37*B37/4000</f>
        <v>0</v>
      </c>
      <c r="N37" s="196"/>
      <c r="O37" s="195"/>
      <c r="P37" s="197" t="s">
        <v>10</v>
      </c>
      <c r="Q37" s="435"/>
      <c r="R37" s="195"/>
      <c r="S37" s="197" t="s">
        <v>10</v>
      </c>
      <c r="T37" s="198">
        <f t="shared" si="3"/>
        <v>0</v>
      </c>
      <c r="U37" s="199"/>
      <c r="V37" s="200"/>
      <c r="W37" s="195"/>
      <c r="X37" s="195"/>
      <c r="Y37" s="437" t="s">
        <v>94</v>
      </c>
      <c r="Z37" s="201"/>
      <c r="AA37" s="202"/>
      <c r="AB37" s="439"/>
    </row>
    <row r="38" spans="1:32" s="176" customFormat="1" ht="69.95" customHeight="1" x14ac:dyDescent="0.15">
      <c r="A38" s="432"/>
      <c r="B38" s="204">
        <f>$I$6</f>
        <v>522</v>
      </c>
      <c r="C38" s="453" t="str">
        <f>$A$6</f>
        <v>BE</v>
      </c>
      <c r="D38" s="454"/>
      <c r="E38" s="455"/>
      <c r="F38" s="453" t="str">
        <f>$A$6</f>
        <v>BE</v>
      </c>
      <c r="G38" s="454"/>
      <c r="H38" s="455"/>
      <c r="I38" s="434"/>
      <c r="J38" s="218"/>
      <c r="K38" s="193"/>
      <c r="L38" s="219" t="s">
        <v>61</v>
      </c>
      <c r="M38" s="195">
        <f>K38*B38/4000</f>
        <v>0</v>
      </c>
      <c r="N38" s="220"/>
      <c r="O38" s="221"/>
      <c r="P38" s="219" t="s">
        <v>10</v>
      </c>
      <c r="Q38" s="436"/>
      <c r="R38" s="222"/>
      <c r="S38" s="215" t="s">
        <v>10</v>
      </c>
      <c r="T38" s="205">
        <f t="shared" si="3"/>
        <v>0</v>
      </c>
      <c r="U38" s="223"/>
      <c r="V38" s="223"/>
      <c r="W38" s="224"/>
      <c r="X38" s="225"/>
      <c r="Y38" s="438"/>
      <c r="Z38" s="226"/>
      <c r="AA38" s="227"/>
      <c r="AB38" s="440"/>
      <c r="AC38" s="451"/>
      <c r="AD38" s="452"/>
      <c r="AE38" s="452"/>
      <c r="AF38" s="452"/>
    </row>
    <row r="39" spans="1:32" s="206" customFormat="1" ht="69.95" customHeight="1" x14ac:dyDescent="0.15">
      <c r="A39" s="431" t="s">
        <v>139</v>
      </c>
      <c r="B39" s="191">
        <f t="shared" ref="B39" si="8">$I$5</f>
        <v>576</v>
      </c>
      <c r="C39" s="422" t="str">
        <f t="shared" ref="C39" si="9">$A$5</f>
        <v>BK</v>
      </c>
      <c r="D39" s="423"/>
      <c r="E39" s="424"/>
      <c r="F39" s="425"/>
      <c r="G39" s="423"/>
      <c r="H39" s="424"/>
      <c r="I39" s="207"/>
      <c r="J39" s="192"/>
      <c r="K39" s="193">
        <v>1</v>
      </c>
      <c r="L39" s="194" t="s">
        <v>65</v>
      </c>
      <c r="M39" s="195">
        <f t="shared" ref="M39:M48" si="10">K39*B39</f>
        <v>576</v>
      </c>
      <c r="N39" s="196"/>
      <c r="O39" s="195"/>
      <c r="P39" s="194" t="s">
        <v>65</v>
      </c>
      <c r="Q39" s="435"/>
      <c r="R39" s="195"/>
      <c r="S39" s="194" t="s">
        <v>65</v>
      </c>
      <c r="T39" s="205">
        <f t="shared" si="3"/>
        <v>-576</v>
      </c>
      <c r="U39" s="199"/>
      <c r="V39" s="199"/>
      <c r="W39" s="208"/>
      <c r="X39" s="198"/>
      <c r="Y39" s="437" t="s">
        <v>140</v>
      </c>
      <c r="Z39" s="231"/>
      <c r="AA39" s="232"/>
      <c r="AB39" s="439"/>
    </row>
    <row r="40" spans="1:32" s="206" customFormat="1" ht="69.95" customHeight="1" x14ac:dyDescent="0.15">
      <c r="A40" s="432"/>
      <c r="B40" s="204">
        <f>$I$6</f>
        <v>522</v>
      </c>
      <c r="C40" s="453" t="str">
        <f>$A$6</f>
        <v>BE</v>
      </c>
      <c r="D40" s="454"/>
      <c r="E40" s="455"/>
      <c r="F40" s="425"/>
      <c r="G40" s="423"/>
      <c r="H40" s="424"/>
      <c r="I40" s="207"/>
      <c r="J40" s="192"/>
      <c r="K40" s="193">
        <v>1</v>
      </c>
      <c r="L40" s="194" t="s">
        <v>65</v>
      </c>
      <c r="M40" s="195">
        <f t="shared" si="10"/>
        <v>522</v>
      </c>
      <c r="N40" s="233"/>
      <c r="O40" s="195"/>
      <c r="P40" s="194" t="s">
        <v>65</v>
      </c>
      <c r="Q40" s="436"/>
      <c r="R40" s="195"/>
      <c r="S40" s="194" t="s">
        <v>65</v>
      </c>
      <c r="T40" s="198">
        <f t="shared" si="3"/>
        <v>-522</v>
      </c>
      <c r="U40" s="199"/>
      <c r="V40" s="200"/>
      <c r="W40" s="195"/>
      <c r="X40" s="195"/>
      <c r="Y40" s="438"/>
      <c r="Z40" s="201"/>
      <c r="AA40" s="202"/>
      <c r="AB40" s="440"/>
      <c r="AC40" s="234"/>
      <c r="AD40" s="230"/>
      <c r="AE40" s="230"/>
      <c r="AF40" s="230"/>
    </row>
    <row r="41" spans="1:32" s="55" customFormat="1" ht="69.95" customHeight="1" x14ac:dyDescent="0.15">
      <c r="A41" s="431" t="s">
        <v>100</v>
      </c>
      <c r="B41" s="182">
        <f t="shared" ref="B41:B45" si="11">$I$5</f>
        <v>576</v>
      </c>
      <c r="C41" s="368" t="str">
        <f t="shared" ref="C41:C45" si="12">$A$5</f>
        <v>BK</v>
      </c>
      <c r="D41" s="369"/>
      <c r="E41" s="370"/>
      <c r="F41" s="428"/>
      <c r="G41" s="369"/>
      <c r="H41" s="370"/>
      <c r="I41" s="75" t="s">
        <v>101</v>
      </c>
      <c r="J41" s="76"/>
      <c r="K41" s="139">
        <v>1</v>
      </c>
      <c r="L41" s="77" t="s">
        <v>63</v>
      </c>
      <c r="M41" s="78">
        <f t="shared" si="10"/>
        <v>576</v>
      </c>
      <c r="N41" s="79"/>
      <c r="O41" s="78"/>
      <c r="P41" s="80" t="s">
        <v>63</v>
      </c>
      <c r="Q41" s="443">
        <v>45926</v>
      </c>
      <c r="R41" s="78">
        <v>576</v>
      </c>
      <c r="S41" s="80" t="s">
        <v>63</v>
      </c>
      <c r="T41" s="84">
        <f t="shared" si="3"/>
        <v>0</v>
      </c>
      <c r="U41" s="82"/>
      <c r="V41" s="82"/>
      <c r="W41" s="83"/>
      <c r="X41" s="81"/>
      <c r="Y41" s="445" t="s">
        <v>94</v>
      </c>
      <c r="Z41" s="86"/>
      <c r="AA41" s="85"/>
      <c r="AB41" s="360" t="s">
        <v>167</v>
      </c>
    </row>
    <row r="42" spans="1:32" s="55" customFormat="1" ht="69.95" customHeight="1" x14ac:dyDescent="0.15">
      <c r="A42" s="432"/>
      <c r="B42" s="186">
        <f>$I$6</f>
        <v>522</v>
      </c>
      <c r="C42" s="395" t="str">
        <f>$A$6</f>
        <v>BE</v>
      </c>
      <c r="D42" s="396"/>
      <c r="E42" s="397"/>
      <c r="F42" s="428"/>
      <c r="G42" s="369"/>
      <c r="H42" s="370"/>
      <c r="I42" s="75" t="s">
        <v>101</v>
      </c>
      <c r="J42" s="76"/>
      <c r="K42" s="139">
        <v>1</v>
      </c>
      <c r="L42" s="77" t="s">
        <v>63</v>
      </c>
      <c r="M42" s="78">
        <f t="shared" si="10"/>
        <v>522</v>
      </c>
      <c r="N42" s="140"/>
      <c r="O42" s="78"/>
      <c r="P42" s="80" t="s">
        <v>63</v>
      </c>
      <c r="Q42" s="447"/>
      <c r="R42" s="78">
        <v>522</v>
      </c>
      <c r="S42" s="80" t="s">
        <v>63</v>
      </c>
      <c r="T42" s="81">
        <f t="shared" si="3"/>
        <v>0</v>
      </c>
      <c r="U42" s="82"/>
      <c r="V42" s="137"/>
      <c r="W42" s="78"/>
      <c r="X42" s="78"/>
      <c r="Y42" s="446"/>
      <c r="Z42" s="141"/>
      <c r="AA42" s="135"/>
      <c r="AB42" s="361"/>
      <c r="AC42" s="142"/>
      <c r="AD42" s="179"/>
      <c r="AE42" s="179"/>
      <c r="AF42" s="179"/>
    </row>
    <row r="43" spans="1:32" s="55" customFormat="1" ht="69.95" customHeight="1" x14ac:dyDescent="0.15">
      <c r="A43" s="431" t="s">
        <v>103</v>
      </c>
      <c r="B43" s="182">
        <f t="shared" ref="B43" si="13">$I$5</f>
        <v>576</v>
      </c>
      <c r="C43" s="368" t="str">
        <f t="shared" ref="C43" si="14">$A$5</f>
        <v>BK</v>
      </c>
      <c r="D43" s="369"/>
      <c r="E43" s="370"/>
      <c r="F43" s="428"/>
      <c r="G43" s="429"/>
      <c r="H43" s="430"/>
      <c r="I43" s="75"/>
      <c r="J43" s="76"/>
      <c r="K43" s="139">
        <v>1</v>
      </c>
      <c r="L43" s="77" t="s">
        <v>65</v>
      </c>
      <c r="M43" s="78">
        <f t="shared" si="10"/>
        <v>576</v>
      </c>
      <c r="N43" s="79"/>
      <c r="O43" s="78"/>
      <c r="P43" s="80" t="s">
        <v>65</v>
      </c>
      <c r="Q43" s="447"/>
      <c r="R43" s="78">
        <v>576</v>
      </c>
      <c r="S43" s="80" t="s">
        <v>65</v>
      </c>
      <c r="T43" s="84">
        <f t="shared" si="3"/>
        <v>0</v>
      </c>
      <c r="U43" s="82"/>
      <c r="V43" s="82"/>
      <c r="W43" s="83"/>
      <c r="X43" s="81"/>
      <c r="Y43" s="445" t="s">
        <v>94</v>
      </c>
      <c r="Z43" s="86"/>
      <c r="AA43" s="85"/>
      <c r="AB43" s="361"/>
    </row>
    <row r="44" spans="1:32" s="55" customFormat="1" ht="69.95" customHeight="1" x14ac:dyDescent="0.15">
      <c r="A44" s="432"/>
      <c r="B44" s="186">
        <f>$I$6</f>
        <v>522</v>
      </c>
      <c r="C44" s="368" t="str">
        <f>$A$6</f>
        <v>BE</v>
      </c>
      <c r="D44" s="369"/>
      <c r="E44" s="370"/>
      <c r="F44" s="428"/>
      <c r="G44" s="429"/>
      <c r="H44" s="430"/>
      <c r="I44" s="75"/>
      <c r="J44" s="76"/>
      <c r="K44" s="139">
        <v>1</v>
      </c>
      <c r="L44" s="77" t="s">
        <v>65</v>
      </c>
      <c r="M44" s="78">
        <f t="shared" si="10"/>
        <v>522</v>
      </c>
      <c r="N44" s="140"/>
      <c r="O44" s="78"/>
      <c r="P44" s="80" t="s">
        <v>65</v>
      </c>
      <c r="Q44" s="444"/>
      <c r="R44" s="78">
        <v>522</v>
      </c>
      <c r="S44" s="80" t="s">
        <v>65</v>
      </c>
      <c r="T44" s="81">
        <f t="shared" si="3"/>
        <v>0</v>
      </c>
      <c r="U44" s="82"/>
      <c r="V44" s="137"/>
      <c r="W44" s="78"/>
      <c r="X44" s="78"/>
      <c r="Y44" s="446"/>
      <c r="Z44" s="141"/>
      <c r="AA44" s="135"/>
      <c r="AB44" s="361"/>
      <c r="AC44" s="142"/>
      <c r="AD44" s="179"/>
      <c r="AE44" s="179"/>
      <c r="AF44" s="179"/>
    </row>
    <row r="45" spans="1:32" s="55" customFormat="1" ht="69.95" customHeight="1" x14ac:dyDescent="0.15">
      <c r="A45" s="431" t="s">
        <v>91</v>
      </c>
      <c r="B45" s="182">
        <f t="shared" si="11"/>
        <v>576</v>
      </c>
      <c r="C45" s="368" t="str">
        <f t="shared" si="12"/>
        <v>BK</v>
      </c>
      <c r="D45" s="369"/>
      <c r="E45" s="370"/>
      <c r="F45" s="428"/>
      <c r="G45" s="429"/>
      <c r="H45" s="430"/>
      <c r="I45" s="75" t="s">
        <v>75</v>
      </c>
      <c r="J45" s="76"/>
      <c r="K45" s="139">
        <v>1</v>
      </c>
      <c r="L45" s="77" t="s">
        <v>63</v>
      </c>
      <c r="M45" s="78">
        <f t="shared" si="10"/>
        <v>576</v>
      </c>
      <c r="N45" s="79"/>
      <c r="O45" s="78"/>
      <c r="P45" s="80" t="s">
        <v>63</v>
      </c>
      <c r="Q45" s="443">
        <v>45926</v>
      </c>
      <c r="R45" s="78">
        <v>576</v>
      </c>
      <c r="S45" s="80" t="s">
        <v>63</v>
      </c>
      <c r="T45" s="84">
        <f t="shared" si="3"/>
        <v>0</v>
      </c>
      <c r="U45" s="82"/>
      <c r="V45" s="82"/>
      <c r="W45" s="83"/>
      <c r="X45" s="81"/>
      <c r="Y45" s="445" t="s">
        <v>64</v>
      </c>
      <c r="Z45" s="86"/>
      <c r="AA45" s="85"/>
      <c r="AB45" s="361"/>
    </row>
    <row r="46" spans="1:32" s="55" customFormat="1" ht="69.95" customHeight="1" x14ac:dyDescent="0.15">
      <c r="A46" s="432"/>
      <c r="B46" s="186">
        <f>$I$6</f>
        <v>522</v>
      </c>
      <c r="C46" s="368" t="str">
        <f>$A$6</f>
        <v>BE</v>
      </c>
      <c r="D46" s="369"/>
      <c r="E46" s="370"/>
      <c r="F46" s="428"/>
      <c r="G46" s="429"/>
      <c r="H46" s="430"/>
      <c r="I46" s="75" t="s">
        <v>75</v>
      </c>
      <c r="J46" s="76"/>
      <c r="K46" s="139">
        <v>1</v>
      </c>
      <c r="L46" s="77" t="s">
        <v>63</v>
      </c>
      <c r="M46" s="78">
        <f t="shared" si="10"/>
        <v>522</v>
      </c>
      <c r="N46" s="140"/>
      <c r="O46" s="78"/>
      <c r="P46" s="80" t="s">
        <v>63</v>
      </c>
      <c r="Q46" s="444"/>
      <c r="R46" s="78">
        <v>522</v>
      </c>
      <c r="S46" s="80" t="s">
        <v>63</v>
      </c>
      <c r="T46" s="81">
        <f t="shared" si="3"/>
        <v>0</v>
      </c>
      <c r="U46" s="82"/>
      <c r="V46" s="137"/>
      <c r="W46" s="78"/>
      <c r="X46" s="78"/>
      <c r="Y46" s="446"/>
      <c r="Z46" s="141"/>
      <c r="AA46" s="135"/>
      <c r="AB46" s="362"/>
      <c r="AC46" s="142"/>
      <c r="AD46" s="179"/>
      <c r="AE46" s="179"/>
      <c r="AF46" s="179"/>
    </row>
    <row r="47" spans="1:32" s="55" customFormat="1" ht="69.95" customHeight="1" x14ac:dyDescent="0.15">
      <c r="A47" s="431" t="s">
        <v>141</v>
      </c>
      <c r="B47" s="191">
        <f t="shared" ref="B47" si="15">$I$5</f>
        <v>576</v>
      </c>
      <c r="C47" s="422" t="str">
        <f t="shared" ref="C47" si="16">$A$5</f>
        <v>BK</v>
      </c>
      <c r="D47" s="423"/>
      <c r="E47" s="424"/>
      <c r="F47" s="425"/>
      <c r="G47" s="426"/>
      <c r="H47" s="427"/>
      <c r="I47" s="433" t="s">
        <v>102</v>
      </c>
      <c r="J47" s="192"/>
      <c r="K47" s="209"/>
      <c r="L47" s="194" t="s">
        <v>129</v>
      </c>
      <c r="M47" s="195">
        <f t="shared" si="10"/>
        <v>0</v>
      </c>
      <c r="N47" s="196"/>
      <c r="O47" s="195"/>
      <c r="P47" s="197" t="s">
        <v>63</v>
      </c>
      <c r="Q47" s="435"/>
      <c r="R47" s="195"/>
      <c r="S47" s="197" t="s">
        <v>63</v>
      </c>
      <c r="T47" s="205">
        <f t="shared" si="3"/>
        <v>0</v>
      </c>
      <c r="U47" s="199"/>
      <c r="V47" s="199"/>
      <c r="W47" s="208"/>
      <c r="X47" s="198"/>
      <c r="Y47" s="437" t="s">
        <v>130</v>
      </c>
      <c r="Z47" s="231"/>
      <c r="AA47" s="232"/>
      <c r="AB47" s="439"/>
    </row>
    <row r="48" spans="1:32" s="55" customFormat="1" ht="69.95" customHeight="1" x14ac:dyDescent="0.15">
      <c r="A48" s="432"/>
      <c r="B48" s="204">
        <f>$I$6</f>
        <v>522</v>
      </c>
      <c r="C48" s="422" t="str">
        <f>$A$6</f>
        <v>BE</v>
      </c>
      <c r="D48" s="423"/>
      <c r="E48" s="424"/>
      <c r="F48" s="425"/>
      <c r="G48" s="426"/>
      <c r="H48" s="427"/>
      <c r="I48" s="434"/>
      <c r="J48" s="192"/>
      <c r="K48" s="193"/>
      <c r="L48" s="194" t="s">
        <v>129</v>
      </c>
      <c r="M48" s="195">
        <f t="shared" si="10"/>
        <v>0</v>
      </c>
      <c r="N48" s="233"/>
      <c r="O48" s="195"/>
      <c r="P48" s="197" t="s">
        <v>63</v>
      </c>
      <c r="Q48" s="436"/>
      <c r="R48" s="195"/>
      <c r="S48" s="197" t="s">
        <v>63</v>
      </c>
      <c r="T48" s="198">
        <f t="shared" si="3"/>
        <v>0</v>
      </c>
      <c r="U48" s="199"/>
      <c r="V48" s="200"/>
      <c r="W48" s="195"/>
      <c r="X48" s="195"/>
      <c r="Y48" s="438"/>
      <c r="Z48" s="201"/>
      <c r="AA48" s="202"/>
      <c r="AB48" s="440"/>
      <c r="AC48" s="142"/>
      <c r="AD48" s="179"/>
      <c r="AE48" s="179"/>
      <c r="AF48" s="179"/>
    </row>
    <row r="49" spans="1:32" s="206" customFormat="1" ht="69.95" customHeight="1" x14ac:dyDescent="0.15">
      <c r="A49" s="431" t="s">
        <v>120</v>
      </c>
      <c r="B49" s="191">
        <f t="shared" ref="B49" si="17">$I$5</f>
        <v>576</v>
      </c>
      <c r="C49" s="422" t="str">
        <f t="shared" ref="C49" si="18">$A$5</f>
        <v>BK</v>
      </c>
      <c r="D49" s="423"/>
      <c r="E49" s="424"/>
      <c r="F49" s="425"/>
      <c r="G49" s="426"/>
      <c r="H49" s="427"/>
      <c r="I49" s="433" t="s">
        <v>75</v>
      </c>
      <c r="J49" s="192"/>
      <c r="K49" s="193">
        <v>2</v>
      </c>
      <c r="L49" s="194" t="s">
        <v>63</v>
      </c>
      <c r="M49" s="195">
        <f t="shared" si="4"/>
        <v>1152</v>
      </c>
      <c r="N49" s="196"/>
      <c r="O49" s="195"/>
      <c r="P49" s="197" t="s">
        <v>63</v>
      </c>
      <c r="Q49" s="435"/>
      <c r="R49" s="195"/>
      <c r="S49" s="197" t="s">
        <v>63</v>
      </c>
      <c r="T49" s="205">
        <f t="shared" si="3"/>
        <v>-1152</v>
      </c>
      <c r="U49" s="199"/>
      <c r="V49" s="199"/>
      <c r="W49" s="208"/>
      <c r="X49" s="198"/>
      <c r="Y49" s="437" t="s">
        <v>64</v>
      </c>
      <c r="Z49" s="231"/>
      <c r="AA49" s="232"/>
      <c r="AB49" s="439"/>
    </row>
    <row r="50" spans="1:32" s="206" customFormat="1" ht="69.95" customHeight="1" x14ac:dyDescent="0.15">
      <c r="A50" s="432"/>
      <c r="B50" s="204">
        <f>$I$6</f>
        <v>522</v>
      </c>
      <c r="C50" s="422" t="str">
        <f>$A$6</f>
        <v>BE</v>
      </c>
      <c r="D50" s="423"/>
      <c r="E50" s="424"/>
      <c r="F50" s="425"/>
      <c r="G50" s="426"/>
      <c r="H50" s="427"/>
      <c r="I50" s="434"/>
      <c r="J50" s="192"/>
      <c r="K50" s="193">
        <v>2</v>
      </c>
      <c r="L50" s="194" t="s">
        <v>63</v>
      </c>
      <c r="M50" s="195">
        <f t="shared" si="4"/>
        <v>1044</v>
      </c>
      <c r="N50" s="233"/>
      <c r="O50" s="195"/>
      <c r="P50" s="197" t="s">
        <v>63</v>
      </c>
      <c r="Q50" s="436"/>
      <c r="R50" s="195"/>
      <c r="S50" s="197" t="s">
        <v>63</v>
      </c>
      <c r="T50" s="198">
        <f t="shared" si="3"/>
        <v>-1044</v>
      </c>
      <c r="U50" s="199"/>
      <c r="V50" s="200"/>
      <c r="W50" s="195"/>
      <c r="X50" s="195"/>
      <c r="Y50" s="438"/>
      <c r="Z50" s="201"/>
      <c r="AA50" s="202"/>
      <c r="AB50" s="440"/>
      <c r="AC50" s="234"/>
      <c r="AD50" s="230"/>
      <c r="AE50" s="230"/>
      <c r="AF50" s="230"/>
    </row>
    <row r="51" spans="1:32" s="176" customFormat="1" ht="54.95" customHeight="1" x14ac:dyDescent="0.15">
      <c r="A51" s="386" t="s">
        <v>66</v>
      </c>
      <c r="B51" s="164">
        <f>C11</f>
        <v>500</v>
      </c>
      <c r="C51" s="407" t="e">
        <f>#REF!</f>
        <v>#REF!</v>
      </c>
      <c r="D51" s="408"/>
      <c r="E51" s="409"/>
      <c r="F51" s="371"/>
      <c r="G51" s="372"/>
      <c r="H51" s="373"/>
      <c r="I51" s="276"/>
      <c r="J51" s="255"/>
      <c r="K51" s="263">
        <v>1</v>
      </c>
      <c r="L51" s="168" t="s">
        <v>63</v>
      </c>
      <c r="M51" s="169">
        <f t="shared" si="4"/>
        <v>500</v>
      </c>
      <c r="N51" s="171"/>
      <c r="O51" s="277"/>
      <c r="P51" s="169" t="s">
        <v>63</v>
      </c>
      <c r="Q51" s="376">
        <v>45926</v>
      </c>
      <c r="R51" s="277">
        <v>500</v>
      </c>
      <c r="S51" s="169" t="s">
        <v>63</v>
      </c>
      <c r="T51" s="278">
        <f t="shared" si="3"/>
        <v>0</v>
      </c>
      <c r="U51" s="279"/>
      <c r="V51" s="280"/>
      <c r="W51" s="278"/>
      <c r="X51" s="278"/>
      <c r="Y51" s="374" t="s">
        <v>72</v>
      </c>
      <c r="Z51" s="374"/>
      <c r="AA51" s="374"/>
      <c r="AB51" s="404" t="s">
        <v>167</v>
      </c>
    </row>
    <row r="52" spans="1:32" s="176" customFormat="1" ht="54.95" customHeight="1" x14ac:dyDescent="0.15">
      <c r="A52" s="387"/>
      <c r="B52" s="164">
        <f>D11</f>
        <v>480</v>
      </c>
      <c r="C52" s="410"/>
      <c r="D52" s="411"/>
      <c r="E52" s="412"/>
      <c r="F52" s="371"/>
      <c r="G52" s="372"/>
      <c r="H52" s="373"/>
      <c r="I52" s="276"/>
      <c r="J52" s="255"/>
      <c r="K52" s="167">
        <v>1</v>
      </c>
      <c r="L52" s="168" t="s">
        <v>63</v>
      </c>
      <c r="M52" s="169">
        <f t="shared" si="4"/>
        <v>480</v>
      </c>
      <c r="N52" s="171"/>
      <c r="O52" s="277"/>
      <c r="P52" s="169" t="s">
        <v>63</v>
      </c>
      <c r="Q52" s="377"/>
      <c r="R52" s="277">
        <v>480</v>
      </c>
      <c r="S52" s="169" t="s">
        <v>63</v>
      </c>
      <c r="T52" s="278">
        <f t="shared" si="3"/>
        <v>0</v>
      </c>
      <c r="U52" s="279"/>
      <c r="V52" s="280"/>
      <c r="W52" s="278"/>
      <c r="X52" s="278"/>
      <c r="Y52" s="375"/>
      <c r="Z52" s="375"/>
      <c r="AA52" s="375"/>
      <c r="AB52" s="405"/>
    </row>
    <row r="53" spans="1:32" s="176" customFormat="1" ht="54.95" customHeight="1" x14ac:dyDescent="0.15">
      <c r="A53" s="387"/>
      <c r="B53" s="164">
        <f>E11</f>
        <v>118</v>
      </c>
      <c r="C53" s="410"/>
      <c r="D53" s="411"/>
      <c r="E53" s="412"/>
      <c r="F53" s="371"/>
      <c r="G53" s="372"/>
      <c r="H53" s="373"/>
      <c r="I53" s="276"/>
      <c r="J53" s="255"/>
      <c r="K53" s="167">
        <v>1</v>
      </c>
      <c r="L53" s="168" t="s">
        <v>63</v>
      </c>
      <c r="M53" s="169">
        <f t="shared" si="4"/>
        <v>118</v>
      </c>
      <c r="N53" s="171"/>
      <c r="O53" s="277"/>
      <c r="P53" s="169" t="s">
        <v>63</v>
      </c>
      <c r="Q53" s="377"/>
      <c r="R53" s="277">
        <v>118</v>
      </c>
      <c r="S53" s="169" t="s">
        <v>63</v>
      </c>
      <c r="T53" s="278">
        <f t="shared" si="3"/>
        <v>0</v>
      </c>
      <c r="U53" s="279"/>
      <c r="V53" s="280"/>
      <c r="W53" s="278"/>
      <c r="X53" s="278"/>
      <c r="Y53" s="375"/>
      <c r="Z53" s="375"/>
      <c r="AA53" s="375"/>
      <c r="AB53" s="405"/>
    </row>
    <row r="54" spans="1:32" s="176" customFormat="1" ht="54.95" customHeight="1" x14ac:dyDescent="0.15">
      <c r="A54" s="387"/>
      <c r="B54" s="164">
        <f>F11</f>
        <v>0</v>
      </c>
      <c r="C54" s="410"/>
      <c r="D54" s="411"/>
      <c r="E54" s="412"/>
      <c r="F54" s="371"/>
      <c r="G54" s="372"/>
      <c r="H54" s="373"/>
      <c r="I54" s="276"/>
      <c r="J54" s="255"/>
      <c r="K54" s="167">
        <v>1</v>
      </c>
      <c r="L54" s="168" t="s">
        <v>63</v>
      </c>
      <c r="M54" s="169">
        <f t="shared" si="4"/>
        <v>0</v>
      </c>
      <c r="N54" s="171"/>
      <c r="O54" s="277"/>
      <c r="P54" s="169" t="s">
        <v>63</v>
      </c>
      <c r="Q54" s="377"/>
      <c r="R54" s="277"/>
      <c r="S54" s="169" t="s">
        <v>63</v>
      </c>
      <c r="T54" s="278">
        <f t="shared" si="3"/>
        <v>0</v>
      </c>
      <c r="U54" s="279"/>
      <c r="V54" s="280"/>
      <c r="W54" s="278"/>
      <c r="X54" s="278"/>
      <c r="Y54" s="375"/>
      <c r="Z54" s="375"/>
      <c r="AA54" s="375"/>
      <c r="AB54" s="405"/>
    </row>
    <row r="55" spans="1:32" s="176" customFormat="1" ht="54.95" customHeight="1" x14ac:dyDescent="0.15">
      <c r="A55" s="388"/>
      <c r="B55" s="164">
        <f>G11</f>
        <v>0</v>
      </c>
      <c r="C55" s="413"/>
      <c r="D55" s="414"/>
      <c r="E55" s="415"/>
      <c r="F55" s="371"/>
      <c r="G55" s="372"/>
      <c r="H55" s="373"/>
      <c r="I55" s="276"/>
      <c r="J55" s="255"/>
      <c r="K55" s="167">
        <v>1</v>
      </c>
      <c r="L55" s="168" t="s">
        <v>63</v>
      </c>
      <c r="M55" s="169">
        <f t="shared" si="4"/>
        <v>0</v>
      </c>
      <c r="N55" s="171"/>
      <c r="O55" s="277"/>
      <c r="P55" s="169" t="s">
        <v>63</v>
      </c>
      <c r="Q55" s="378"/>
      <c r="R55" s="277"/>
      <c r="S55" s="169" t="s">
        <v>63</v>
      </c>
      <c r="T55" s="278">
        <f t="shared" si="3"/>
        <v>0</v>
      </c>
      <c r="U55" s="279"/>
      <c r="V55" s="280"/>
      <c r="W55" s="278"/>
      <c r="X55" s="278"/>
      <c r="Y55" s="379"/>
      <c r="Z55" s="379"/>
      <c r="AA55" s="379"/>
      <c r="AB55" s="406"/>
    </row>
    <row r="56" spans="1:32" s="176" customFormat="1" ht="54.95" customHeight="1" x14ac:dyDescent="0.15">
      <c r="A56" s="386" t="s">
        <v>68</v>
      </c>
      <c r="B56" s="164">
        <f>C5+C8</f>
        <v>260</v>
      </c>
      <c r="C56" s="407" t="str">
        <f>A5</f>
        <v>BK</v>
      </c>
      <c r="D56" s="408"/>
      <c r="E56" s="409"/>
      <c r="F56" s="371"/>
      <c r="G56" s="372"/>
      <c r="H56" s="373"/>
      <c r="I56" s="276"/>
      <c r="J56" s="276"/>
      <c r="K56" s="167">
        <v>1</v>
      </c>
      <c r="L56" s="168" t="s">
        <v>63</v>
      </c>
      <c r="M56" s="169">
        <f t="shared" si="4"/>
        <v>260</v>
      </c>
      <c r="N56" s="171"/>
      <c r="O56" s="277"/>
      <c r="P56" s="169" t="s">
        <v>63</v>
      </c>
      <c r="Q56" s="376">
        <v>45926</v>
      </c>
      <c r="R56" s="277">
        <v>260</v>
      </c>
      <c r="S56" s="169" t="s">
        <v>63</v>
      </c>
      <c r="T56" s="278">
        <f t="shared" si="3"/>
        <v>0</v>
      </c>
      <c r="U56" s="281"/>
      <c r="V56" s="282"/>
      <c r="W56" s="278"/>
      <c r="X56" s="278"/>
      <c r="Y56" s="374" t="s">
        <v>72</v>
      </c>
      <c r="Z56" s="374"/>
      <c r="AA56" s="374"/>
      <c r="AB56" s="404" t="s">
        <v>167</v>
      </c>
    </row>
    <row r="57" spans="1:32" s="176" customFormat="1" ht="54.95" customHeight="1" x14ac:dyDescent="0.15">
      <c r="A57" s="387"/>
      <c r="B57" s="164">
        <f>D5+D8</f>
        <v>250</v>
      </c>
      <c r="C57" s="410"/>
      <c r="D57" s="411"/>
      <c r="E57" s="412"/>
      <c r="F57" s="371"/>
      <c r="G57" s="372"/>
      <c r="H57" s="373"/>
      <c r="I57" s="276"/>
      <c r="J57" s="276"/>
      <c r="K57" s="167">
        <v>1</v>
      </c>
      <c r="L57" s="168" t="s">
        <v>63</v>
      </c>
      <c r="M57" s="169">
        <f t="shared" si="4"/>
        <v>250</v>
      </c>
      <c r="N57" s="171"/>
      <c r="O57" s="277"/>
      <c r="P57" s="169" t="s">
        <v>63</v>
      </c>
      <c r="Q57" s="377"/>
      <c r="R57" s="277">
        <v>250</v>
      </c>
      <c r="S57" s="169" t="s">
        <v>63</v>
      </c>
      <c r="T57" s="278">
        <f t="shared" si="3"/>
        <v>0</v>
      </c>
      <c r="U57" s="281"/>
      <c r="V57" s="282"/>
      <c r="W57" s="278"/>
      <c r="X57" s="278"/>
      <c r="Y57" s="375"/>
      <c r="Z57" s="375"/>
      <c r="AA57" s="375"/>
      <c r="AB57" s="405"/>
    </row>
    <row r="58" spans="1:32" s="176" customFormat="1" ht="54.95" customHeight="1" x14ac:dyDescent="0.15">
      <c r="A58" s="387"/>
      <c r="B58" s="164">
        <f>E5+E8</f>
        <v>66</v>
      </c>
      <c r="C58" s="410"/>
      <c r="D58" s="411"/>
      <c r="E58" s="412"/>
      <c r="F58" s="371"/>
      <c r="G58" s="372"/>
      <c r="H58" s="373"/>
      <c r="I58" s="276"/>
      <c r="J58" s="276"/>
      <c r="K58" s="167">
        <v>1</v>
      </c>
      <c r="L58" s="168" t="s">
        <v>63</v>
      </c>
      <c r="M58" s="169">
        <f t="shared" si="4"/>
        <v>66</v>
      </c>
      <c r="N58" s="171"/>
      <c r="O58" s="277"/>
      <c r="P58" s="169" t="s">
        <v>63</v>
      </c>
      <c r="Q58" s="377"/>
      <c r="R58" s="277">
        <v>66</v>
      </c>
      <c r="S58" s="169" t="s">
        <v>63</v>
      </c>
      <c r="T58" s="278">
        <f t="shared" si="3"/>
        <v>0</v>
      </c>
      <c r="U58" s="281"/>
      <c r="V58" s="282"/>
      <c r="W58" s="278"/>
      <c r="X58" s="278"/>
      <c r="Y58" s="375"/>
      <c r="Z58" s="375"/>
      <c r="AA58" s="375"/>
      <c r="AB58" s="405"/>
    </row>
    <row r="59" spans="1:32" s="176" customFormat="1" ht="54.95" customHeight="1" x14ac:dyDescent="0.15">
      <c r="A59" s="387"/>
      <c r="B59" s="164">
        <f>F5+F8</f>
        <v>0</v>
      </c>
      <c r="C59" s="410"/>
      <c r="D59" s="411"/>
      <c r="E59" s="412"/>
      <c r="F59" s="371"/>
      <c r="G59" s="372"/>
      <c r="H59" s="373"/>
      <c r="I59" s="276"/>
      <c r="J59" s="276"/>
      <c r="K59" s="167">
        <v>1</v>
      </c>
      <c r="L59" s="168" t="s">
        <v>63</v>
      </c>
      <c r="M59" s="169">
        <f t="shared" si="4"/>
        <v>0</v>
      </c>
      <c r="N59" s="171"/>
      <c r="O59" s="277"/>
      <c r="P59" s="169" t="s">
        <v>63</v>
      </c>
      <c r="Q59" s="377"/>
      <c r="R59" s="168"/>
      <c r="S59" s="169" t="s">
        <v>63</v>
      </c>
      <c r="T59" s="278">
        <f t="shared" si="3"/>
        <v>0</v>
      </c>
      <c r="U59" s="281"/>
      <c r="V59" s="282"/>
      <c r="W59" s="278"/>
      <c r="X59" s="278"/>
      <c r="Y59" s="375"/>
      <c r="Z59" s="375"/>
      <c r="AA59" s="375"/>
      <c r="AB59" s="405"/>
    </row>
    <row r="60" spans="1:32" s="176" customFormat="1" ht="54.95" customHeight="1" x14ac:dyDescent="0.15">
      <c r="A60" s="387"/>
      <c r="B60" s="164">
        <f>G5+G8</f>
        <v>0</v>
      </c>
      <c r="C60" s="413"/>
      <c r="D60" s="414"/>
      <c r="E60" s="415"/>
      <c r="F60" s="371"/>
      <c r="G60" s="372"/>
      <c r="H60" s="373"/>
      <c r="I60" s="276"/>
      <c r="J60" s="276"/>
      <c r="K60" s="167">
        <v>1</v>
      </c>
      <c r="L60" s="168" t="s">
        <v>63</v>
      </c>
      <c r="M60" s="169">
        <f t="shared" si="4"/>
        <v>0</v>
      </c>
      <c r="N60" s="171"/>
      <c r="O60" s="277"/>
      <c r="P60" s="169" t="s">
        <v>63</v>
      </c>
      <c r="Q60" s="377"/>
      <c r="R60" s="168"/>
      <c r="S60" s="169" t="s">
        <v>63</v>
      </c>
      <c r="T60" s="278">
        <f t="shared" si="3"/>
        <v>0</v>
      </c>
      <c r="U60" s="281"/>
      <c r="V60" s="282"/>
      <c r="W60" s="278"/>
      <c r="X60" s="278"/>
      <c r="Y60" s="375"/>
      <c r="Z60" s="375"/>
      <c r="AA60" s="375"/>
      <c r="AB60" s="405"/>
    </row>
    <row r="61" spans="1:32" s="176" customFormat="1" ht="54.95" customHeight="1" x14ac:dyDescent="0.15">
      <c r="A61" s="387"/>
      <c r="B61" s="164">
        <f>C6</f>
        <v>240</v>
      </c>
      <c r="C61" s="407" t="str">
        <f>A6</f>
        <v>BE</v>
      </c>
      <c r="D61" s="408"/>
      <c r="E61" s="409"/>
      <c r="F61" s="371"/>
      <c r="G61" s="372"/>
      <c r="H61" s="373"/>
      <c r="I61" s="276"/>
      <c r="J61" s="276"/>
      <c r="K61" s="167">
        <v>1</v>
      </c>
      <c r="L61" s="168" t="s">
        <v>63</v>
      </c>
      <c r="M61" s="169">
        <f t="shared" si="4"/>
        <v>240</v>
      </c>
      <c r="N61" s="171"/>
      <c r="O61" s="277"/>
      <c r="P61" s="169" t="s">
        <v>63</v>
      </c>
      <c r="Q61" s="377"/>
      <c r="R61" s="277">
        <v>240</v>
      </c>
      <c r="S61" s="169" t="s">
        <v>63</v>
      </c>
      <c r="T61" s="278">
        <f>R61-M61</f>
        <v>0</v>
      </c>
      <c r="U61" s="281"/>
      <c r="V61" s="282"/>
      <c r="W61" s="278"/>
      <c r="X61" s="278"/>
      <c r="Y61" s="375"/>
      <c r="Z61" s="375"/>
      <c r="AA61" s="375"/>
      <c r="AB61" s="405"/>
    </row>
    <row r="62" spans="1:32" s="176" customFormat="1" ht="54.95" customHeight="1" x14ac:dyDescent="0.15">
      <c r="A62" s="387"/>
      <c r="B62" s="164">
        <f>D6</f>
        <v>230</v>
      </c>
      <c r="C62" s="410"/>
      <c r="D62" s="411"/>
      <c r="E62" s="412"/>
      <c r="F62" s="371"/>
      <c r="G62" s="372"/>
      <c r="H62" s="373"/>
      <c r="I62" s="276"/>
      <c r="J62" s="276"/>
      <c r="K62" s="167">
        <v>1</v>
      </c>
      <c r="L62" s="168" t="s">
        <v>63</v>
      </c>
      <c r="M62" s="169">
        <f t="shared" si="4"/>
        <v>230</v>
      </c>
      <c r="N62" s="171"/>
      <c r="O62" s="277"/>
      <c r="P62" s="169" t="s">
        <v>63</v>
      </c>
      <c r="Q62" s="377"/>
      <c r="R62" s="277">
        <v>230</v>
      </c>
      <c r="S62" s="169" t="s">
        <v>63</v>
      </c>
      <c r="T62" s="278">
        <f>R62-M62</f>
        <v>0</v>
      </c>
      <c r="U62" s="281"/>
      <c r="V62" s="282"/>
      <c r="W62" s="278"/>
      <c r="X62" s="278"/>
      <c r="Y62" s="375"/>
      <c r="Z62" s="375"/>
      <c r="AA62" s="375"/>
      <c r="AB62" s="405"/>
    </row>
    <row r="63" spans="1:32" s="176" customFormat="1" ht="54.95" customHeight="1" x14ac:dyDescent="0.15">
      <c r="A63" s="387"/>
      <c r="B63" s="164">
        <f>E6</f>
        <v>52</v>
      </c>
      <c r="C63" s="410"/>
      <c r="D63" s="411"/>
      <c r="E63" s="412"/>
      <c r="F63" s="371"/>
      <c r="G63" s="372"/>
      <c r="H63" s="373"/>
      <c r="I63" s="276"/>
      <c r="J63" s="276"/>
      <c r="K63" s="167">
        <v>1</v>
      </c>
      <c r="L63" s="168" t="s">
        <v>63</v>
      </c>
      <c r="M63" s="169">
        <f t="shared" si="4"/>
        <v>52</v>
      </c>
      <c r="N63" s="171"/>
      <c r="O63" s="277"/>
      <c r="P63" s="169" t="s">
        <v>63</v>
      </c>
      <c r="Q63" s="377"/>
      <c r="R63" s="277">
        <v>52</v>
      </c>
      <c r="S63" s="169" t="s">
        <v>63</v>
      </c>
      <c r="T63" s="278">
        <f>R63-M63</f>
        <v>0</v>
      </c>
      <c r="U63" s="281"/>
      <c r="V63" s="282"/>
      <c r="W63" s="278"/>
      <c r="X63" s="278"/>
      <c r="Y63" s="375"/>
      <c r="Z63" s="375"/>
      <c r="AA63" s="375"/>
      <c r="AB63" s="405"/>
    </row>
    <row r="64" spans="1:32" s="176" customFormat="1" ht="54.95" customHeight="1" x14ac:dyDescent="0.15">
      <c r="A64" s="387"/>
      <c r="B64" s="164"/>
      <c r="C64" s="410"/>
      <c r="D64" s="411"/>
      <c r="E64" s="412"/>
      <c r="F64" s="371"/>
      <c r="G64" s="372"/>
      <c r="H64" s="373"/>
      <c r="I64" s="276"/>
      <c r="J64" s="276"/>
      <c r="K64" s="167">
        <v>1</v>
      </c>
      <c r="L64" s="168" t="s">
        <v>63</v>
      </c>
      <c r="M64" s="169">
        <f t="shared" si="4"/>
        <v>0</v>
      </c>
      <c r="N64" s="171"/>
      <c r="O64" s="277"/>
      <c r="P64" s="169" t="s">
        <v>63</v>
      </c>
      <c r="Q64" s="377"/>
      <c r="R64" s="168"/>
      <c r="S64" s="169" t="s">
        <v>63</v>
      </c>
      <c r="T64" s="278">
        <f>R64-M64</f>
        <v>0</v>
      </c>
      <c r="U64" s="281"/>
      <c r="V64" s="282"/>
      <c r="W64" s="278"/>
      <c r="X64" s="278"/>
      <c r="Y64" s="375"/>
      <c r="Z64" s="375"/>
      <c r="AA64" s="375"/>
      <c r="AB64" s="405"/>
    </row>
    <row r="65" spans="1:28" s="176" customFormat="1" ht="54.95" customHeight="1" x14ac:dyDescent="0.15">
      <c r="A65" s="388"/>
      <c r="B65" s="164">
        <f>G10+G13</f>
        <v>0</v>
      </c>
      <c r="C65" s="413"/>
      <c r="D65" s="414"/>
      <c r="E65" s="415"/>
      <c r="F65" s="371"/>
      <c r="G65" s="372"/>
      <c r="H65" s="373"/>
      <c r="I65" s="276"/>
      <c r="J65" s="276"/>
      <c r="K65" s="167">
        <v>1</v>
      </c>
      <c r="L65" s="168" t="s">
        <v>63</v>
      </c>
      <c r="M65" s="169">
        <f t="shared" si="4"/>
        <v>0</v>
      </c>
      <c r="N65" s="171"/>
      <c r="O65" s="277"/>
      <c r="P65" s="169" t="s">
        <v>63</v>
      </c>
      <c r="Q65" s="378"/>
      <c r="R65" s="168"/>
      <c r="S65" s="169" t="s">
        <v>63</v>
      </c>
      <c r="T65" s="278">
        <f>R65-M65</f>
        <v>0</v>
      </c>
      <c r="U65" s="281"/>
      <c r="V65" s="282"/>
      <c r="W65" s="278"/>
      <c r="X65" s="278"/>
      <c r="Y65" s="379"/>
      <c r="Z65" s="379"/>
      <c r="AA65" s="379"/>
      <c r="AB65" s="406"/>
    </row>
    <row r="66" spans="1:28" s="176" customFormat="1" ht="54.95" customHeight="1" x14ac:dyDescent="0.15">
      <c r="A66" s="386" t="s">
        <v>69</v>
      </c>
      <c r="B66" s="164">
        <f>C5</f>
        <v>260</v>
      </c>
      <c r="C66" s="407" t="str">
        <f>A5</f>
        <v>BK</v>
      </c>
      <c r="D66" s="408"/>
      <c r="E66" s="409"/>
      <c r="F66" s="371"/>
      <c r="G66" s="372"/>
      <c r="H66" s="373"/>
      <c r="I66" s="276"/>
      <c r="J66" s="276"/>
      <c r="K66" s="167">
        <v>1</v>
      </c>
      <c r="L66" s="168" t="s">
        <v>63</v>
      </c>
      <c r="M66" s="169">
        <f t="shared" si="4"/>
        <v>260</v>
      </c>
      <c r="N66" s="171"/>
      <c r="O66" s="277"/>
      <c r="P66" s="169" t="s">
        <v>63</v>
      </c>
      <c r="Q66" s="376">
        <v>45977</v>
      </c>
      <c r="R66" s="277">
        <v>260</v>
      </c>
      <c r="S66" s="169" t="s">
        <v>63</v>
      </c>
      <c r="T66" s="278">
        <f t="shared" si="3"/>
        <v>0</v>
      </c>
      <c r="U66" s="281"/>
      <c r="V66" s="282"/>
      <c r="W66" s="278"/>
      <c r="X66" s="278"/>
      <c r="Y66" s="374" t="s">
        <v>67</v>
      </c>
      <c r="Z66" s="374"/>
      <c r="AA66" s="374"/>
      <c r="AB66" s="404" t="s">
        <v>193</v>
      </c>
    </row>
    <row r="67" spans="1:28" s="176" customFormat="1" ht="54.95" customHeight="1" x14ac:dyDescent="0.15">
      <c r="A67" s="387"/>
      <c r="B67" s="164">
        <f>D5</f>
        <v>250</v>
      </c>
      <c r="C67" s="410"/>
      <c r="D67" s="411"/>
      <c r="E67" s="412"/>
      <c r="F67" s="371"/>
      <c r="G67" s="372"/>
      <c r="H67" s="373"/>
      <c r="I67" s="276"/>
      <c r="J67" s="276"/>
      <c r="K67" s="167">
        <v>1</v>
      </c>
      <c r="L67" s="168" t="s">
        <v>63</v>
      </c>
      <c r="M67" s="169">
        <f t="shared" si="4"/>
        <v>250</v>
      </c>
      <c r="N67" s="171"/>
      <c r="O67" s="277"/>
      <c r="P67" s="169" t="s">
        <v>63</v>
      </c>
      <c r="Q67" s="377"/>
      <c r="R67" s="277">
        <v>250</v>
      </c>
      <c r="S67" s="169" t="s">
        <v>63</v>
      </c>
      <c r="T67" s="278">
        <f t="shared" si="3"/>
        <v>0</v>
      </c>
      <c r="U67" s="281"/>
      <c r="V67" s="282"/>
      <c r="W67" s="278"/>
      <c r="X67" s="278"/>
      <c r="Y67" s="375"/>
      <c r="Z67" s="375"/>
      <c r="AA67" s="375"/>
      <c r="AB67" s="405"/>
    </row>
    <row r="68" spans="1:28" s="176" customFormat="1" ht="54.95" customHeight="1" x14ac:dyDescent="0.15">
      <c r="A68" s="387"/>
      <c r="B68" s="164">
        <f>E5</f>
        <v>66</v>
      </c>
      <c r="C68" s="410"/>
      <c r="D68" s="411"/>
      <c r="E68" s="412"/>
      <c r="F68" s="371"/>
      <c r="G68" s="372"/>
      <c r="H68" s="373"/>
      <c r="I68" s="276"/>
      <c r="J68" s="276"/>
      <c r="K68" s="167">
        <v>1</v>
      </c>
      <c r="L68" s="168" t="s">
        <v>63</v>
      </c>
      <c r="M68" s="169">
        <f t="shared" si="4"/>
        <v>66</v>
      </c>
      <c r="N68" s="171"/>
      <c r="O68" s="277"/>
      <c r="P68" s="169" t="s">
        <v>63</v>
      </c>
      <c r="Q68" s="377"/>
      <c r="R68" s="277">
        <v>66</v>
      </c>
      <c r="S68" s="169" t="s">
        <v>63</v>
      </c>
      <c r="T68" s="278">
        <f t="shared" si="3"/>
        <v>0</v>
      </c>
      <c r="U68" s="281"/>
      <c r="V68" s="282"/>
      <c r="W68" s="278"/>
      <c r="X68" s="278"/>
      <c r="Y68" s="375"/>
      <c r="Z68" s="375"/>
      <c r="AA68" s="375"/>
      <c r="AB68" s="405"/>
    </row>
    <row r="69" spans="1:28" s="176" customFormat="1" ht="54.95" customHeight="1" x14ac:dyDescent="0.15">
      <c r="A69" s="387"/>
      <c r="B69" s="164">
        <f>F5</f>
        <v>0</v>
      </c>
      <c r="C69" s="410"/>
      <c r="D69" s="411"/>
      <c r="E69" s="412"/>
      <c r="F69" s="371"/>
      <c r="G69" s="372"/>
      <c r="H69" s="373"/>
      <c r="I69" s="276"/>
      <c r="J69" s="276"/>
      <c r="K69" s="167">
        <v>1</v>
      </c>
      <c r="L69" s="168" t="s">
        <v>63</v>
      </c>
      <c r="M69" s="169">
        <f t="shared" si="4"/>
        <v>0</v>
      </c>
      <c r="N69" s="171"/>
      <c r="O69" s="277"/>
      <c r="P69" s="169" t="s">
        <v>63</v>
      </c>
      <c r="Q69" s="377"/>
      <c r="R69" s="168"/>
      <c r="S69" s="169" t="s">
        <v>63</v>
      </c>
      <c r="T69" s="278">
        <f t="shared" si="3"/>
        <v>0</v>
      </c>
      <c r="U69" s="281"/>
      <c r="V69" s="282"/>
      <c r="W69" s="278"/>
      <c r="X69" s="278"/>
      <c r="Y69" s="375"/>
      <c r="Z69" s="375"/>
      <c r="AA69" s="375"/>
      <c r="AB69" s="405"/>
    </row>
    <row r="70" spans="1:28" s="176" customFormat="1" ht="54.95" customHeight="1" x14ac:dyDescent="0.15">
      <c r="A70" s="387"/>
      <c r="B70" s="164">
        <f>G5</f>
        <v>0</v>
      </c>
      <c r="C70" s="413"/>
      <c r="D70" s="414"/>
      <c r="E70" s="415"/>
      <c r="F70" s="371"/>
      <c r="G70" s="372"/>
      <c r="H70" s="373"/>
      <c r="I70" s="276"/>
      <c r="J70" s="276"/>
      <c r="K70" s="167">
        <v>1</v>
      </c>
      <c r="L70" s="168" t="s">
        <v>63</v>
      </c>
      <c r="M70" s="169">
        <f t="shared" si="4"/>
        <v>0</v>
      </c>
      <c r="N70" s="171"/>
      <c r="O70" s="277"/>
      <c r="P70" s="169" t="s">
        <v>63</v>
      </c>
      <c r="Q70" s="377"/>
      <c r="R70" s="168"/>
      <c r="S70" s="169" t="s">
        <v>63</v>
      </c>
      <c r="T70" s="278">
        <f t="shared" si="3"/>
        <v>0</v>
      </c>
      <c r="U70" s="281"/>
      <c r="V70" s="282"/>
      <c r="W70" s="278"/>
      <c r="X70" s="278"/>
      <c r="Y70" s="375"/>
      <c r="Z70" s="375"/>
      <c r="AA70" s="375"/>
      <c r="AB70" s="405"/>
    </row>
    <row r="71" spans="1:28" s="176" customFormat="1" ht="54.95" customHeight="1" x14ac:dyDescent="0.15">
      <c r="A71" s="387"/>
      <c r="B71" s="164">
        <f>C6</f>
        <v>240</v>
      </c>
      <c r="C71" s="407" t="str">
        <f>A6</f>
        <v>BE</v>
      </c>
      <c r="D71" s="408"/>
      <c r="E71" s="409"/>
      <c r="F71" s="371"/>
      <c r="G71" s="372"/>
      <c r="H71" s="373"/>
      <c r="I71" s="276"/>
      <c r="J71" s="276"/>
      <c r="K71" s="167">
        <v>1</v>
      </c>
      <c r="L71" s="168" t="s">
        <v>63</v>
      </c>
      <c r="M71" s="169">
        <f t="shared" si="4"/>
        <v>240</v>
      </c>
      <c r="N71" s="171"/>
      <c r="O71" s="277"/>
      <c r="P71" s="169" t="s">
        <v>63</v>
      </c>
      <c r="Q71" s="377"/>
      <c r="R71" s="277">
        <v>240</v>
      </c>
      <c r="S71" s="169" t="s">
        <v>63</v>
      </c>
      <c r="T71" s="278">
        <f t="shared" si="3"/>
        <v>0</v>
      </c>
      <c r="U71" s="281"/>
      <c r="V71" s="282"/>
      <c r="W71" s="278"/>
      <c r="X71" s="278"/>
      <c r="Y71" s="374" t="s">
        <v>67</v>
      </c>
      <c r="Z71" s="374"/>
      <c r="AA71" s="374"/>
      <c r="AB71" s="405"/>
    </row>
    <row r="72" spans="1:28" s="176" customFormat="1" ht="54.95" customHeight="1" x14ac:dyDescent="0.15">
      <c r="A72" s="387"/>
      <c r="B72" s="164">
        <f>D6</f>
        <v>230</v>
      </c>
      <c r="C72" s="410"/>
      <c r="D72" s="411"/>
      <c r="E72" s="412"/>
      <c r="F72" s="371"/>
      <c r="G72" s="372"/>
      <c r="H72" s="373"/>
      <c r="I72" s="276"/>
      <c r="J72" s="276"/>
      <c r="K72" s="167">
        <v>1</v>
      </c>
      <c r="L72" s="168" t="s">
        <v>63</v>
      </c>
      <c r="M72" s="169">
        <f t="shared" si="4"/>
        <v>230</v>
      </c>
      <c r="N72" s="171"/>
      <c r="O72" s="277"/>
      <c r="P72" s="169" t="s">
        <v>63</v>
      </c>
      <c r="Q72" s="377"/>
      <c r="R72" s="277">
        <v>230</v>
      </c>
      <c r="S72" s="169" t="s">
        <v>63</v>
      </c>
      <c r="T72" s="278">
        <f t="shared" si="3"/>
        <v>0</v>
      </c>
      <c r="U72" s="281"/>
      <c r="V72" s="282"/>
      <c r="W72" s="278"/>
      <c r="X72" s="278"/>
      <c r="Y72" s="375"/>
      <c r="Z72" s="375"/>
      <c r="AA72" s="375"/>
      <c r="AB72" s="405"/>
    </row>
    <row r="73" spans="1:28" s="176" customFormat="1" ht="54.95" customHeight="1" x14ac:dyDescent="0.15">
      <c r="A73" s="387"/>
      <c r="B73" s="164">
        <f>E6</f>
        <v>52</v>
      </c>
      <c r="C73" s="410"/>
      <c r="D73" s="411"/>
      <c r="E73" s="412"/>
      <c r="F73" s="371"/>
      <c r="G73" s="372"/>
      <c r="H73" s="373"/>
      <c r="I73" s="276"/>
      <c r="J73" s="276"/>
      <c r="K73" s="167">
        <v>1</v>
      </c>
      <c r="L73" s="168" t="s">
        <v>63</v>
      </c>
      <c r="M73" s="169">
        <f t="shared" si="4"/>
        <v>52</v>
      </c>
      <c r="N73" s="171"/>
      <c r="O73" s="277"/>
      <c r="P73" s="169" t="s">
        <v>63</v>
      </c>
      <c r="Q73" s="377"/>
      <c r="R73" s="277">
        <v>52</v>
      </c>
      <c r="S73" s="169" t="s">
        <v>63</v>
      </c>
      <c r="T73" s="278">
        <f t="shared" si="3"/>
        <v>0</v>
      </c>
      <c r="U73" s="281"/>
      <c r="V73" s="282"/>
      <c r="W73" s="278"/>
      <c r="X73" s="278"/>
      <c r="Y73" s="375"/>
      <c r="Z73" s="375"/>
      <c r="AA73" s="375"/>
      <c r="AB73" s="405"/>
    </row>
    <row r="74" spans="1:28" s="176" customFormat="1" ht="54.95" customHeight="1" x14ac:dyDescent="0.15">
      <c r="A74" s="387"/>
      <c r="B74" s="164">
        <f>F10</f>
        <v>0</v>
      </c>
      <c r="C74" s="410"/>
      <c r="D74" s="411"/>
      <c r="E74" s="412"/>
      <c r="F74" s="371"/>
      <c r="G74" s="372"/>
      <c r="H74" s="373"/>
      <c r="I74" s="276"/>
      <c r="J74" s="276"/>
      <c r="K74" s="167">
        <v>1</v>
      </c>
      <c r="L74" s="168" t="s">
        <v>63</v>
      </c>
      <c r="M74" s="169">
        <f t="shared" si="4"/>
        <v>0</v>
      </c>
      <c r="N74" s="171"/>
      <c r="O74" s="277"/>
      <c r="P74" s="169" t="s">
        <v>63</v>
      </c>
      <c r="Q74" s="377"/>
      <c r="R74" s="168"/>
      <c r="S74" s="169" t="s">
        <v>63</v>
      </c>
      <c r="T74" s="278">
        <f t="shared" si="3"/>
        <v>0</v>
      </c>
      <c r="U74" s="281"/>
      <c r="V74" s="282"/>
      <c r="W74" s="278"/>
      <c r="X74" s="278"/>
      <c r="Y74" s="375"/>
      <c r="Z74" s="375"/>
      <c r="AA74" s="375"/>
      <c r="AB74" s="405"/>
    </row>
    <row r="75" spans="1:28" s="176" customFormat="1" ht="54.95" customHeight="1" x14ac:dyDescent="0.15">
      <c r="A75" s="388"/>
      <c r="B75" s="164">
        <f>G10</f>
        <v>0</v>
      </c>
      <c r="C75" s="413"/>
      <c r="D75" s="414"/>
      <c r="E75" s="415"/>
      <c r="F75" s="371"/>
      <c r="G75" s="372"/>
      <c r="H75" s="373"/>
      <c r="I75" s="276"/>
      <c r="J75" s="276"/>
      <c r="K75" s="167">
        <v>1</v>
      </c>
      <c r="L75" s="168" t="s">
        <v>63</v>
      </c>
      <c r="M75" s="169">
        <f t="shared" si="4"/>
        <v>0</v>
      </c>
      <c r="N75" s="171"/>
      <c r="O75" s="277"/>
      <c r="P75" s="169" t="s">
        <v>63</v>
      </c>
      <c r="Q75" s="378"/>
      <c r="R75" s="168"/>
      <c r="S75" s="169" t="s">
        <v>63</v>
      </c>
      <c r="T75" s="278">
        <f t="shared" si="3"/>
        <v>0</v>
      </c>
      <c r="U75" s="281"/>
      <c r="V75" s="282"/>
      <c r="W75" s="278"/>
      <c r="X75" s="278"/>
      <c r="Y75" s="375"/>
      <c r="Z75" s="375"/>
      <c r="AA75" s="375"/>
      <c r="AB75" s="406"/>
    </row>
    <row r="76" spans="1:28" s="55" customFormat="1" ht="54.95" customHeight="1" x14ac:dyDescent="0.15">
      <c r="A76" s="386" t="s">
        <v>70</v>
      </c>
      <c r="B76" s="87">
        <f>C11</f>
        <v>500</v>
      </c>
      <c r="C76" s="389" t="s">
        <v>71</v>
      </c>
      <c r="D76" s="390"/>
      <c r="E76" s="391"/>
      <c r="F76" s="368"/>
      <c r="G76" s="369"/>
      <c r="H76" s="370"/>
      <c r="I76" s="152"/>
      <c r="J76" s="90"/>
      <c r="K76" s="156">
        <v>1</v>
      </c>
      <c r="L76" s="77" t="s">
        <v>63</v>
      </c>
      <c r="M76" s="88">
        <f t="shared" si="4"/>
        <v>500</v>
      </c>
      <c r="N76" s="89"/>
      <c r="O76" s="153"/>
      <c r="P76" s="88" t="s">
        <v>63</v>
      </c>
      <c r="Q76" s="398">
        <v>45926</v>
      </c>
      <c r="R76" s="93">
        <v>500</v>
      </c>
      <c r="S76" s="88" t="s">
        <v>63</v>
      </c>
      <c r="T76" s="154">
        <f t="shared" si="3"/>
        <v>0</v>
      </c>
      <c r="U76" s="91"/>
      <c r="V76" s="159"/>
      <c r="W76" s="159"/>
      <c r="X76" s="159"/>
      <c r="Y76" s="401" t="s">
        <v>94</v>
      </c>
      <c r="Z76" s="416"/>
      <c r="AA76" s="416"/>
      <c r="AB76" s="419" t="s">
        <v>166</v>
      </c>
    </row>
    <row r="77" spans="1:28" s="55" customFormat="1" ht="54.95" customHeight="1" x14ac:dyDescent="0.15">
      <c r="A77" s="387"/>
      <c r="B77" s="87">
        <f>D11</f>
        <v>480</v>
      </c>
      <c r="C77" s="392"/>
      <c r="D77" s="393"/>
      <c r="E77" s="394"/>
      <c r="F77" s="368"/>
      <c r="G77" s="369"/>
      <c r="H77" s="370"/>
      <c r="I77" s="152"/>
      <c r="J77" s="90"/>
      <c r="K77" s="156">
        <v>1</v>
      </c>
      <c r="L77" s="77" t="s">
        <v>63</v>
      </c>
      <c r="M77" s="88">
        <f t="shared" si="4"/>
        <v>480</v>
      </c>
      <c r="N77" s="89"/>
      <c r="O77" s="153"/>
      <c r="P77" s="88" t="s">
        <v>63</v>
      </c>
      <c r="Q77" s="399"/>
      <c r="R77" s="93">
        <v>480</v>
      </c>
      <c r="S77" s="88" t="s">
        <v>63</v>
      </c>
      <c r="T77" s="154">
        <f t="shared" si="3"/>
        <v>0</v>
      </c>
      <c r="U77" s="91"/>
      <c r="V77" s="159"/>
      <c r="W77" s="159"/>
      <c r="X77" s="159"/>
      <c r="Y77" s="402"/>
      <c r="Z77" s="417"/>
      <c r="AA77" s="417"/>
      <c r="AB77" s="420"/>
    </row>
    <row r="78" spans="1:28" s="55" customFormat="1" ht="54.95" customHeight="1" x14ac:dyDescent="0.15">
      <c r="A78" s="387"/>
      <c r="B78" s="87">
        <f>E11</f>
        <v>118</v>
      </c>
      <c r="C78" s="392"/>
      <c r="D78" s="393"/>
      <c r="E78" s="394"/>
      <c r="F78" s="368"/>
      <c r="G78" s="369"/>
      <c r="H78" s="370"/>
      <c r="I78" s="152"/>
      <c r="J78" s="90"/>
      <c r="K78" s="156">
        <v>1</v>
      </c>
      <c r="L78" s="77" t="s">
        <v>63</v>
      </c>
      <c r="M78" s="88">
        <f t="shared" si="4"/>
        <v>118</v>
      </c>
      <c r="N78" s="89"/>
      <c r="O78" s="153"/>
      <c r="P78" s="88" t="s">
        <v>63</v>
      </c>
      <c r="Q78" s="399"/>
      <c r="R78" s="93">
        <v>118</v>
      </c>
      <c r="S78" s="88" t="s">
        <v>63</v>
      </c>
      <c r="T78" s="154">
        <f t="shared" si="3"/>
        <v>0</v>
      </c>
      <c r="U78" s="91"/>
      <c r="V78" s="159"/>
      <c r="W78" s="159"/>
      <c r="X78" s="159"/>
      <c r="Y78" s="402"/>
      <c r="Z78" s="417"/>
      <c r="AA78" s="417"/>
      <c r="AB78" s="420"/>
    </row>
    <row r="79" spans="1:28" s="55" customFormat="1" ht="54.95" customHeight="1" x14ac:dyDescent="0.15">
      <c r="A79" s="388"/>
      <c r="B79" s="87">
        <f>F11</f>
        <v>0</v>
      </c>
      <c r="C79" s="395"/>
      <c r="D79" s="396"/>
      <c r="E79" s="397"/>
      <c r="F79" s="368"/>
      <c r="G79" s="369"/>
      <c r="H79" s="370"/>
      <c r="I79" s="152"/>
      <c r="J79" s="90"/>
      <c r="K79" s="156"/>
      <c r="L79" s="77" t="s">
        <v>63</v>
      </c>
      <c r="M79" s="88">
        <f t="shared" si="4"/>
        <v>0</v>
      </c>
      <c r="N79" s="89"/>
      <c r="O79" s="153"/>
      <c r="P79" s="88" t="s">
        <v>63</v>
      </c>
      <c r="Q79" s="400"/>
      <c r="R79" s="162"/>
      <c r="S79" s="88" t="s">
        <v>63</v>
      </c>
      <c r="T79" s="154">
        <f t="shared" si="3"/>
        <v>0</v>
      </c>
      <c r="U79" s="91"/>
      <c r="V79" s="159"/>
      <c r="W79" s="159"/>
      <c r="X79" s="159"/>
      <c r="Y79" s="403"/>
      <c r="Z79" s="418"/>
      <c r="AA79" s="418"/>
      <c r="AB79" s="421"/>
    </row>
    <row r="80" spans="1:28" s="176" customFormat="1" ht="54.95" customHeight="1" x14ac:dyDescent="0.15">
      <c r="A80" s="163" t="s">
        <v>73</v>
      </c>
      <c r="B80" s="164">
        <f>I11</f>
        <v>1098</v>
      </c>
      <c r="C80" s="371" t="s">
        <v>71</v>
      </c>
      <c r="D80" s="372"/>
      <c r="E80" s="373"/>
      <c r="F80" s="371"/>
      <c r="G80" s="372"/>
      <c r="H80" s="373"/>
      <c r="I80" s="165"/>
      <c r="J80" s="166"/>
      <c r="K80" s="167">
        <v>1</v>
      </c>
      <c r="L80" s="168" t="s">
        <v>63</v>
      </c>
      <c r="M80" s="88">
        <f t="shared" si="4"/>
        <v>1098</v>
      </c>
      <c r="N80" s="170"/>
      <c r="O80" s="170"/>
      <c r="P80" s="169" t="s">
        <v>63</v>
      </c>
      <c r="Q80" s="363">
        <v>45926</v>
      </c>
      <c r="R80" s="165">
        <v>1098</v>
      </c>
      <c r="S80" s="169" t="s">
        <v>63</v>
      </c>
      <c r="T80" s="154">
        <f t="shared" si="3"/>
        <v>0</v>
      </c>
      <c r="U80" s="170"/>
      <c r="V80" s="172"/>
      <c r="W80" s="172"/>
      <c r="X80" s="172"/>
      <c r="Y80" s="374" t="s">
        <v>72</v>
      </c>
      <c r="Z80" s="380"/>
      <c r="AA80" s="383"/>
      <c r="AB80" s="360" t="s">
        <v>167</v>
      </c>
    </row>
    <row r="81" spans="1:29" s="55" customFormat="1" ht="54.95" customHeight="1" x14ac:dyDescent="0.15">
      <c r="A81" s="163" t="s">
        <v>81</v>
      </c>
      <c r="B81" s="87">
        <f>I11</f>
        <v>1098</v>
      </c>
      <c r="C81" s="368" t="s">
        <v>71</v>
      </c>
      <c r="D81" s="369"/>
      <c r="E81" s="370"/>
      <c r="F81" s="368"/>
      <c r="G81" s="369"/>
      <c r="H81" s="370"/>
      <c r="I81" s="93"/>
      <c r="J81" s="90"/>
      <c r="K81" s="156">
        <v>1</v>
      </c>
      <c r="L81" s="77" t="s">
        <v>63</v>
      </c>
      <c r="M81" s="88">
        <f>K81*B81</f>
        <v>1098</v>
      </c>
      <c r="N81" s="91"/>
      <c r="O81" s="91"/>
      <c r="P81" s="169" t="s">
        <v>63</v>
      </c>
      <c r="Q81" s="364"/>
      <c r="R81" s="93">
        <v>1098</v>
      </c>
      <c r="S81" s="169" t="s">
        <v>63</v>
      </c>
      <c r="T81" s="154">
        <f t="shared" si="3"/>
        <v>0</v>
      </c>
      <c r="U81" s="91"/>
      <c r="V81" s="91"/>
      <c r="W81" s="91"/>
      <c r="X81" s="91"/>
      <c r="Y81" s="375"/>
      <c r="Z81" s="381"/>
      <c r="AA81" s="384"/>
      <c r="AB81" s="361"/>
    </row>
    <row r="82" spans="1:29" s="55" customFormat="1" ht="54.95" customHeight="1" x14ac:dyDescent="0.15">
      <c r="A82" s="284" t="s">
        <v>74</v>
      </c>
      <c r="B82" s="87">
        <f>I11</f>
        <v>1098</v>
      </c>
      <c r="C82" s="368" t="s">
        <v>71</v>
      </c>
      <c r="D82" s="369"/>
      <c r="E82" s="370"/>
      <c r="F82" s="368"/>
      <c r="G82" s="369"/>
      <c r="H82" s="370"/>
      <c r="I82" s="93"/>
      <c r="J82" s="93"/>
      <c r="K82" s="156">
        <v>1</v>
      </c>
      <c r="L82" s="77" t="s">
        <v>63</v>
      </c>
      <c r="M82" s="88">
        <f t="shared" si="4"/>
        <v>1098</v>
      </c>
      <c r="N82" s="91"/>
      <c r="O82" s="91"/>
      <c r="P82" s="89" t="s">
        <v>63</v>
      </c>
      <c r="Q82" s="365"/>
      <c r="R82" s="93">
        <v>1100</v>
      </c>
      <c r="S82" s="89" t="s">
        <v>63</v>
      </c>
      <c r="T82" s="154">
        <f t="shared" si="3"/>
        <v>2</v>
      </c>
      <c r="U82" s="91"/>
      <c r="V82" s="91"/>
      <c r="W82" s="91"/>
      <c r="X82" s="91"/>
      <c r="Y82" s="379"/>
      <c r="Z82" s="382"/>
      <c r="AA82" s="385"/>
      <c r="AB82" s="362"/>
    </row>
    <row r="83" spans="1:29" x14ac:dyDescent="0.15">
      <c r="A83" s="285"/>
      <c r="B83" s="366"/>
      <c r="C83" s="366"/>
      <c r="D83" s="177"/>
      <c r="E83" s="177"/>
      <c r="F83" s="100"/>
      <c r="G83" s="100"/>
      <c r="H83" s="100"/>
      <c r="I83" s="177"/>
      <c r="J83" s="177"/>
      <c r="K83" s="101"/>
      <c r="L83" s="102"/>
      <c r="M83" s="103"/>
      <c r="N83" s="104"/>
      <c r="O83" s="104"/>
      <c r="P83" s="177"/>
      <c r="Q83" s="105"/>
      <c r="R83" s="105"/>
      <c r="S83" s="106"/>
      <c r="T83" s="107"/>
      <c r="U83" s="108"/>
      <c r="V83" s="108"/>
      <c r="W83" s="109"/>
      <c r="X83" s="107"/>
      <c r="Y83" s="110"/>
      <c r="Z83" s="111"/>
      <c r="AA83" s="111"/>
    </row>
    <row r="84" spans="1:29" x14ac:dyDescent="0.15">
      <c r="A84" s="285"/>
      <c r="B84" s="366"/>
      <c r="C84" s="366"/>
      <c r="D84" s="177"/>
      <c r="E84" s="177"/>
      <c r="F84" s="367"/>
      <c r="G84" s="367"/>
      <c r="H84" s="367"/>
      <c r="I84" s="177"/>
      <c r="J84" s="177"/>
      <c r="K84" s="101"/>
      <c r="L84" s="102"/>
      <c r="M84" s="103"/>
      <c r="N84" s="104"/>
      <c r="O84" s="104"/>
      <c r="P84" s="177"/>
      <c r="Q84" s="105"/>
      <c r="R84" s="105"/>
      <c r="S84" s="106"/>
      <c r="T84" s="107"/>
      <c r="U84" s="108"/>
      <c r="V84" s="108"/>
      <c r="W84" s="109"/>
      <c r="X84" s="107"/>
      <c r="Y84" s="112"/>
      <c r="Z84" s="111"/>
      <c r="AA84" s="111"/>
    </row>
    <row r="85" spans="1:29" x14ac:dyDescent="0.15">
      <c r="J85" s="177"/>
    </row>
    <row r="86" spans="1:29" x14ac:dyDescent="0.15">
      <c r="J86" s="177"/>
    </row>
    <row r="93" spans="1:29" s="114" customFormat="1" x14ac:dyDescent="0.15">
      <c r="A93" s="286"/>
      <c r="B93" s="113"/>
      <c r="C93" s="1"/>
      <c r="D93" s="1"/>
      <c r="E93" s="1"/>
      <c r="F93" s="1"/>
      <c r="G93" s="1"/>
      <c r="H93" s="1"/>
      <c r="I93" s="1"/>
      <c r="J93" s="1"/>
      <c r="L93" s="115"/>
      <c r="M93" s="116"/>
      <c r="N93" s="117"/>
      <c r="O93" s="117"/>
      <c r="P93" s="1"/>
      <c r="Q93" s="118"/>
      <c r="R93" s="118"/>
      <c r="S93" s="115"/>
      <c r="T93" s="119"/>
      <c r="U93" s="1"/>
      <c r="V93" s="1"/>
      <c r="W93" s="120"/>
      <c r="X93" s="121"/>
      <c r="Y93" s="1"/>
      <c r="Z93" s="1"/>
      <c r="AA93" s="1"/>
      <c r="AB93" s="1"/>
      <c r="AC93" s="1"/>
    </row>
    <row r="94" spans="1:29" s="114" customFormat="1" x14ac:dyDescent="0.15">
      <c r="A94" s="286"/>
      <c r="B94" s="113"/>
      <c r="C94" s="1"/>
      <c r="D94" s="1"/>
      <c r="E94" s="1"/>
      <c r="F94" s="1"/>
      <c r="G94" s="1"/>
      <c r="H94" s="1"/>
      <c r="I94" s="1"/>
      <c r="J94" s="1"/>
      <c r="L94" s="115"/>
      <c r="M94" s="116"/>
      <c r="N94" s="117"/>
      <c r="O94" s="117"/>
      <c r="P94" s="1"/>
      <c r="Q94" s="118"/>
      <c r="R94" s="118"/>
      <c r="S94" s="115"/>
      <c r="T94" s="119"/>
      <c r="U94" s="1"/>
      <c r="V94" s="1"/>
      <c r="W94" s="120"/>
      <c r="X94" s="121"/>
      <c r="Y94" s="1"/>
      <c r="Z94" s="1"/>
      <c r="AA94" s="1"/>
      <c r="AB94" s="1"/>
      <c r="AC94" s="1"/>
    </row>
  </sheetData>
  <mergeCells count="292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Q15:Q16"/>
    <mergeCell ref="Y15:Y16"/>
    <mergeCell ref="N13:P13"/>
    <mergeCell ref="C20:E20"/>
    <mergeCell ref="F20:H20"/>
    <mergeCell ref="A21:A22"/>
    <mergeCell ref="C21:E21"/>
    <mergeCell ref="F21:H21"/>
    <mergeCell ref="I21:I22"/>
    <mergeCell ref="AB17:AB18"/>
    <mergeCell ref="C18:E18"/>
    <mergeCell ref="F18:H18"/>
    <mergeCell ref="A19:A20"/>
    <mergeCell ref="C19:E19"/>
    <mergeCell ref="F19:H19"/>
    <mergeCell ref="I19:I20"/>
    <mergeCell ref="Q19:Q20"/>
    <mergeCell ref="Y19:Y20"/>
    <mergeCell ref="AB19:AB20"/>
    <mergeCell ref="Q21:Q22"/>
    <mergeCell ref="Y21:Y22"/>
    <mergeCell ref="AB21:AB22"/>
    <mergeCell ref="C22:E22"/>
    <mergeCell ref="F22:H22"/>
    <mergeCell ref="AB15:AB16"/>
    <mergeCell ref="A23:A24"/>
    <mergeCell ref="C23:E23"/>
    <mergeCell ref="F23:H23"/>
    <mergeCell ref="I23:I24"/>
    <mergeCell ref="Y23:Y24"/>
    <mergeCell ref="AB23:AB26"/>
    <mergeCell ref="C24:E24"/>
    <mergeCell ref="F24:H24"/>
    <mergeCell ref="A25:A26"/>
    <mergeCell ref="C25:E25"/>
    <mergeCell ref="F25:H25"/>
    <mergeCell ref="I25:I26"/>
    <mergeCell ref="Y25:Y26"/>
    <mergeCell ref="C26:E26"/>
    <mergeCell ref="F26:H26"/>
    <mergeCell ref="Q23:Q26"/>
    <mergeCell ref="AC26:AF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28:AF28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C34:AF34"/>
    <mergeCell ref="A35:A36"/>
    <mergeCell ref="C35:E35"/>
    <mergeCell ref="F35:H35"/>
    <mergeCell ref="I35:I36"/>
    <mergeCell ref="Y35:Y36"/>
    <mergeCell ref="C36:E36"/>
    <mergeCell ref="F36:H36"/>
    <mergeCell ref="AC36:AF36"/>
    <mergeCell ref="A33:A34"/>
    <mergeCell ref="C33:E33"/>
    <mergeCell ref="F33:H33"/>
    <mergeCell ref="I33:I34"/>
    <mergeCell ref="Y33:Y34"/>
    <mergeCell ref="AB33:AB36"/>
    <mergeCell ref="C34:E34"/>
    <mergeCell ref="F34:H34"/>
    <mergeCell ref="Q33:Q36"/>
    <mergeCell ref="A37:A38"/>
    <mergeCell ref="C37:E37"/>
    <mergeCell ref="F37:H37"/>
    <mergeCell ref="I37:I38"/>
    <mergeCell ref="Q37:Q38"/>
    <mergeCell ref="Y37:Y38"/>
    <mergeCell ref="AB37:AB38"/>
    <mergeCell ref="C38:E38"/>
    <mergeCell ref="AC38:AF38"/>
    <mergeCell ref="F38:H38"/>
    <mergeCell ref="A39:A40"/>
    <mergeCell ref="C39:E39"/>
    <mergeCell ref="F39:H39"/>
    <mergeCell ref="Q39:Q40"/>
    <mergeCell ref="Y39:Y40"/>
    <mergeCell ref="AB39:AB40"/>
    <mergeCell ref="C40:E40"/>
    <mergeCell ref="F40:H40"/>
    <mergeCell ref="A41:A42"/>
    <mergeCell ref="C41:E41"/>
    <mergeCell ref="F41:H41"/>
    <mergeCell ref="Y41:Y42"/>
    <mergeCell ref="C42:E42"/>
    <mergeCell ref="F42:H42"/>
    <mergeCell ref="Q41:Q44"/>
    <mergeCell ref="AB41:AB46"/>
    <mergeCell ref="A45:A46"/>
    <mergeCell ref="C45:E45"/>
    <mergeCell ref="F45:H45"/>
    <mergeCell ref="Q45:Q46"/>
    <mergeCell ref="Y45:Y46"/>
    <mergeCell ref="C46:E46"/>
    <mergeCell ref="F46:H46"/>
    <mergeCell ref="A43:A44"/>
    <mergeCell ref="C43:E43"/>
    <mergeCell ref="F43:H43"/>
    <mergeCell ref="Y43:Y44"/>
    <mergeCell ref="C44:E44"/>
    <mergeCell ref="F44:H44"/>
    <mergeCell ref="AB47:AB48"/>
    <mergeCell ref="C48:E48"/>
    <mergeCell ref="F48:H48"/>
    <mergeCell ref="A49:A50"/>
    <mergeCell ref="C49:E49"/>
    <mergeCell ref="F49:H49"/>
    <mergeCell ref="I49:I50"/>
    <mergeCell ref="Q49:Q50"/>
    <mergeCell ref="Y49:Y50"/>
    <mergeCell ref="AB49:AB50"/>
    <mergeCell ref="A47:A48"/>
    <mergeCell ref="C47:E47"/>
    <mergeCell ref="F47:H47"/>
    <mergeCell ref="I47:I48"/>
    <mergeCell ref="Q47:Q48"/>
    <mergeCell ref="Y47:Y48"/>
    <mergeCell ref="AA51:AA55"/>
    <mergeCell ref="AB51:AB55"/>
    <mergeCell ref="F52:H52"/>
    <mergeCell ref="F53:H53"/>
    <mergeCell ref="F54:H54"/>
    <mergeCell ref="F55:H55"/>
    <mergeCell ref="C50:E50"/>
    <mergeCell ref="F50:H50"/>
    <mergeCell ref="A51:A55"/>
    <mergeCell ref="C51:E55"/>
    <mergeCell ref="F51:H51"/>
    <mergeCell ref="Q51:Q55"/>
    <mergeCell ref="A56:A65"/>
    <mergeCell ref="C56:E60"/>
    <mergeCell ref="F56:H56"/>
    <mergeCell ref="Q56:Q65"/>
    <mergeCell ref="Y56:Y65"/>
    <mergeCell ref="Z56:Z65"/>
    <mergeCell ref="C61:E65"/>
    <mergeCell ref="F65:H65"/>
    <mergeCell ref="Y51:Y55"/>
    <mergeCell ref="Z51:Z55"/>
    <mergeCell ref="AA56:AA65"/>
    <mergeCell ref="AB56:AB65"/>
    <mergeCell ref="F57:H57"/>
    <mergeCell ref="F58:H58"/>
    <mergeCell ref="F59:H59"/>
    <mergeCell ref="F60:H60"/>
    <mergeCell ref="F61:H61"/>
    <mergeCell ref="F62:H62"/>
    <mergeCell ref="F63:H63"/>
    <mergeCell ref="F64:H64"/>
    <mergeCell ref="A76:A79"/>
    <mergeCell ref="C76:E79"/>
    <mergeCell ref="F76:H76"/>
    <mergeCell ref="Q76:Q79"/>
    <mergeCell ref="Y76:Y79"/>
    <mergeCell ref="AA66:AA70"/>
    <mergeCell ref="AB66:AB75"/>
    <mergeCell ref="F67:H67"/>
    <mergeCell ref="F68:H68"/>
    <mergeCell ref="F69:H69"/>
    <mergeCell ref="F70:H70"/>
    <mergeCell ref="F71:H71"/>
    <mergeCell ref="Y71:Y75"/>
    <mergeCell ref="Z71:Z75"/>
    <mergeCell ref="A66:A75"/>
    <mergeCell ref="C66:E70"/>
    <mergeCell ref="F66:H66"/>
    <mergeCell ref="Y66:Y70"/>
    <mergeCell ref="Z66:Z70"/>
    <mergeCell ref="C71:E75"/>
    <mergeCell ref="Z76:Z79"/>
    <mergeCell ref="AA76:AA79"/>
    <mergeCell ref="AB76:AB79"/>
    <mergeCell ref="F77:H77"/>
    <mergeCell ref="F78:H78"/>
    <mergeCell ref="F79:H79"/>
    <mergeCell ref="AA71:AA75"/>
    <mergeCell ref="F72:H72"/>
    <mergeCell ref="F73:H73"/>
    <mergeCell ref="F74:H74"/>
    <mergeCell ref="F75:H75"/>
    <mergeCell ref="Q66:Q75"/>
    <mergeCell ref="Y80:Y82"/>
    <mergeCell ref="Z80:Z82"/>
    <mergeCell ref="AA80:AA82"/>
    <mergeCell ref="AB80:AB82"/>
    <mergeCell ref="Q80:Q82"/>
    <mergeCell ref="B84:C84"/>
    <mergeCell ref="F84:H84"/>
    <mergeCell ref="C81:E81"/>
    <mergeCell ref="F81:H81"/>
    <mergeCell ref="C82:E82"/>
    <mergeCell ref="F82:H82"/>
    <mergeCell ref="B83:C83"/>
    <mergeCell ref="C80:E80"/>
    <mergeCell ref="F80:H8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5" orientation="portrait" r:id="rId1"/>
  <headerFooter alignWithMargins="0"/>
  <rowBreaks count="1" manualBreakCount="1">
    <brk id="55" max="27" man="1"/>
  </rowBreaks>
  <colBreaks count="1" manualBreakCount="1">
    <brk id="2" max="4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932F-233C-4D9C-8A23-6D4E1553661F}">
  <sheetPr>
    <pageSetUpPr fitToPage="1"/>
  </sheetPr>
  <dimension ref="A1:AF112"/>
  <sheetViews>
    <sheetView view="pageBreakPreview" zoomScale="75" zoomScaleNormal="100" zoomScaleSheetLayoutView="75" workbookViewId="0">
      <selection activeCell="AA26" sqref="AA26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152</v>
      </c>
      <c r="C2" s="548"/>
      <c r="D2" s="548"/>
      <c r="E2" s="548"/>
      <c r="F2" s="548"/>
      <c r="G2" s="549"/>
      <c r="H2" s="180" t="s">
        <v>1</v>
      </c>
      <c r="I2" s="550">
        <f>I11</f>
        <v>1678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105</v>
      </c>
      <c r="B5" s="480"/>
      <c r="C5" s="182">
        <v>240</v>
      </c>
      <c r="D5" s="182">
        <v>230</v>
      </c>
      <c r="E5" s="182">
        <v>54</v>
      </c>
      <c r="F5" s="182"/>
      <c r="G5" s="182"/>
      <c r="H5" s="542" t="s">
        <v>24</v>
      </c>
      <c r="I5" s="524">
        <f t="shared" ref="I5:I11" si="0">SUM(C5:G5)</f>
        <v>524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153</v>
      </c>
      <c r="B6" s="523"/>
      <c r="C6" s="182">
        <v>270</v>
      </c>
      <c r="D6" s="182">
        <v>250</v>
      </c>
      <c r="E6" s="182">
        <v>65</v>
      </c>
      <c r="F6" s="182"/>
      <c r="G6" s="182"/>
      <c r="H6" s="537"/>
      <c r="I6" s="524">
        <f t="shared" si="0"/>
        <v>585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 t="s">
        <v>98</v>
      </c>
      <c r="B7" s="531"/>
      <c r="C7" s="183">
        <v>260</v>
      </c>
      <c r="D7" s="183">
        <v>250</v>
      </c>
      <c r="E7" s="183">
        <v>59</v>
      </c>
      <c r="F7" s="183"/>
      <c r="G7" s="183"/>
      <c r="H7" s="532"/>
      <c r="I7" s="532">
        <f t="shared" si="0"/>
        <v>569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45915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770</v>
      </c>
      <c r="D11" s="181">
        <f>SUM(D5:D10)</f>
        <v>730</v>
      </c>
      <c r="E11" s="181">
        <f>SUM(E5:E10)</f>
        <v>178</v>
      </c>
      <c r="F11" s="181">
        <f>SUM(F5:F10)</f>
        <v>0</v>
      </c>
      <c r="G11" s="181">
        <f>SUM(G5:G10)</f>
        <v>0</v>
      </c>
      <c r="H11" s="182"/>
      <c r="I11" s="481">
        <f t="shared" si="0"/>
        <v>1678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46024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785.4</v>
      </c>
      <c r="D12" s="43">
        <f>D11*1.02</f>
        <v>744.6</v>
      </c>
      <c r="E12" s="43">
        <f>E11*1.02</f>
        <v>181.56</v>
      </c>
      <c r="F12" s="43">
        <f>F11*1.02</f>
        <v>0</v>
      </c>
      <c r="G12" s="43">
        <f>G11*1.02</f>
        <v>0</v>
      </c>
      <c r="H12" s="44"/>
      <c r="I12" s="486">
        <f>I11*1.02</f>
        <v>1711.56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6" si="1">$I$5</f>
        <v>524</v>
      </c>
      <c r="C15" s="474" t="str">
        <f t="shared" ref="C15:C26" si="2">$A$5</f>
        <v>BE</v>
      </c>
      <c r="D15" s="475"/>
      <c r="E15" s="476"/>
      <c r="F15" s="474"/>
      <c r="G15" s="475"/>
      <c r="H15" s="476"/>
      <c r="I15" s="297" t="s">
        <v>58</v>
      </c>
      <c r="J15" s="65" t="s">
        <v>6</v>
      </c>
      <c r="K15" s="66">
        <v>1.59</v>
      </c>
      <c r="L15" s="67" t="s">
        <v>7</v>
      </c>
      <c r="M15" s="68">
        <f>K15*B15</f>
        <v>833.16000000000008</v>
      </c>
      <c r="N15" s="69"/>
      <c r="O15" s="70"/>
      <c r="P15" s="67" t="s">
        <v>7</v>
      </c>
      <c r="Q15" s="478">
        <v>45923</v>
      </c>
      <c r="R15" s="293">
        <v>834</v>
      </c>
      <c r="S15" s="71" t="s">
        <v>7</v>
      </c>
      <c r="T15" s="123">
        <f t="shared" ref="T15:T100" si="3">R15-M15</f>
        <v>0.83999999999991815</v>
      </c>
      <c r="U15" s="72"/>
      <c r="V15" s="72"/>
      <c r="W15" s="73"/>
      <c r="X15" s="74"/>
      <c r="Y15" s="479" t="s">
        <v>138</v>
      </c>
      <c r="Z15" s="63"/>
      <c r="AA15" s="64"/>
      <c r="AB15" s="360" t="s">
        <v>165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585</v>
      </c>
      <c r="C16" s="368" t="str">
        <f>$A$6</f>
        <v>GR</v>
      </c>
      <c r="D16" s="369"/>
      <c r="E16" s="370"/>
      <c r="F16" s="368"/>
      <c r="G16" s="369"/>
      <c r="H16" s="370"/>
      <c r="I16" s="296" t="s">
        <v>99</v>
      </c>
      <c r="J16" s="76" t="s">
        <v>6</v>
      </c>
      <c r="K16" s="83">
        <v>1.6</v>
      </c>
      <c r="L16" s="77" t="s">
        <v>7</v>
      </c>
      <c r="M16" s="78">
        <f t="shared" ref="M16" si="4">K16*B16</f>
        <v>936</v>
      </c>
      <c r="N16" s="79"/>
      <c r="O16" s="128"/>
      <c r="P16" s="77" t="s">
        <v>7</v>
      </c>
      <c r="Q16" s="447"/>
      <c r="R16" s="137">
        <v>937</v>
      </c>
      <c r="S16" s="75" t="s">
        <v>7</v>
      </c>
      <c r="T16" s="81">
        <f t="shared" ref="T16" si="5">R16-M16</f>
        <v>1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569</v>
      </c>
      <c r="C17" s="368" t="str">
        <f>$A$7</f>
        <v>BK</v>
      </c>
      <c r="D17" s="369"/>
      <c r="E17" s="370"/>
      <c r="F17" s="368"/>
      <c r="G17" s="369"/>
      <c r="H17" s="370"/>
      <c r="I17" s="296" t="s">
        <v>58</v>
      </c>
      <c r="J17" s="76" t="s">
        <v>6</v>
      </c>
      <c r="K17" s="83">
        <v>1.59</v>
      </c>
      <c r="L17" s="77" t="s">
        <v>7</v>
      </c>
      <c r="M17" s="78">
        <f t="shared" ref="M17:M100" si="6">K17*B17</f>
        <v>904.71</v>
      </c>
      <c r="N17" s="79"/>
      <c r="O17" s="128"/>
      <c r="P17" s="77" t="s">
        <v>7</v>
      </c>
      <c r="Q17" s="444"/>
      <c r="R17" s="137">
        <v>905</v>
      </c>
      <c r="S17" s="75" t="s">
        <v>7</v>
      </c>
      <c r="T17" s="81">
        <f t="shared" si="3"/>
        <v>0.28999999999996362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524</v>
      </c>
      <c r="C18" s="461" t="str">
        <f t="shared" si="2"/>
        <v>BE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6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585</v>
      </c>
      <c r="C19" s="461" t="str">
        <f>$A$6</f>
        <v>GR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6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7">$I$5</f>
        <v>524</v>
      </c>
      <c r="C20" s="465" t="str">
        <f t="shared" ref="C20" si="8">$A$5</f>
        <v>BE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>
        <v>7.0000000000000007E-2</v>
      </c>
      <c r="L20" s="194" t="s">
        <v>7</v>
      </c>
      <c r="M20" s="195">
        <f t="shared" si="6"/>
        <v>36.680000000000007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-36.680000000000007</v>
      </c>
      <c r="U20" s="199"/>
      <c r="V20" s="200"/>
      <c r="W20" s="195"/>
      <c r="X20" s="195"/>
      <c r="Y20" s="437" t="s">
        <v>93</v>
      </c>
      <c r="Z20" s="235"/>
      <c r="AA20" s="202"/>
      <c r="AB20" s="439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585</v>
      </c>
      <c r="C21" s="465" t="str">
        <f>$A$6</f>
        <v>GR</v>
      </c>
      <c r="D21" s="465"/>
      <c r="E21" s="465"/>
      <c r="F21" s="465"/>
      <c r="G21" s="465"/>
      <c r="H21" s="465"/>
      <c r="I21" s="560"/>
      <c r="J21" s="192" t="s">
        <v>6</v>
      </c>
      <c r="K21" s="209"/>
      <c r="L21" s="194" t="s">
        <v>7</v>
      </c>
      <c r="M21" s="195">
        <f t="shared" ref="M21" si="9">K21*B21</f>
        <v>0</v>
      </c>
      <c r="N21" s="196"/>
      <c r="O21" s="210"/>
      <c r="P21" s="194" t="s">
        <v>7</v>
      </c>
      <c r="Q21" s="561"/>
      <c r="R21" s="236"/>
      <c r="S21" s="207" t="s">
        <v>7</v>
      </c>
      <c r="T21" s="198">
        <f t="shared" ref="T21" si="10">R21-M21</f>
        <v>0</v>
      </c>
      <c r="U21" s="211"/>
      <c r="V21" s="211"/>
      <c r="W21" s="212"/>
      <c r="X21" s="213"/>
      <c r="Y21" s="562"/>
      <c r="Z21" s="214"/>
      <c r="AA21" s="202"/>
      <c r="AB21" s="55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569</v>
      </c>
      <c r="C22" s="465" t="str">
        <f>$A$7</f>
        <v>BK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6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440"/>
      <c r="AC22" s="229"/>
      <c r="AD22" s="230"/>
      <c r="AE22" s="230"/>
      <c r="AF22" s="230"/>
    </row>
    <row r="23" spans="1:32" s="55" customFormat="1" ht="69.95" customHeight="1" x14ac:dyDescent="0.15">
      <c r="A23" s="431" t="s">
        <v>85</v>
      </c>
      <c r="B23" s="182">
        <f t="shared" si="1"/>
        <v>524</v>
      </c>
      <c r="C23" s="461" t="str">
        <f t="shared" si="2"/>
        <v>BE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6"/>
        <v>136.24</v>
      </c>
      <c r="N23" s="79"/>
      <c r="O23" s="78"/>
      <c r="P23" s="80" t="s">
        <v>7</v>
      </c>
      <c r="Q23" s="443">
        <v>45926</v>
      </c>
      <c r="R23" s="78">
        <v>137</v>
      </c>
      <c r="S23" s="80" t="s">
        <v>7</v>
      </c>
      <c r="T23" s="81">
        <f t="shared" si="3"/>
        <v>0.75999999999999091</v>
      </c>
      <c r="U23" s="82"/>
      <c r="V23" s="137"/>
      <c r="W23" s="78"/>
      <c r="X23" s="78"/>
      <c r="Y23" s="445" t="s">
        <v>93</v>
      </c>
      <c r="Z23" s="138"/>
      <c r="AA23" s="135"/>
      <c r="AB23" s="360" t="s">
        <v>166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585</v>
      </c>
      <c r="C24" s="461" t="str">
        <f>$A$6</f>
        <v>GR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ref="M24" si="11">K24*B24</f>
        <v>152.1</v>
      </c>
      <c r="N24" s="79"/>
      <c r="O24" s="128"/>
      <c r="P24" s="77" t="s">
        <v>7</v>
      </c>
      <c r="Q24" s="447"/>
      <c r="R24" s="130">
        <v>153</v>
      </c>
      <c r="S24" s="75" t="s">
        <v>7</v>
      </c>
      <c r="T24" s="81">
        <f t="shared" ref="T24" si="12">R24-M24</f>
        <v>0.90000000000000568</v>
      </c>
      <c r="U24" s="131"/>
      <c r="V24" s="131"/>
      <c r="W24" s="132"/>
      <c r="X24" s="133"/>
      <c r="Y24" s="557"/>
      <c r="Z24" s="228"/>
      <c r="AA24" s="228"/>
      <c r="AB24" s="361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569</v>
      </c>
      <c r="C25" s="461" t="str">
        <f>$A$7</f>
        <v>BK</v>
      </c>
      <c r="D25" s="461"/>
      <c r="E25" s="461"/>
      <c r="F25" s="461"/>
      <c r="G25" s="461"/>
      <c r="H25" s="461"/>
      <c r="I25" s="442"/>
      <c r="J25" s="76" t="s">
        <v>6</v>
      </c>
      <c r="K25" s="136">
        <v>0.26</v>
      </c>
      <c r="L25" s="77" t="s">
        <v>7</v>
      </c>
      <c r="M25" s="78">
        <f t="shared" si="6"/>
        <v>147.94</v>
      </c>
      <c r="N25" s="79"/>
      <c r="O25" s="128"/>
      <c r="P25" s="77" t="s">
        <v>7</v>
      </c>
      <c r="Q25" s="444"/>
      <c r="R25" s="130">
        <v>148</v>
      </c>
      <c r="S25" s="75" t="s">
        <v>7</v>
      </c>
      <c r="T25" s="81">
        <f t="shared" si="3"/>
        <v>6.0000000000002274E-2</v>
      </c>
      <c r="U25" s="131"/>
      <c r="V25" s="131"/>
      <c r="W25" s="132"/>
      <c r="X25" s="133"/>
      <c r="Y25" s="446"/>
      <c r="Z25" s="228"/>
      <c r="AA25" s="228"/>
      <c r="AB25" s="362"/>
      <c r="AC25" s="178"/>
      <c r="AD25" s="179"/>
      <c r="AE25" s="179"/>
      <c r="AF25" s="179"/>
    </row>
    <row r="26" spans="1:32" s="176" customFormat="1" ht="69.95" customHeight="1" x14ac:dyDescent="0.15">
      <c r="A26" s="431" t="s">
        <v>107</v>
      </c>
      <c r="B26" s="239">
        <f t="shared" si="1"/>
        <v>524</v>
      </c>
      <c r="C26" s="456" t="str">
        <f t="shared" si="2"/>
        <v>BE</v>
      </c>
      <c r="D26" s="456"/>
      <c r="E26" s="456"/>
      <c r="F26" s="456"/>
      <c r="G26" s="456"/>
      <c r="H26" s="456"/>
      <c r="I26" s="457" t="s">
        <v>58</v>
      </c>
      <c r="J26" s="240" t="s">
        <v>6</v>
      </c>
      <c r="K26" s="241">
        <v>0.09</v>
      </c>
      <c r="L26" s="168" t="s">
        <v>7</v>
      </c>
      <c r="M26" s="242">
        <f t="shared" si="6"/>
        <v>47.16</v>
      </c>
      <c r="N26" s="243"/>
      <c r="O26" s="242"/>
      <c r="P26" s="244" t="s">
        <v>7</v>
      </c>
      <c r="Q26" s="376">
        <v>45926</v>
      </c>
      <c r="R26" s="245">
        <v>47</v>
      </c>
      <c r="S26" s="244" t="s">
        <v>7</v>
      </c>
      <c r="T26" s="245">
        <f t="shared" si="3"/>
        <v>-0.15999999999999659</v>
      </c>
      <c r="U26" s="246"/>
      <c r="V26" s="247"/>
      <c r="W26" s="242"/>
      <c r="X26" s="242"/>
      <c r="Y26" s="459" t="s">
        <v>59</v>
      </c>
      <c r="Z26" s="248"/>
      <c r="AA26" s="249"/>
      <c r="AB26" s="448" t="s">
        <v>167</v>
      </c>
      <c r="AC26" s="250"/>
      <c r="AD26" s="251"/>
      <c r="AE26" s="251"/>
      <c r="AF26" s="251"/>
    </row>
    <row r="27" spans="1:32" s="176" customFormat="1" ht="69.95" customHeight="1" x14ac:dyDescent="0.15">
      <c r="A27" s="559"/>
      <c r="B27" s="239">
        <f>$I$6</f>
        <v>585</v>
      </c>
      <c r="C27" s="456" t="str">
        <f>$A$6</f>
        <v>GR</v>
      </c>
      <c r="D27" s="456"/>
      <c r="E27" s="456"/>
      <c r="F27" s="456"/>
      <c r="G27" s="456"/>
      <c r="H27" s="456"/>
      <c r="I27" s="564"/>
      <c r="J27" s="240" t="s">
        <v>6</v>
      </c>
      <c r="K27" s="241">
        <v>0.09</v>
      </c>
      <c r="L27" s="168" t="s">
        <v>7</v>
      </c>
      <c r="M27" s="242">
        <f t="shared" ref="M27" si="13">K27*B27</f>
        <v>52.65</v>
      </c>
      <c r="N27" s="243"/>
      <c r="O27" s="253"/>
      <c r="P27" s="168" t="s">
        <v>7</v>
      </c>
      <c r="Q27" s="377"/>
      <c r="R27" s="254">
        <v>53</v>
      </c>
      <c r="S27" s="255" t="s">
        <v>7</v>
      </c>
      <c r="T27" s="245">
        <f t="shared" ref="T27" si="14">R27-M27</f>
        <v>0.35000000000000142</v>
      </c>
      <c r="U27" s="256"/>
      <c r="V27" s="256"/>
      <c r="W27" s="257"/>
      <c r="X27" s="258"/>
      <c r="Y27" s="565"/>
      <c r="Z27" s="259"/>
      <c r="AA27" s="249"/>
      <c r="AB27" s="449"/>
      <c r="AC27" s="250"/>
      <c r="AD27" s="251"/>
      <c r="AE27" s="251"/>
      <c r="AF27" s="251"/>
    </row>
    <row r="28" spans="1:32" s="176" customFormat="1" ht="69.95" customHeight="1" x14ac:dyDescent="0.15">
      <c r="A28" s="432"/>
      <c r="B28" s="239">
        <f>$I$7</f>
        <v>569</v>
      </c>
      <c r="C28" s="456" t="str">
        <f>$A$7</f>
        <v>BK</v>
      </c>
      <c r="D28" s="456"/>
      <c r="E28" s="456"/>
      <c r="F28" s="456"/>
      <c r="G28" s="456"/>
      <c r="H28" s="456"/>
      <c r="I28" s="458"/>
      <c r="J28" s="240" t="s">
        <v>6</v>
      </c>
      <c r="K28" s="241">
        <v>0.09</v>
      </c>
      <c r="L28" s="168" t="s">
        <v>7</v>
      </c>
      <c r="M28" s="242">
        <f t="shared" si="6"/>
        <v>51.21</v>
      </c>
      <c r="N28" s="243"/>
      <c r="O28" s="253"/>
      <c r="P28" s="168" t="s">
        <v>7</v>
      </c>
      <c r="Q28" s="378"/>
      <c r="R28" s="254">
        <v>51</v>
      </c>
      <c r="S28" s="255" t="s">
        <v>7</v>
      </c>
      <c r="T28" s="245">
        <f t="shared" si="3"/>
        <v>-0.21000000000000085</v>
      </c>
      <c r="U28" s="256"/>
      <c r="V28" s="256"/>
      <c r="W28" s="257"/>
      <c r="X28" s="258"/>
      <c r="Y28" s="460"/>
      <c r="Z28" s="259"/>
      <c r="AA28" s="249"/>
      <c r="AB28" s="449"/>
      <c r="AC28" s="250"/>
      <c r="AD28" s="251"/>
      <c r="AE28" s="251"/>
      <c r="AF28" s="251"/>
    </row>
    <row r="29" spans="1:32" s="261" customFormat="1" ht="69.95" customHeight="1" x14ac:dyDescent="0.15">
      <c r="A29" s="431" t="s">
        <v>108</v>
      </c>
      <c r="B29" s="239">
        <f>$I$5</f>
        <v>524</v>
      </c>
      <c r="C29" s="456" t="str">
        <f>$A$5</f>
        <v>BE</v>
      </c>
      <c r="D29" s="456"/>
      <c r="E29" s="456"/>
      <c r="F29" s="456"/>
      <c r="G29" s="456"/>
      <c r="H29" s="456"/>
      <c r="I29" s="457" t="s">
        <v>8</v>
      </c>
      <c r="J29" s="240" t="s">
        <v>6</v>
      </c>
      <c r="K29" s="241">
        <v>0.11</v>
      </c>
      <c r="L29" s="168" t="s">
        <v>7</v>
      </c>
      <c r="M29" s="242">
        <f>K29*B29</f>
        <v>57.64</v>
      </c>
      <c r="N29" s="243"/>
      <c r="O29" s="242"/>
      <c r="P29" s="244" t="s">
        <v>7</v>
      </c>
      <c r="Q29" s="376">
        <v>45926</v>
      </c>
      <c r="R29" s="242">
        <v>58</v>
      </c>
      <c r="S29" s="244" t="s">
        <v>9</v>
      </c>
      <c r="T29" s="245">
        <f t="shared" si="3"/>
        <v>0.35999999999999943</v>
      </c>
      <c r="U29" s="246"/>
      <c r="V29" s="247"/>
      <c r="W29" s="242"/>
      <c r="X29" s="242"/>
      <c r="Y29" s="459" t="s">
        <v>59</v>
      </c>
      <c r="Z29" s="260"/>
      <c r="AA29" s="249"/>
      <c r="AB29" s="449"/>
    </row>
    <row r="30" spans="1:32" s="261" customFormat="1" ht="69.95" customHeight="1" x14ac:dyDescent="0.15">
      <c r="A30" s="559"/>
      <c r="B30" s="239">
        <f>$I$6</f>
        <v>585</v>
      </c>
      <c r="C30" s="456" t="str">
        <f>$A$6</f>
        <v>GR</v>
      </c>
      <c r="D30" s="456"/>
      <c r="E30" s="456"/>
      <c r="F30" s="456"/>
      <c r="G30" s="456"/>
      <c r="H30" s="456"/>
      <c r="I30" s="564"/>
      <c r="J30" s="240" t="s">
        <v>6</v>
      </c>
      <c r="K30" s="241">
        <v>0.11</v>
      </c>
      <c r="L30" s="168" t="s">
        <v>7</v>
      </c>
      <c r="M30" s="242">
        <f>K30*B30</f>
        <v>64.349999999999994</v>
      </c>
      <c r="N30" s="243"/>
      <c r="O30" s="253"/>
      <c r="P30" s="168" t="s">
        <v>7</v>
      </c>
      <c r="Q30" s="377"/>
      <c r="R30" s="247">
        <v>64</v>
      </c>
      <c r="S30" s="255" t="s">
        <v>9</v>
      </c>
      <c r="T30" s="245">
        <f t="shared" ref="T30" si="15">R30-M30</f>
        <v>-0.34999999999999432</v>
      </c>
      <c r="U30" s="256"/>
      <c r="V30" s="256"/>
      <c r="W30" s="257"/>
      <c r="X30" s="258"/>
      <c r="Y30" s="565"/>
      <c r="Z30" s="259"/>
      <c r="AA30" s="249"/>
      <c r="AB30" s="449"/>
      <c r="AC30" s="462"/>
      <c r="AD30" s="463"/>
      <c r="AE30" s="463"/>
      <c r="AF30" s="463"/>
    </row>
    <row r="31" spans="1:32" s="261" customFormat="1" ht="69.95" customHeight="1" x14ac:dyDescent="0.15">
      <c r="A31" s="432"/>
      <c r="B31" s="239">
        <f>$I$7</f>
        <v>569</v>
      </c>
      <c r="C31" s="456" t="str">
        <f>$A$7</f>
        <v>BK</v>
      </c>
      <c r="D31" s="456"/>
      <c r="E31" s="456"/>
      <c r="F31" s="456"/>
      <c r="G31" s="456"/>
      <c r="H31" s="456"/>
      <c r="I31" s="458"/>
      <c r="J31" s="240" t="s">
        <v>6</v>
      </c>
      <c r="K31" s="241">
        <v>0.11</v>
      </c>
      <c r="L31" s="168" t="s">
        <v>7</v>
      </c>
      <c r="M31" s="242">
        <f>K31*B31</f>
        <v>62.59</v>
      </c>
      <c r="N31" s="243"/>
      <c r="O31" s="253"/>
      <c r="P31" s="168" t="s">
        <v>7</v>
      </c>
      <c r="Q31" s="378"/>
      <c r="R31" s="247">
        <v>63</v>
      </c>
      <c r="S31" s="255" t="s">
        <v>9</v>
      </c>
      <c r="T31" s="245">
        <f t="shared" si="3"/>
        <v>0.40999999999999659</v>
      </c>
      <c r="U31" s="256"/>
      <c r="V31" s="256"/>
      <c r="W31" s="257"/>
      <c r="X31" s="258"/>
      <c r="Y31" s="460"/>
      <c r="Z31" s="259"/>
      <c r="AA31" s="249"/>
      <c r="AB31" s="450"/>
      <c r="AC31" s="462"/>
      <c r="AD31" s="463"/>
      <c r="AE31" s="463"/>
      <c r="AF31" s="463"/>
    </row>
    <row r="32" spans="1:32" s="203" customFormat="1" ht="69.95" customHeight="1" x14ac:dyDescent="0.15">
      <c r="A32" s="464" t="s">
        <v>77</v>
      </c>
      <c r="B32" s="191">
        <f>$I$5</f>
        <v>524</v>
      </c>
      <c r="C32" s="465" t="str">
        <f>$A$5</f>
        <v>BE</v>
      </c>
      <c r="D32" s="465"/>
      <c r="E32" s="465"/>
      <c r="F32" s="465"/>
      <c r="G32" s="465"/>
      <c r="H32" s="465"/>
      <c r="I32" s="433" t="s">
        <v>110</v>
      </c>
      <c r="J32" s="192"/>
      <c r="K32" s="209">
        <v>1.8</v>
      </c>
      <c r="L32" s="194" t="s">
        <v>7</v>
      </c>
      <c r="M32" s="195">
        <f>K32*B32/100</f>
        <v>9.4320000000000004</v>
      </c>
      <c r="N32" s="196"/>
      <c r="O32" s="195"/>
      <c r="P32" s="197" t="s">
        <v>7</v>
      </c>
      <c r="Q32" s="435"/>
      <c r="R32" s="195"/>
      <c r="S32" s="197" t="s">
        <v>9</v>
      </c>
      <c r="T32" s="198">
        <f t="shared" si="3"/>
        <v>-9.4320000000000004</v>
      </c>
      <c r="U32" s="199"/>
      <c r="V32" s="200"/>
      <c r="W32" s="195"/>
      <c r="X32" s="195"/>
      <c r="Y32" s="437" t="s">
        <v>94</v>
      </c>
      <c r="Z32" s="201"/>
      <c r="AA32" s="202"/>
      <c r="AB32" s="439"/>
    </row>
    <row r="33" spans="1:32" s="203" customFormat="1" ht="69.95" customHeight="1" x14ac:dyDescent="0.15">
      <c r="A33" s="464"/>
      <c r="B33" s="191">
        <f>$I$6</f>
        <v>585</v>
      </c>
      <c r="C33" s="465" t="str">
        <f>$A$6</f>
        <v>GR</v>
      </c>
      <c r="D33" s="465"/>
      <c r="E33" s="465"/>
      <c r="F33" s="465"/>
      <c r="G33" s="465"/>
      <c r="H33" s="465"/>
      <c r="I33" s="560"/>
      <c r="J33" s="192"/>
      <c r="K33" s="208">
        <v>1.8</v>
      </c>
      <c r="L33" s="194" t="s">
        <v>7</v>
      </c>
      <c r="M33" s="195">
        <f>K33*B33/100</f>
        <v>10.53</v>
      </c>
      <c r="N33" s="196"/>
      <c r="O33" s="210"/>
      <c r="P33" s="194" t="s">
        <v>7</v>
      </c>
      <c r="Q33" s="561"/>
      <c r="R33" s="200"/>
      <c r="S33" s="207" t="s">
        <v>9</v>
      </c>
      <c r="T33" s="198">
        <f t="shared" ref="T33" si="16">R33-M33</f>
        <v>-10.53</v>
      </c>
      <c r="U33" s="211"/>
      <c r="V33" s="211"/>
      <c r="W33" s="212"/>
      <c r="X33" s="213"/>
      <c r="Y33" s="562"/>
      <c r="Z33" s="214"/>
      <c r="AA33" s="202"/>
      <c r="AB33" s="558"/>
      <c r="AC33" s="466"/>
      <c r="AD33" s="467"/>
      <c r="AE33" s="467"/>
      <c r="AF33" s="467"/>
    </row>
    <row r="34" spans="1:32" s="203" customFormat="1" ht="69.95" customHeight="1" x14ac:dyDescent="0.15">
      <c r="A34" s="464"/>
      <c r="B34" s="191">
        <f>$I$7</f>
        <v>569</v>
      </c>
      <c r="C34" s="465" t="str">
        <f>$A$7</f>
        <v>BK</v>
      </c>
      <c r="D34" s="465"/>
      <c r="E34" s="465"/>
      <c r="F34" s="465"/>
      <c r="G34" s="465"/>
      <c r="H34" s="465"/>
      <c r="I34" s="434"/>
      <c r="J34" s="192"/>
      <c r="K34" s="208">
        <v>1.8</v>
      </c>
      <c r="L34" s="194" t="s">
        <v>7</v>
      </c>
      <c r="M34" s="195">
        <f>K34*B34/100</f>
        <v>10.242000000000001</v>
      </c>
      <c r="N34" s="196"/>
      <c r="O34" s="210"/>
      <c r="P34" s="194" t="s">
        <v>7</v>
      </c>
      <c r="Q34" s="436"/>
      <c r="R34" s="200"/>
      <c r="S34" s="207" t="s">
        <v>9</v>
      </c>
      <c r="T34" s="198">
        <f t="shared" si="3"/>
        <v>-10.242000000000001</v>
      </c>
      <c r="U34" s="211"/>
      <c r="V34" s="211"/>
      <c r="W34" s="212"/>
      <c r="X34" s="213"/>
      <c r="Y34" s="438"/>
      <c r="Z34" s="214"/>
      <c r="AA34" s="202"/>
      <c r="AB34" s="440"/>
      <c r="AC34" s="466"/>
      <c r="AD34" s="467"/>
      <c r="AE34" s="467"/>
      <c r="AF34" s="467"/>
    </row>
    <row r="35" spans="1:32" s="261" customFormat="1" ht="69.95" customHeight="1" x14ac:dyDescent="0.15">
      <c r="A35" s="464" t="s">
        <v>86</v>
      </c>
      <c r="B35" s="239">
        <f>$I$5</f>
        <v>524</v>
      </c>
      <c r="C35" s="456" t="str">
        <f>$A$5</f>
        <v>BE</v>
      </c>
      <c r="D35" s="456"/>
      <c r="E35" s="456"/>
      <c r="F35" s="456"/>
      <c r="G35" s="456"/>
      <c r="H35" s="456"/>
      <c r="I35" s="457" t="s">
        <v>76</v>
      </c>
      <c r="J35" s="240"/>
      <c r="K35" s="241">
        <v>2.4</v>
      </c>
      <c r="L35" s="168" t="s">
        <v>7</v>
      </c>
      <c r="M35" s="242">
        <f t="shared" ref="M35:M40" si="17">K35*B35/50</f>
        <v>25.151999999999997</v>
      </c>
      <c r="N35" s="243"/>
      <c r="O35" s="242"/>
      <c r="P35" s="244" t="s">
        <v>7</v>
      </c>
      <c r="Q35" s="376">
        <v>45926</v>
      </c>
      <c r="R35" s="242">
        <v>26</v>
      </c>
      <c r="S35" s="244" t="s">
        <v>9</v>
      </c>
      <c r="T35" s="245">
        <f t="shared" si="3"/>
        <v>0.84800000000000253</v>
      </c>
      <c r="U35" s="246"/>
      <c r="V35" s="247"/>
      <c r="W35" s="242"/>
      <c r="X35" s="242"/>
      <c r="Y35" s="459" t="s">
        <v>94</v>
      </c>
      <c r="Z35" s="260"/>
      <c r="AA35" s="249"/>
      <c r="AB35" s="448" t="s">
        <v>166</v>
      </c>
    </row>
    <row r="36" spans="1:32" s="261" customFormat="1" ht="69.95" customHeight="1" x14ac:dyDescent="0.15">
      <c r="A36" s="464"/>
      <c r="B36" s="239">
        <f>$I$6</f>
        <v>585</v>
      </c>
      <c r="C36" s="456" t="str">
        <f>$A$6</f>
        <v>GR</v>
      </c>
      <c r="D36" s="456"/>
      <c r="E36" s="456"/>
      <c r="F36" s="456"/>
      <c r="G36" s="456"/>
      <c r="H36" s="456"/>
      <c r="I36" s="564"/>
      <c r="J36" s="240"/>
      <c r="K36" s="262">
        <v>2.4</v>
      </c>
      <c r="L36" s="168" t="s">
        <v>7</v>
      </c>
      <c r="M36" s="242">
        <f t="shared" si="17"/>
        <v>28.08</v>
      </c>
      <c r="N36" s="243"/>
      <c r="O36" s="253"/>
      <c r="P36" s="168" t="s">
        <v>7</v>
      </c>
      <c r="Q36" s="377"/>
      <c r="R36" s="247">
        <v>29</v>
      </c>
      <c r="S36" s="255" t="s">
        <v>9</v>
      </c>
      <c r="T36" s="245">
        <f t="shared" ref="T36" si="18">R36-M36</f>
        <v>0.92000000000000171</v>
      </c>
      <c r="U36" s="256"/>
      <c r="V36" s="256"/>
      <c r="W36" s="257"/>
      <c r="X36" s="258"/>
      <c r="Y36" s="565"/>
      <c r="Z36" s="259"/>
      <c r="AA36" s="249"/>
      <c r="AB36" s="449"/>
      <c r="AC36" s="462"/>
      <c r="AD36" s="463"/>
      <c r="AE36" s="463"/>
      <c r="AF36" s="463"/>
    </row>
    <row r="37" spans="1:32" s="261" customFormat="1" ht="69.95" customHeight="1" x14ac:dyDescent="0.15">
      <c r="A37" s="464"/>
      <c r="B37" s="239">
        <f>$I$7</f>
        <v>569</v>
      </c>
      <c r="C37" s="456" t="str">
        <f>$A$7</f>
        <v>BK</v>
      </c>
      <c r="D37" s="456"/>
      <c r="E37" s="456"/>
      <c r="F37" s="456"/>
      <c r="G37" s="456"/>
      <c r="H37" s="456"/>
      <c r="I37" s="458"/>
      <c r="J37" s="240"/>
      <c r="K37" s="262">
        <v>2.4</v>
      </c>
      <c r="L37" s="168" t="s">
        <v>7</v>
      </c>
      <c r="M37" s="242">
        <f t="shared" si="17"/>
        <v>27.311999999999998</v>
      </c>
      <c r="N37" s="243"/>
      <c r="O37" s="253"/>
      <c r="P37" s="168" t="s">
        <v>7</v>
      </c>
      <c r="Q37" s="378"/>
      <c r="R37" s="247">
        <v>28</v>
      </c>
      <c r="S37" s="255" t="s">
        <v>9</v>
      </c>
      <c r="T37" s="245">
        <f t="shared" si="3"/>
        <v>0.68800000000000239</v>
      </c>
      <c r="U37" s="256"/>
      <c r="V37" s="256"/>
      <c r="W37" s="257"/>
      <c r="X37" s="258"/>
      <c r="Y37" s="460"/>
      <c r="Z37" s="259"/>
      <c r="AA37" s="249"/>
      <c r="AB37" s="450"/>
      <c r="AC37" s="462"/>
      <c r="AD37" s="463"/>
      <c r="AE37" s="463"/>
      <c r="AF37" s="463"/>
    </row>
    <row r="38" spans="1:32" s="203" customFormat="1" ht="69.95" customHeight="1" x14ac:dyDescent="0.15">
      <c r="A38" s="464" t="s">
        <v>116</v>
      </c>
      <c r="B38" s="191">
        <f>$I$5</f>
        <v>524</v>
      </c>
      <c r="C38" s="465" t="str">
        <f>$A$5</f>
        <v>BE</v>
      </c>
      <c r="D38" s="465"/>
      <c r="E38" s="465"/>
      <c r="F38" s="465"/>
      <c r="G38" s="465"/>
      <c r="H38" s="465"/>
      <c r="I38" s="433" t="s">
        <v>76</v>
      </c>
      <c r="J38" s="192"/>
      <c r="K38" s="209">
        <v>2.4</v>
      </c>
      <c r="L38" s="194" t="s">
        <v>7</v>
      </c>
      <c r="M38" s="195">
        <f t="shared" si="17"/>
        <v>25.151999999999997</v>
      </c>
      <c r="N38" s="196"/>
      <c r="O38" s="195"/>
      <c r="P38" s="197" t="s">
        <v>7</v>
      </c>
      <c r="Q38" s="435"/>
      <c r="R38" s="195"/>
      <c r="S38" s="197" t="s">
        <v>9</v>
      </c>
      <c r="T38" s="198">
        <f t="shared" si="3"/>
        <v>-25.151999999999997</v>
      </c>
      <c r="U38" s="199"/>
      <c r="V38" s="200"/>
      <c r="W38" s="195"/>
      <c r="X38" s="195"/>
      <c r="Y38" s="437" t="s">
        <v>94</v>
      </c>
      <c r="Z38" s="201"/>
      <c r="AA38" s="202"/>
      <c r="AB38" s="439"/>
    </row>
    <row r="39" spans="1:32" s="203" customFormat="1" ht="69.95" customHeight="1" x14ac:dyDescent="0.15">
      <c r="A39" s="464"/>
      <c r="B39" s="191">
        <f>$I$6</f>
        <v>585</v>
      </c>
      <c r="C39" s="465" t="str">
        <f>$A$6</f>
        <v>GR</v>
      </c>
      <c r="D39" s="465"/>
      <c r="E39" s="465"/>
      <c r="F39" s="465"/>
      <c r="G39" s="465"/>
      <c r="H39" s="465"/>
      <c r="I39" s="560"/>
      <c r="J39" s="192"/>
      <c r="K39" s="208">
        <v>2.4</v>
      </c>
      <c r="L39" s="194" t="s">
        <v>7</v>
      </c>
      <c r="M39" s="195">
        <f t="shared" si="17"/>
        <v>28.08</v>
      </c>
      <c r="N39" s="196"/>
      <c r="O39" s="210"/>
      <c r="P39" s="194" t="s">
        <v>7</v>
      </c>
      <c r="Q39" s="561"/>
      <c r="R39" s="200"/>
      <c r="S39" s="207" t="s">
        <v>9</v>
      </c>
      <c r="T39" s="198">
        <f t="shared" ref="T39" si="19">R39-M39</f>
        <v>-28.08</v>
      </c>
      <c r="U39" s="211"/>
      <c r="V39" s="211"/>
      <c r="W39" s="212"/>
      <c r="X39" s="213"/>
      <c r="Y39" s="562"/>
      <c r="Z39" s="214"/>
      <c r="AA39" s="202"/>
      <c r="AB39" s="558"/>
      <c r="AC39" s="466"/>
      <c r="AD39" s="467"/>
      <c r="AE39" s="467"/>
      <c r="AF39" s="467"/>
    </row>
    <row r="40" spans="1:32" s="203" customFormat="1" ht="69.95" customHeight="1" x14ac:dyDescent="0.15">
      <c r="A40" s="464"/>
      <c r="B40" s="191">
        <f>$I$7</f>
        <v>569</v>
      </c>
      <c r="C40" s="465" t="str">
        <f>$A$7</f>
        <v>BK</v>
      </c>
      <c r="D40" s="465"/>
      <c r="E40" s="465"/>
      <c r="F40" s="465"/>
      <c r="G40" s="465"/>
      <c r="H40" s="465"/>
      <c r="I40" s="434"/>
      <c r="J40" s="192"/>
      <c r="K40" s="208">
        <v>2.4</v>
      </c>
      <c r="L40" s="194" t="s">
        <v>7</v>
      </c>
      <c r="M40" s="195">
        <f t="shared" si="17"/>
        <v>27.311999999999998</v>
      </c>
      <c r="N40" s="196"/>
      <c r="O40" s="210"/>
      <c r="P40" s="194" t="s">
        <v>7</v>
      </c>
      <c r="Q40" s="436"/>
      <c r="R40" s="200"/>
      <c r="S40" s="207" t="s">
        <v>9</v>
      </c>
      <c r="T40" s="198">
        <f t="shared" si="3"/>
        <v>-27.311999999999998</v>
      </c>
      <c r="U40" s="211"/>
      <c r="V40" s="211"/>
      <c r="W40" s="212"/>
      <c r="X40" s="213"/>
      <c r="Y40" s="438"/>
      <c r="Z40" s="214"/>
      <c r="AA40" s="202"/>
      <c r="AB40" s="440"/>
      <c r="AC40" s="466"/>
      <c r="AD40" s="467"/>
      <c r="AE40" s="467"/>
      <c r="AF40" s="467"/>
    </row>
    <row r="41" spans="1:32" s="261" customFormat="1" ht="69.95" customHeight="1" x14ac:dyDescent="0.15">
      <c r="A41" s="431" t="s">
        <v>155</v>
      </c>
      <c r="B41" s="239">
        <f>$I$5</f>
        <v>524</v>
      </c>
      <c r="C41" s="456" t="str">
        <f>$A$5</f>
        <v>BE</v>
      </c>
      <c r="D41" s="456"/>
      <c r="E41" s="456"/>
      <c r="F41" s="456" t="str">
        <f>$A$5</f>
        <v>BE</v>
      </c>
      <c r="G41" s="456"/>
      <c r="H41" s="456"/>
      <c r="I41" s="457" t="s">
        <v>60</v>
      </c>
      <c r="J41" s="240"/>
      <c r="K41" s="263">
        <v>220</v>
      </c>
      <c r="L41" s="168" t="s">
        <v>61</v>
      </c>
      <c r="M41" s="242">
        <f>K41*B41/4000</f>
        <v>28.82</v>
      </c>
      <c r="N41" s="243"/>
      <c r="O41" s="242"/>
      <c r="P41" s="244" t="s">
        <v>10</v>
      </c>
      <c r="Q41" s="376">
        <v>45926</v>
      </c>
      <c r="R41" s="242">
        <v>29</v>
      </c>
      <c r="S41" s="244" t="s">
        <v>10</v>
      </c>
      <c r="T41" s="245">
        <f t="shared" si="3"/>
        <v>0.17999999999999972</v>
      </c>
      <c r="U41" s="246"/>
      <c r="V41" s="247"/>
      <c r="W41" s="242"/>
      <c r="X41" s="242"/>
      <c r="Y41" s="459" t="s">
        <v>94</v>
      </c>
      <c r="Z41" s="260"/>
      <c r="AA41" s="249"/>
      <c r="AB41" s="448" t="s">
        <v>167</v>
      </c>
    </row>
    <row r="42" spans="1:32" s="176" customFormat="1" ht="69.95" customHeight="1" x14ac:dyDescent="0.15">
      <c r="A42" s="559"/>
      <c r="B42" s="264">
        <f>$I$6</f>
        <v>585</v>
      </c>
      <c r="C42" s="413" t="str">
        <f>$A$6</f>
        <v>GR</v>
      </c>
      <c r="D42" s="414"/>
      <c r="E42" s="415"/>
      <c r="F42" s="413" t="str">
        <f>$A$6</f>
        <v>GR</v>
      </c>
      <c r="G42" s="414"/>
      <c r="H42" s="415"/>
      <c r="I42" s="564"/>
      <c r="J42" s="265"/>
      <c r="K42" s="263">
        <v>220</v>
      </c>
      <c r="L42" s="266" t="s">
        <v>61</v>
      </c>
      <c r="M42" s="242">
        <f>K42*B42/4000</f>
        <v>32.174999999999997</v>
      </c>
      <c r="N42" s="267"/>
      <c r="O42" s="268"/>
      <c r="P42" s="266" t="s">
        <v>10</v>
      </c>
      <c r="Q42" s="377"/>
      <c r="R42" s="269">
        <v>33</v>
      </c>
      <c r="S42" s="252" t="s">
        <v>10</v>
      </c>
      <c r="T42" s="270">
        <f t="shared" ref="T42" si="20">R42-M42</f>
        <v>0.82500000000000284</v>
      </c>
      <c r="U42" s="271"/>
      <c r="V42" s="271"/>
      <c r="W42" s="272"/>
      <c r="X42" s="273"/>
      <c r="Y42" s="565"/>
      <c r="Z42" s="274"/>
      <c r="AA42" s="275"/>
      <c r="AB42" s="449"/>
      <c r="AC42" s="451"/>
      <c r="AD42" s="452"/>
      <c r="AE42" s="452"/>
      <c r="AF42" s="452"/>
    </row>
    <row r="43" spans="1:32" s="176" customFormat="1" ht="69.95" customHeight="1" x14ac:dyDescent="0.15">
      <c r="A43" s="432"/>
      <c r="B43" s="239">
        <f>$I$7</f>
        <v>569</v>
      </c>
      <c r="C43" s="456" t="str">
        <f>$A$7</f>
        <v>BK</v>
      </c>
      <c r="D43" s="456"/>
      <c r="E43" s="456"/>
      <c r="F43" s="413" t="str">
        <f>$A$7</f>
        <v>BK</v>
      </c>
      <c r="G43" s="414"/>
      <c r="H43" s="415"/>
      <c r="I43" s="458"/>
      <c r="J43" s="265"/>
      <c r="K43" s="263">
        <v>220</v>
      </c>
      <c r="L43" s="266" t="s">
        <v>61</v>
      </c>
      <c r="M43" s="242">
        <f>K43*B43/4000</f>
        <v>31.295000000000002</v>
      </c>
      <c r="N43" s="267"/>
      <c r="O43" s="268"/>
      <c r="P43" s="266" t="s">
        <v>10</v>
      </c>
      <c r="Q43" s="377"/>
      <c r="R43" s="269">
        <v>32</v>
      </c>
      <c r="S43" s="252" t="s">
        <v>10</v>
      </c>
      <c r="T43" s="270">
        <f t="shared" si="3"/>
        <v>0.70499999999999829</v>
      </c>
      <c r="U43" s="271"/>
      <c r="V43" s="271"/>
      <c r="W43" s="272"/>
      <c r="X43" s="273"/>
      <c r="Y43" s="460"/>
      <c r="Z43" s="274"/>
      <c r="AA43" s="275"/>
      <c r="AB43" s="449"/>
      <c r="AC43" s="451"/>
      <c r="AD43" s="452"/>
      <c r="AE43" s="452"/>
      <c r="AF43" s="452"/>
    </row>
    <row r="44" spans="1:32" s="261" customFormat="1" ht="69.95" customHeight="1" x14ac:dyDescent="0.15">
      <c r="A44" s="431" t="s">
        <v>156</v>
      </c>
      <c r="B44" s="239">
        <f>$I$5</f>
        <v>524</v>
      </c>
      <c r="C44" s="456" t="str">
        <f>$A$5</f>
        <v>BE</v>
      </c>
      <c r="D44" s="456"/>
      <c r="E44" s="456"/>
      <c r="F44" s="456" t="str">
        <f>$A$5</f>
        <v>BE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21">K44*B44/2500</f>
        <v>27.248000000000001</v>
      </c>
      <c r="N44" s="243"/>
      <c r="O44" s="242"/>
      <c r="P44" s="244" t="s">
        <v>10</v>
      </c>
      <c r="Q44" s="377"/>
      <c r="R44" s="242">
        <v>28</v>
      </c>
      <c r="S44" s="244" t="s">
        <v>10</v>
      </c>
      <c r="T44" s="245">
        <f t="shared" si="3"/>
        <v>0.75199999999999889</v>
      </c>
      <c r="U44" s="246"/>
      <c r="V44" s="247"/>
      <c r="W44" s="242"/>
      <c r="X44" s="242"/>
      <c r="Y44" s="459" t="s">
        <v>94</v>
      </c>
      <c r="Z44" s="260"/>
      <c r="AA44" s="249"/>
      <c r="AB44" s="449"/>
    </row>
    <row r="45" spans="1:32" s="176" customFormat="1" ht="69.95" customHeight="1" x14ac:dyDescent="0.15">
      <c r="A45" s="559"/>
      <c r="B45" s="264">
        <f>$I$6</f>
        <v>585</v>
      </c>
      <c r="C45" s="413" t="str">
        <f>$A$6</f>
        <v>GR</v>
      </c>
      <c r="D45" s="414"/>
      <c r="E45" s="415"/>
      <c r="F45" s="413" t="str">
        <f>$A$6</f>
        <v>GR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ref="M45" si="22">K45*B45/2500</f>
        <v>30.42</v>
      </c>
      <c r="N45" s="267"/>
      <c r="O45" s="268"/>
      <c r="P45" s="266" t="s">
        <v>10</v>
      </c>
      <c r="Q45" s="377"/>
      <c r="R45" s="269">
        <v>31</v>
      </c>
      <c r="S45" s="252" t="s">
        <v>10</v>
      </c>
      <c r="T45" s="270">
        <f t="shared" ref="T45" si="23">R45-M45</f>
        <v>0.57999999999999829</v>
      </c>
      <c r="U45" s="271"/>
      <c r="V45" s="271"/>
      <c r="W45" s="272"/>
      <c r="X45" s="273"/>
      <c r="Y45" s="565"/>
      <c r="Z45" s="274"/>
      <c r="AA45" s="275"/>
      <c r="AB45" s="449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569</v>
      </c>
      <c r="C46" s="456" t="str">
        <f>$A$7</f>
        <v>BK</v>
      </c>
      <c r="D46" s="456"/>
      <c r="E46" s="456"/>
      <c r="F46" s="413" t="str">
        <f>$A$7</f>
        <v>BK</v>
      </c>
      <c r="G46" s="414"/>
      <c r="H46" s="415"/>
      <c r="I46" s="458"/>
      <c r="J46" s="265"/>
      <c r="K46" s="263">
        <v>130</v>
      </c>
      <c r="L46" s="266" t="s">
        <v>61</v>
      </c>
      <c r="M46" s="242">
        <f t="shared" si="21"/>
        <v>29.588000000000001</v>
      </c>
      <c r="N46" s="267"/>
      <c r="O46" s="268"/>
      <c r="P46" s="266" t="s">
        <v>10</v>
      </c>
      <c r="Q46" s="377"/>
      <c r="R46" s="269">
        <v>30</v>
      </c>
      <c r="S46" s="252" t="s">
        <v>10</v>
      </c>
      <c r="T46" s="270">
        <f t="shared" si="3"/>
        <v>0.41199999999999903</v>
      </c>
      <c r="U46" s="271"/>
      <c r="V46" s="271"/>
      <c r="W46" s="272"/>
      <c r="X46" s="273"/>
      <c r="Y46" s="460"/>
      <c r="Z46" s="274"/>
      <c r="AA46" s="275"/>
      <c r="AB46" s="449"/>
      <c r="AC46" s="451"/>
      <c r="AD46" s="452"/>
      <c r="AE46" s="452"/>
      <c r="AF46" s="452"/>
    </row>
    <row r="47" spans="1:32" s="261" customFormat="1" ht="69.95" customHeight="1" x14ac:dyDescent="0.15">
      <c r="A47" s="431" t="s">
        <v>168</v>
      </c>
      <c r="B47" s="182">
        <f>$I$5</f>
        <v>524</v>
      </c>
      <c r="C47" s="461" t="str">
        <f>$A$5</f>
        <v>BE</v>
      </c>
      <c r="D47" s="461"/>
      <c r="E47" s="461"/>
      <c r="F47" s="461" t="str">
        <f>$A$5</f>
        <v>BE</v>
      </c>
      <c r="G47" s="461"/>
      <c r="H47" s="461"/>
      <c r="I47" s="441" t="s">
        <v>60</v>
      </c>
      <c r="J47" s="76"/>
      <c r="K47" s="139">
        <v>10</v>
      </c>
      <c r="L47" s="77" t="s">
        <v>61</v>
      </c>
      <c r="M47" s="78">
        <f>K47*B47/4000</f>
        <v>1.31</v>
      </c>
      <c r="N47" s="79"/>
      <c r="O47" s="78"/>
      <c r="P47" s="80" t="s">
        <v>10</v>
      </c>
      <c r="Q47" s="377"/>
      <c r="R47" s="78">
        <v>2</v>
      </c>
      <c r="S47" s="80" t="s">
        <v>10</v>
      </c>
      <c r="T47" s="81">
        <f t="shared" si="3"/>
        <v>0.69</v>
      </c>
      <c r="U47" s="82"/>
      <c r="V47" s="137"/>
      <c r="W47" s="78"/>
      <c r="X47" s="78"/>
      <c r="Y47" s="445" t="s">
        <v>94</v>
      </c>
      <c r="Z47" s="141"/>
      <c r="AA47" s="135"/>
      <c r="AB47" s="449"/>
    </row>
    <row r="48" spans="1:32" s="176" customFormat="1" ht="69.95" customHeight="1" x14ac:dyDescent="0.15">
      <c r="A48" s="559"/>
      <c r="B48" s="186">
        <f>$I$6</f>
        <v>585</v>
      </c>
      <c r="C48" s="395" t="str">
        <f>$A$6</f>
        <v>GR</v>
      </c>
      <c r="D48" s="396"/>
      <c r="E48" s="397"/>
      <c r="F48" s="395" t="str">
        <f>$A$6</f>
        <v>GR</v>
      </c>
      <c r="G48" s="396"/>
      <c r="H48" s="397"/>
      <c r="I48" s="563"/>
      <c r="J48" s="144"/>
      <c r="K48" s="139">
        <v>10</v>
      </c>
      <c r="L48" s="145" t="s">
        <v>61</v>
      </c>
      <c r="M48" s="78">
        <f>K48*B48/4000</f>
        <v>1.4624999999999999</v>
      </c>
      <c r="N48" s="146"/>
      <c r="O48" s="147"/>
      <c r="P48" s="145" t="s">
        <v>10</v>
      </c>
      <c r="Q48" s="377"/>
      <c r="R48" s="161">
        <v>2</v>
      </c>
      <c r="S48" s="148" t="s">
        <v>10</v>
      </c>
      <c r="T48" s="84">
        <f t="shared" ref="T48" si="24">R48-M48</f>
        <v>0.53750000000000009</v>
      </c>
      <c r="U48" s="149"/>
      <c r="V48" s="149"/>
      <c r="W48" s="150"/>
      <c r="X48" s="151"/>
      <c r="Y48" s="557"/>
      <c r="Z48" s="216"/>
      <c r="AA48" s="217"/>
      <c r="AB48" s="449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182">
        <f>$I$7</f>
        <v>569</v>
      </c>
      <c r="C49" s="461" t="str">
        <f>$A$7</f>
        <v>BK</v>
      </c>
      <c r="D49" s="461"/>
      <c r="E49" s="461"/>
      <c r="F49" s="395" t="str">
        <f>$A$6</f>
        <v>GR</v>
      </c>
      <c r="G49" s="396"/>
      <c r="H49" s="397"/>
      <c r="I49" s="442"/>
      <c r="J49" s="144"/>
      <c r="K49" s="139">
        <v>10</v>
      </c>
      <c r="L49" s="145" t="s">
        <v>61</v>
      </c>
      <c r="M49" s="78">
        <f>K49*B49/4000</f>
        <v>1.4225000000000001</v>
      </c>
      <c r="N49" s="146"/>
      <c r="O49" s="147"/>
      <c r="P49" s="145" t="s">
        <v>10</v>
      </c>
      <c r="Q49" s="378"/>
      <c r="R49" s="161">
        <v>2</v>
      </c>
      <c r="S49" s="148" t="s">
        <v>10</v>
      </c>
      <c r="T49" s="84">
        <f t="shared" si="3"/>
        <v>0.5774999999999999</v>
      </c>
      <c r="U49" s="149"/>
      <c r="V49" s="149"/>
      <c r="W49" s="150"/>
      <c r="X49" s="151"/>
      <c r="Y49" s="446"/>
      <c r="Z49" s="216"/>
      <c r="AA49" s="217"/>
      <c r="AB49" s="450"/>
      <c r="AC49" s="451"/>
      <c r="AD49" s="452"/>
      <c r="AE49" s="452"/>
      <c r="AF49" s="452"/>
    </row>
    <row r="50" spans="1:32" s="206" customFormat="1" ht="69.95" customHeight="1" x14ac:dyDescent="0.15">
      <c r="A50" s="431" t="s">
        <v>139</v>
      </c>
      <c r="B50" s="191">
        <f t="shared" ref="B50" si="25">$I$5</f>
        <v>524</v>
      </c>
      <c r="C50" s="422" t="str">
        <f t="shared" ref="C50" si="26">$A$5</f>
        <v>BE</v>
      </c>
      <c r="D50" s="423"/>
      <c r="E50" s="424"/>
      <c r="F50" s="425"/>
      <c r="G50" s="423"/>
      <c r="H50" s="424"/>
      <c r="I50" s="207"/>
      <c r="J50" s="192"/>
      <c r="K50" s="193">
        <v>1</v>
      </c>
      <c r="L50" s="194" t="s">
        <v>65</v>
      </c>
      <c r="M50" s="195">
        <f t="shared" ref="M50:M67" si="27">K50*B50</f>
        <v>524</v>
      </c>
      <c r="N50" s="196"/>
      <c r="O50" s="195"/>
      <c r="P50" s="194" t="s">
        <v>65</v>
      </c>
      <c r="Q50" s="435"/>
      <c r="R50" s="195"/>
      <c r="S50" s="194" t="s">
        <v>65</v>
      </c>
      <c r="T50" s="205">
        <f t="shared" si="3"/>
        <v>-524</v>
      </c>
      <c r="U50" s="199"/>
      <c r="V50" s="199"/>
      <c r="W50" s="208"/>
      <c r="X50" s="198"/>
      <c r="Y50" s="437" t="s">
        <v>140</v>
      </c>
      <c r="Z50" s="231"/>
      <c r="AA50" s="232"/>
      <c r="AB50" s="439"/>
    </row>
    <row r="51" spans="1:32" s="206" customFormat="1" ht="69.95" customHeight="1" x14ac:dyDescent="0.15">
      <c r="A51" s="559"/>
      <c r="B51" s="204">
        <f>$I$6</f>
        <v>585</v>
      </c>
      <c r="C51" s="453" t="str">
        <f>$A$6</f>
        <v>GR</v>
      </c>
      <c r="D51" s="454"/>
      <c r="E51" s="455"/>
      <c r="F51" s="425"/>
      <c r="G51" s="423"/>
      <c r="H51" s="424"/>
      <c r="I51" s="207"/>
      <c r="J51" s="192"/>
      <c r="K51" s="193">
        <v>1</v>
      </c>
      <c r="L51" s="194" t="s">
        <v>65</v>
      </c>
      <c r="M51" s="195">
        <f t="shared" ref="M51" si="28">K51*B51</f>
        <v>585</v>
      </c>
      <c r="N51" s="233"/>
      <c r="O51" s="195"/>
      <c r="P51" s="194" t="s">
        <v>65</v>
      </c>
      <c r="Q51" s="561"/>
      <c r="R51" s="195"/>
      <c r="S51" s="194" t="s">
        <v>65</v>
      </c>
      <c r="T51" s="198">
        <f t="shared" ref="T51" si="29">R51-M51</f>
        <v>-585</v>
      </c>
      <c r="U51" s="199"/>
      <c r="V51" s="200"/>
      <c r="W51" s="195"/>
      <c r="X51" s="195"/>
      <c r="Y51" s="562"/>
      <c r="Z51" s="201"/>
      <c r="AA51" s="202"/>
      <c r="AB51" s="558"/>
      <c r="AC51" s="234"/>
      <c r="AD51" s="230"/>
      <c r="AE51" s="230"/>
      <c r="AF51" s="230"/>
    </row>
    <row r="52" spans="1:32" s="206" customFormat="1" ht="69.95" customHeight="1" x14ac:dyDescent="0.15">
      <c r="A52" s="432"/>
      <c r="B52" s="191">
        <f>$I$7</f>
        <v>569</v>
      </c>
      <c r="C52" s="465" t="str">
        <f>$A$7</f>
        <v>BK</v>
      </c>
      <c r="D52" s="465"/>
      <c r="E52" s="465"/>
      <c r="F52" s="425"/>
      <c r="G52" s="423"/>
      <c r="H52" s="424"/>
      <c r="I52" s="207"/>
      <c r="J52" s="192"/>
      <c r="K52" s="193">
        <v>1</v>
      </c>
      <c r="L52" s="194" t="s">
        <v>65</v>
      </c>
      <c r="M52" s="195">
        <f t="shared" si="27"/>
        <v>569</v>
      </c>
      <c r="N52" s="233"/>
      <c r="O52" s="195"/>
      <c r="P52" s="194" t="s">
        <v>65</v>
      </c>
      <c r="Q52" s="436"/>
      <c r="R52" s="195"/>
      <c r="S52" s="194" t="s">
        <v>65</v>
      </c>
      <c r="T52" s="198">
        <f t="shared" si="3"/>
        <v>-569</v>
      </c>
      <c r="U52" s="199"/>
      <c r="V52" s="200"/>
      <c r="W52" s="195"/>
      <c r="X52" s="195"/>
      <c r="Y52" s="438"/>
      <c r="Z52" s="201"/>
      <c r="AA52" s="202"/>
      <c r="AB52" s="440"/>
      <c r="AC52" s="234"/>
      <c r="AD52" s="230"/>
      <c r="AE52" s="230"/>
      <c r="AF52" s="230"/>
    </row>
    <row r="53" spans="1:32" s="55" customFormat="1" ht="69.95" customHeight="1" x14ac:dyDescent="0.15">
      <c r="A53" s="431" t="s">
        <v>100</v>
      </c>
      <c r="B53" s="182">
        <f t="shared" ref="B53:B59" si="30">$I$5</f>
        <v>524</v>
      </c>
      <c r="C53" s="368" t="str">
        <f t="shared" ref="C53:C59" si="31">$A$5</f>
        <v>BE</v>
      </c>
      <c r="D53" s="369"/>
      <c r="E53" s="370"/>
      <c r="F53" s="428"/>
      <c r="G53" s="369"/>
      <c r="H53" s="370"/>
      <c r="I53" s="75" t="s">
        <v>101</v>
      </c>
      <c r="J53" s="76"/>
      <c r="K53" s="139">
        <v>1</v>
      </c>
      <c r="L53" s="77" t="s">
        <v>63</v>
      </c>
      <c r="M53" s="78">
        <f t="shared" si="27"/>
        <v>524</v>
      </c>
      <c r="N53" s="79"/>
      <c r="O53" s="78"/>
      <c r="P53" s="80" t="s">
        <v>63</v>
      </c>
      <c r="Q53" s="443">
        <v>45926</v>
      </c>
      <c r="R53" s="78">
        <v>524</v>
      </c>
      <c r="S53" s="80" t="s">
        <v>63</v>
      </c>
      <c r="T53" s="84">
        <f t="shared" si="3"/>
        <v>0</v>
      </c>
      <c r="U53" s="82"/>
      <c r="V53" s="82"/>
      <c r="W53" s="83"/>
      <c r="X53" s="81"/>
      <c r="Y53" s="445" t="s">
        <v>94</v>
      </c>
      <c r="Z53" s="86"/>
      <c r="AA53" s="85"/>
      <c r="AB53" s="448" t="s">
        <v>166</v>
      </c>
    </row>
    <row r="54" spans="1:32" s="55" customFormat="1" ht="69.95" customHeight="1" x14ac:dyDescent="0.15">
      <c r="A54" s="559"/>
      <c r="B54" s="186">
        <f>$I$6</f>
        <v>585</v>
      </c>
      <c r="C54" s="395" t="str">
        <f>$A$6</f>
        <v>GR</v>
      </c>
      <c r="D54" s="396"/>
      <c r="E54" s="397"/>
      <c r="F54" s="428"/>
      <c r="G54" s="369"/>
      <c r="H54" s="370"/>
      <c r="I54" s="75" t="s">
        <v>101</v>
      </c>
      <c r="J54" s="76"/>
      <c r="K54" s="139">
        <v>1</v>
      </c>
      <c r="L54" s="77" t="s">
        <v>63</v>
      </c>
      <c r="M54" s="78">
        <f t="shared" ref="M54" si="32">K54*B54</f>
        <v>585</v>
      </c>
      <c r="N54" s="140"/>
      <c r="O54" s="78"/>
      <c r="P54" s="80" t="s">
        <v>63</v>
      </c>
      <c r="Q54" s="447"/>
      <c r="R54" s="78">
        <v>585</v>
      </c>
      <c r="S54" s="80" t="s">
        <v>63</v>
      </c>
      <c r="T54" s="81">
        <f t="shared" ref="T54" si="33">R54-M54</f>
        <v>0</v>
      </c>
      <c r="U54" s="82"/>
      <c r="V54" s="137"/>
      <c r="W54" s="78"/>
      <c r="X54" s="78"/>
      <c r="Y54" s="557"/>
      <c r="Z54" s="141"/>
      <c r="AA54" s="135"/>
      <c r="AB54" s="449"/>
      <c r="AC54" s="142"/>
      <c r="AD54" s="179"/>
      <c r="AE54" s="179"/>
      <c r="AF54" s="179"/>
    </row>
    <row r="55" spans="1:32" s="55" customFormat="1" ht="69.95" customHeight="1" x14ac:dyDescent="0.15">
      <c r="A55" s="432"/>
      <c r="B55" s="239">
        <f>$I$7</f>
        <v>569</v>
      </c>
      <c r="C55" s="456" t="str">
        <f>$A$7</f>
        <v>BK</v>
      </c>
      <c r="D55" s="456"/>
      <c r="E55" s="456"/>
      <c r="F55" s="428"/>
      <c r="G55" s="369"/>
      <c r="H55" s="370"/>
      <c r="I55" s="75" t="s">
        <v>101</v>
      </c>
      <c r="J55" s="76"/>
      <c r="K55" s="139">
        <v>1</v>
      </c>
      <c r="L55" s="77" t="s">
        <v>63</v>
      </c>
      <c r="M55" s="78">
        <f t="shared" si="27"/>
        <v>569</v>
      </c>
      <c r="N55" s="140"/>
      <c r="O55" s="78"/>
      <c r="P55" s="80" t="s">
        <v>63</v>
      </c>
      <c r="Q55" s="444"/>
      <c r="R55" s="78">
        <v>569</v>
      </c>
      <c r="S55" s="80" t="s">
        <v>63</v>
      </c>
      <c r="T55" s="81">
        <f t="shared" si="3"/>
        <v>0</v>
      </c>
      <c r="U55" s="82"/>
      <c r="V55" s="137"/>
      <c r="W55" s="78"/>
      <c r="X55" s="78"/>
      <c r="Y55" s="446"/>
      <c r="Z55" s="141"/>
      <c r="AA55" s="135"/>
      <c r="AB55" s="450"/>
      <c r="AC55" s="142"/>
      <c r="AD55" s="179"/>
      <c r="AE55" s="179"/>
      <c r="AF55" s="179"/>
    </row>
    <row r="56" spans="1:32" s="55" customFormat="1" ht="69.95" customHeight="1" x14ac:dyDescent="0.15">
      <c r="A56" s="431" t="s">
        <v>103</v>
      </c>
      <c r="B56" s="191">
        <f t="shared" ref="B56" si="34">$I$5</f>
        <v>524</v>
      </c>
      <c r="C56" s="422" t="str">
        <f t="shared" ref="C56" si="35">$A$5</f>
        <v>BE</v>
      </c>
      <c r="D56" s="423"/>
      <c r="E56" s="424"/>
      <c r="F56" s="425"/>
      <c r="G56" s="426"/>
      <c r="H56" s="427"/>
      <c r="I56" s="207"/>
      <c r="J56" s="192"/>
      <c r="K56" s="193">
        <v>1</v>
      </c>
      <c r="L56" s="194" t="s">
        <v>65</v>
      </c>
      <c r="M56" s="195">
        <f t="shared" si="27"/>
        <v>524</v>
      </c>
      <c r="N56" s="196"/>
      <c r="O56" s="195"/>
      <c r="P56" s="197" t="s">
        <v>65</v>
      </c>
      <c r="Q56" s="435"/>
      <c r="R56" s="195"/>
      <c r="S56" s="197" t="s">
        <v>65</v>
      </c>
      <c r="T56" s="205">
        <f t="shared" si="3"/>
        <v>-524</v>
      </c>
      <c r="U56" s="199"/>
      <c r="V56" s="199"/>
      <c r="W56" s="208"/>
      <c r="X56" s="198"/>
      <c r="Y56" s="437" t="s">
        <v>94</v>
      </c>
      <c r="Z56" s="231"/>
      <c r="AA56" s="232"/>
      <c r="AB56" s="439"/>
    </row>
    <row r="57" spans="1:32" s="55" customFormat="1" ht="69.95" customHeight="1" x14ac:dyDescent="0.15">
      <c r="A57" s="559"/>
      <c r="B57" s="204">
        <f>$I$6</f>
        <v>585</v>
      </c>
      <c r="C57" s="422" t="str">
        <f>$A$6</f>
        <v>GR</v>
      </c>
      <c r="D57" s="423"/>
      <c r="E57" s="424"/>
      <c r="F57" s="425"/>
      <c r="G57" s="426"/>
      <c r="H57" s="427"/>
      <c r="I57" s="207"/>
      <c r="J57" s="192"/>
      <c r="K57" s="193">
        <v>1</v>
      </c>
      <c r="L57" s="194" t="s">
        <v>65</v>
      </c>
      <c r="M57" s="195">
        <f t="shared" ref="M57" si="36">K57*B57</f>
        <v>585</v>
      </c>
      <c r="N57" s="233"/>
      <c r="O57" s="195"/>
      <c r="P57" s="197" t="s">
        <v>65</v>
      </c>
      <c r="Q57" s="561"/>
      <c r="R57" s="195"/>
      <c r="S57" s="197" t="s">
        <v>65</v>
      </c>
      <c r="T57" s="198">
        <f t="shared" ref="T57" si="37">R57-M57</f>
        <v>-585</v>
      </c>
      <c r="U57" s="199"/>
      <c r="V57" s="200"/>
      <c r="W57" s="195"/>
      <c r="X57" s="195"/>
      <c r="Y57" s="562"/>
      <c r="Z57" s="201"/>
      <c r="AA57" s="202"/>
      <c r="AB57" s="558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91">
        <f>$I$7</f>
        <v>569</v>
      </c>
      <c r="C58" s="422" t="str">
        <f>$A$7</f>
        <v>BK</v>
      </c>
      <c r="D58" s="423"/>
      <c r="E58" s="424"/>
      <c r="F58" s="425"/>
      <c r="G58" s="426"/>
      <c r="H58" s="427"/>
      <c r="I58" s="207"/>
      <c r="J58" s="192"/>
      <c r="K58" s="193">
        <v>1</v>
      </c>
      <c r="L58" s="194" t="s">
        <v>65</v>
      </c>
      <c r="M58" s="195">
        <f t="shared" si="27"/>
        <v>569</v>
      </c>
      <c r="N58" s="233"/>
      <c r="O58" s="195"/>
      <c r="P58" s="197" t="s">
        <v>65</v>
      </c>
      <c r="Q58" s="436"/>
      <c r="R58" s="195"/>
      <c r="S58" s="197" t="s">
        <v>65</v>
      </c>
      <c r="T58" s="198">
        <f t="shared" si="3"/>
        <v>-569</v>
      </c>
      <c r="U58" s="199"/>
      <c r="V58" s="200"/>
      <c r="W58" s="195"/>
      <c r="X58" s="195"/>
      <c r="Y58" s="438"/>
      <c r="Z58" s="201"/>
      <c r="AA58" s="202"/>
      <c r="AB58" s="440"/>
      <c r="AC58" s="142"/>
      <c r="AD58" s="179"/>
      <c r="AE58" s="179"/>
      <c r="AF58" s="179"/>
    </row>
    <row r="59" spans="1:32" s="55" customFormat="1" ht="69.95" customHeight="1" x14ac:dyDescent="0.15">
      <c r="A59" s="431" t="s">
        <v>90</v>
      </c>
      <c r="B59" s="182">
        <f t="shared" si="30"/>
        <v>524</v>
      </c>
      <c r="C59" s="368" t="str">
        <f t="shared" si="31"/>
        <v>BE</v>
      </c>
      <c r="D59" s="369"/>
      <c r="E59" s="370"/>
      <c r="F59" s="428"/>
      <c r="G59" s="429"/>
      <c r="H59" s="430"/>
      <c r="I59" s="75" t="s">
        <v>79</v>
      </c>
      <c r="J59" s="76"/>
      <c r="K59" s="139">
        <v>1</v>
      </c>
      <c r="L59" s="77" t="s">
        <v>63</v>
      </c>
      <c r="M59" s="78">
        <f t="shared" si="27"/>
        <v>524</v>
      </c>
      <c r="N59" s="79"/>
      <c r="O59" s="78"/>
      <c r="P59" s="80" t="s">
        <v>63</v>
      </c>
      <c r="Q59" s="443">
        <v>45959</v>
      </c>
      <c r="R59" s="78">
        <v>524</v>
      </c>
      <c r="S59" s="80" t="s">
        <v>63</v>
      </c>
      <c r="T59" s="84">
        <f t="shared" si="3"/>
        <v>0</v>
      </c>
      <c r="U59" s="82"/>
      <c r="V59" s="82"/>
      <c r="W59" s="83"/>
      <c r="X59" s="81"/>
      <c r="Y59" s="445" t="s">
        <v>64</v>
      </c>
      <c r="Z59" s="86"/>
      <c r="AA59" s="85"/>
      <c r="AB59" s="448" t="s">
        <v>189</v>
      </c>
    </row>
    <row r="60" spans="1:32" s="55" customFormat="1" ht="69.95" customHeight="1" x14ac:dyDescent="0.15">
      <c r="A60" s="559"/>
      <c r="B60" s="186">
        <f>$I$6</f>
        <v>585</v>
      </c>
      <c r="C60" s="368" t="str">
        <f>$A$6</f>
        <v>GR</v>
      </c>
      <c r="D60" s="369"/>
      <c r="E60" s="370"/>
      <c r="F60" s="428"/>
      <c r="G60" s="429"/>
      <c r="H60" s="430"/>
      <c r="I60" s="75" t="s">
        <v>79</v>
      </c>
      <c r="J60" s="76"/>
      <c r="K60" s="139">
        <v>1</v>
      </c>
      <c r="L60" s="77" t="s">
        <v>63</v>
      </c>
      <c r="M60" s="78">
        <f t="shared" ref="M60" si="38">K60*B60</f>
        <v>585</v>
      </c>
      <c r="N60" s="140"/>
      <c r="O60" s="78"/>
      <c r="P60" s="80" t="s">
        <v>63</v>
      </c>
      <c r="Q60" s="447"/>
      <c r="R60" s="78">
        <v>585</v>
      </c>
      <c r="S60" s="80" t="s">
        <v>63</v>
      </c>
      <c r="T60" s="81">
        <f t="shared" ref="T60" si="39">R60-M60</f>
        <v>0</v>
      </c>
      <c r="U60" s="82"/>
      <c r="V60" s="137"/>
      <c r="W60" s="78"/>
      <c r="X60" s="78"/>
      <c r="Y60" s="557"/>
      <c r="Z60" s="141"/>
      <c r="AA60" s="135"/>
      <c r="AB60" s="449"/>
      <c r="AC60" s="142"/>
      <c r="AD60" s="179"/>
      <c r="AE60" s="179"/>
      <c r="AF60" s="179"/>
    </row>
    <row r="61" spans="1:32" s="55" customFormat="1" ht="69.95" customHeight="1" x14ac:dyDescent="0.15">
      <c r="A61" s="432"/>
      <c r="B61" s="239">
        <f>$I$7</f>
        <v>569</v>
      </c>
      <c r="C61" s="456" t="str">
        <f>$A$7</f>
        <v>BK</v>
      </c>
      <c r="D61" s="456"/>
      <c r="E61" s="456"/>
      <c r="F61" s="428"/>
      <c r="G61" s="429"/>
      <c r="H61" s="430"/>
      <c r="I61" s="75" t="s">
        <v>79</v>
      </c>
      <c r="J61" s="76"/>
      <c r="K61" s="139">
        <v>1</v>
      </c>
      <c r="L61" s="77" t="s">
        <v>63</v>
      </c>
      <c r="M61" s="78">
        <f t="shared" si="27"/>
        <v>569</v>
      </c>
      <c r="N61" s="140"/>
      <c r="O61" s="78"/>
      <c r="P61" s="80" t="s">
        <v>63</v>
      </c>
      <c r="Q61" s="444"/>
      <c r="R61" s="78">
        <v>569</v>
      </c>
      <c r="S61" s="80" t="s">
        <v>63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450"/>
      <c r="AC61" s="142"/>
      <c r="AD61" s="179"/>
      <c r="AE61" s="179"/>
      <c r="AF61" s="179"/>
    </row>
    <row r="62" spans="1:32" s="55" customFormat="1" ht="69.95" customHeight="1" x14ac:dyDescent="0.15">
      <c r="A62" s="431" t="s">
        <v>91</v>
      </c>
      <c r="B62" s="182">
        <f t="shared" ref="B62" si="40">$I$5</f>
        <v>524</v>
      </c>
      <c r="C62" s="368" t="str">
        <f t="shared" ref="C62" si="41">$A$5</f>
        <v>BE</v>
      </c>
      <c r="D62" s="369"/>
      <c r="E62" s="370"/>
      <c r="F62" s="428"/>
      <c r="G62" s="429"/>
      <c r="H62" s="430"/>
      <c r="I62" s="75" t="s">
        <v>75</v>
      </c>
      <c r="J62" s="76"/>
      <c r="K62" s="139">
        <v>1</v>
      </c>
      <c r="L62" s="77" t="s">
        <v>63</v>
      </c>
      <c r="M62" s="78">
        <f t="shared" ref="M62:M64" si="42">K62*B62</f>
        <v>524</v>
      </c>
      <c r="N62" s="79"/>
      <c r="O62" s="78"/>
      <c r="P62" s="80" t="s">
        <v>63</v>
      </c>
      <c r="Q62" s="443">
        <v>45959</v>
      </c>
      <c r="R62" s="78">
        <v>524</v>
      </c>
      <c r="S62" s="80" t="s">
        <v>63</v>
      </c>
      <c r="T62" s="84">
        <f t="shared" ref="T62:T64" si="43">R62-M62</f>
        <v>0</v>
      </c>
      <c r="U62" s="82"/>
      <c r="V62" s="82"/>
      <c r="W62" s="83"/>
      <c r="X62" s="81"/>
      <c r="Y62" s="445" t="s">
        <v>64</v>
      </c>
      <c r="Z62" s="86"/>
      <c r="AA62" s="85"/>
      <c r="AB62" s="448" t="s">
        <v>189</v>
      </c>
    </row>
    <row r="63" spans="1:32" s="55" customFormat="1" ht="69.95" customHeight="1" x14ac:dyDescent="0.15">
      <c r="A63" s="559"/>
      <c r="B63" s="186">
        <f>$I$6</f>
        <v>585</v>
      </c>
      <c r="C63" s="368" t="str">
        <f>$A$6</f>
        <v>GR</v>
      </c>
      <c r="D63" s="369"/>
      <c r="E63" s="370"/>
      <c r="F63" s="428"/>
      <c r="G63" s="429"/>
      <c r="H63" s="430"/>
      <c r="I63" s="75" t="s">
        <v>75</v>
      </c>
      <c r="J63" s="76"/>
      <c r="K63" s="139">
        <v>1</v>
      </c>
      <c r="L63" s="77" t="s">
        <v>63</v>
      </c>
      <c r="M63" s="78">
        <f t="shared" si="42"/>
        <v>585</v>
      </c>
      <c r="N63" s="140"/>
      <c r="O63" s="78"/>
      <c r="P63" s="80" t="s">
        <v>63</v>
      </c>
      <c r="Q63" s="447"/>
      <c r="R63" s="78">
        <v>585</v>
      </c>
      <c r="S63" s="80" t="s">
        <v>63</v>
      </c>
      <c r="T63" s="81">
        <f t="shared" si="43"/>
        <v>0</v>
      </c>
      <c r="U63" s="82"/>
      <c r="V63" s="137"/>
      <c r="W63" s="78"/>
      <c r="X63" s="78"/>
      <c r="Y63" s="557"/>
      <c r="Z63" s="141"/>
      <c r="AA63" s="135"/>
      <c r="AB63" s="449"/>
      <c r="AC63" s="142"/>
      <c r="AD63" s="179"/>
      <c r="AE63" s="179"/>
      <c r="AF63" s="179"/>
    </row>
    <row r="64" spans="1:32" s="55" customFormat="1" ht="69.95" customHeight="1" x14ac:dyDescent="0.15">
      <c r="A64" s="432"/>
      <c r="B64" s="239">
        <f>$I$7</f>
        <v>569</v>
      </c>
      <c r="C64" s="456" t="str">
        <f>$A$7</f>
        <v>BK</v>
      </c>
      <c r="D64" s="456"/>
      <c r="E64" s="456"/>
      <c r="F64" s="428"/>
      <c r="G64" s="429"/>
      <c r="H64" s="430"/>
      <c r="I64" s="75" t="s">
        <v>75</v>
      </c>
      <c r="J64" s="76"/>
      <c r="K64" s="139">
        <v>1</v>
      </c>
      <c r="L64" s="77" t="s">
        <v>63</v>
      </c>
      <c r="M64" s="78">
        <f t="shared" si="42"/>
        <v>569</v>
      </c>
      <c r="N64" s="140"/>
      <c r="O64" s="78"/>
      <c r="P64" s="80" t="s">
        <v>63</v>
      </c>
      <c r="Q64" s="444"/>
      <c r="R64" s="78">
        <v>569</v>
      </c>
      <c r="S64" s="80" t="s">
        <v>63</v>
      </c>
      <c r="T64" s="81">
        <f t="shared" si="43"/>
        <v>0</v>
      </c>
      <c r="U64" s="82"/>
      <c r="V64" s="137"/>
      <c r="W64" s="78"/>
      <c r="X64" s="78"/>
      <c r="Y64" s="446"/>
      <c r="Z64" s="141"/>
      <c r="AA64" s="135"/>
      <c r="AB64" s="450"/>
      <c r="AC64" s="142"/>
      <c r="AD64" s="179"/>
      <c r="AE64" s="179"/>
      <c r="AF64" s="179"/>
    </row>
    <row r="65" spans="1:32" s="55" customFormat="1" ht="69.95" customHeight="1" x14ac:dyDescent="0.15">
      <c r="A65" s="431" t="s">
        <v>141</v>
      </c>
      <c r="B65" s="182">
        <f t="shared" ref="B65" si="44">$I$5</f>
        <v>524</v>
      </c>
      <c r="C65" s="368" t="str">
        <f t="shared" ref="C65" si="45">$A$5</f>
        <v>BE</v>
      </c>
      <c r="D65" s="369"/>
      <c r="E65" s="370"/>
      <c r="F65" s="428"/>
      <c r="G65" s="429"/>
      <c r="H65" s="430"/>
      <c r="I65" s="441" t="s">
        <v>104</v>
      </c>
      <c r="J65" s="76"/>
      <c r="K65" s="136">
        <v>0.55000000000000004</v>
      </c>
      <c r="L65" s="77" t="s">
        <v>129</v>
      </c>
      <c r="M65" s="78">
        <f t="shared" si="27"/>
        <v>288.20000000000005</v>
      </c>
      <c r="N65" s="79"/>
      <c r="O65" s="78"/>
      <c r="P65" s="80" t="s">
        <v>63</v>
      </c>
      <c r="Q65" s="443">
        <v>45926</v>
      </c>
      <c r="R65" s="78">
        <v>300</v>
      </c>
      <c r="S65" s="80" t="s">
        <v>63</v>
      </c>
      <c r="T65" s="84">
        <f t="shared" si="3"/>
        <v>11.799999999999955</v>
      </c>
      <c r="U65" s="82"/>
      <c r="V65" s="82"/>
      <c r="W65" s="83"/>
      <c r="X65" s="81"/>
      <c r="Y65" s="445" t="s">
        <v>130</v>
      </c>
      <c r="Z65" s="86"/>
      <c r="AA65" s="85"/>
      <c r="AB65" s="448" t="s">
        <v>166</v>
      </c>
    </row>
    <row r="66" spans="1:32" s="55" customFormat="1" ht="69.95" customHeight="1" x14ac:dyDescent="0.15">
      <c r="A66" s="559"/>
      <c r="B66" s="186">
        <f>$I$6</f>
        <v>585</v>
      </c>
      <c r="C66" s="368" t="str">
        <f>$A$6</f>
        <v>GR</v>
      </c>
      <c r="D66" s="369"/>
      <c r="E66" s="370"/>
      <c r="F66" s="428"/>
      <c r="G66" s="429"/>
      <c r="H66" s="430"/>
      <c r="I66" s="563"/>
      <c r="J66" s="76"/>
      <c r="K66" s="136">
        <v>0.55000000000000004</v>
      </c>
      <c r="L66" s="77" t="s">
        <v>129</v>
      </c>
      <c r="M66" s="78">
        <f t="shared" ref="M66" si="46">K66*B66</f>
        <v>321.75</v>
      </c>
      <c r="N66" s="140"/>
      <c r="O66" s="78"/>
      <c r="P66" s="80" t="s">
        <v>63</v>
      </c>
      <c r="Q66" s="447"/>
      <c r="R66" s="78">
        <v>322</v>
      </c>
      <c r="S66" s="80" t="s">
        <v>63</v>
      </c>
      <c r="T66" s="81">
        <f t="shared" ref="T66" si="47">R66-M66</f>
        <v>0.25</v>
      </c>
      <c r="U66" s="82"/>
      <c r="V66" s="137"/>
      <c r="W66" s="78"/>
      <c r="X66" s="78"/>
      <c r="Y66" s="557"/>
      <c r="Z66" s="141"/>
      <c r="AA66" s="135"/>
      <c r="AB66" s="449"/>
      <c r="AC66" s="142"/>
      <c r="AD66" s="179"/>
      <c r="AE66" s="179"/>
      <c r="AF66" s="179"/>
    </row>
    <row r="67" spans="1:32" s="55" customFormat="1" ht="69.95" customHeight="1" x14ac:dyDescent="0.15">
      <c r="A67" s="432"/>
      <c r="B67" s="182">
        <f>$I$7</f>
        <v>569</v>
      </c>
      <c r="C67" s="461" t="str">
        <f>$A$7</f>
        <v>BK</v>
      </c>
      <c r="D67" s="461"/>
      <c r="E67" s="461"/>
      <c r="F67" s="428"/>
      <c r="G67" s="429"/>
      <c r="H67" s="430"/>
      <c r="I67" s="442"/>
      <c r="J67" s="76"/>
      <c r="K67" s="136">
        <v>0.55000000000000004</v>
      </c>
      <c r="L67" s="77" t="s">
        <v>129</v>
      </c>
      <c r="M67" s="78">
        <f t="shared" si="27"/>
        <v>312.95000000000005</v>
      </c>
      <c r="N67" s="140"/>
      <c r="O67" s="78"/>
      <c r="P67" s="80" t="s">
        <v>63</v>
      </c>
      <c r="Q67" s="444"/>
      <c r="R67" s="78">
        <v>328</v>
      </c>
      <c r="S67" s="80" t="s">
        <v>63</v>
      </c>
      <c r="T67" s="81">
        <f t="shared" si="3"/>
        <v>15.049999999999955</v>
      </c>
      <c r="U67" s="82"/>
      <c r="V67" s="137"/>
      <c r="W67" s="78"/>
      <c r="X67" s="78"/>
      <c r="Y67" s="446"/>
      <c r="Z67" s="141"/>
      <c r="AA67" s="135"/>
      <c r="AB67" s="450"/>
      <c r="AC67" s="142"/>
      <c r="AD67" s="179"/>
      <c r="AE67" s="179"/>
      <c r="AF67" s="179"/>
    </row>
    <row r="68" spans="1:32" s="206" customFormat="1" ht="69.95" customHeight="1" x14ac:dyDescent="0.15">
      <c r="A68" s="431" t="s">
        <v>120</v>
      </c>
      <c r="B68" s="191">
        <f t="shared" ref="B68" si="48">$I$5</f>
        <v>524</v>
      </c>
      <c r="C68" s="422" t="str">
        <f t="shared" ref="C68" si="49">$A$5</f>
        <v>BE</v>
      </c>
      <c r="D68" s="423"/>
      <c r="E68" s="424"/>
      <c r="F68" s="425"/>
      <c r="G68" s="426"/>
      <c r="H68" s="427"/>
      <c r="I68" s="433" t="s">
        <v>75</v>
      </c>
      <c r="J68" s="192"/>
      <c r="K68" s="193">
        <v>2</v>
      </c>
      <c r="L68" s="194" t="s">
        <v>63</v>
      </c>
      <c r="M68" s="195">
        <f t="shared" si="6"/>
        <v>1048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3"/>
        <v>-1048</v>
      </c>
      <c r="U68" s="199"/>
      <c r="V68" s="199"/>
      <c r="W68" s="208"/>
      <c r="X68" s="198"/>
      <c r="Y68" s="437" t="s">
        <v>64</v>
      </c>
      <c r="Z68" s="231"/>
      <c r="AA68" s="232"/>
      <c r="AB68" s="439"/>
    </row>
    <row r="69" spans="1:32" s="206" customFormat="1" ht="69.95" customHeight="1" x14ac:dyDescent="0.15">
      <c r="A69" s="559"/>
      <c r="B69" s="204">
        <f>$I$6</f>
        <v>585</v>
      </c>
      <c r="C69" s="422" t="str">
        <f>$A$6</f>
        <v>GR</v>
      </c>
      <c r="D69" s="423"/>
      <c r="E69" s="424"/>
      <c r="F69" s="425"/>
      <c r="G69" s="426"/>
      <c r="H69" s="427"/>
      <c r="I69" s="560"/>
      <c r="J69" s="192"/>
      <c r="K69" s="193">
        <v>2</v>
      </c>
      <c r="L69" s="194" t="s">
        <v>63</v>
      </c>
      <c r="M69" s="195">
        <f t="shared" ref="M69" si="50">K69*B69</f>
        <v>1170</v>
      </c>
      <c r="N69" s="233"/>
      <c r="O69" s="195"/>
      <c r="P69" s="197" t="s">
        <v>63</v>
      </c>
      <c r="Q69" s="561"/>
      <c r="R69" s="195"/>
      <c r="S69" s="197" t="s">
        <v>63</v>
      </c>
      <c r="T69" s="198">
        <f t="shared" ref="T69" si="51">R69-M69</f>
        <v>-1170</v>
      </c>
      <c r="U69" s="199"/>
      <c r="V69" s="200"/>
      <c r="W69" s="195"/>
      <c r="X69" s="195"/>
      <c r="Y69" s="562"/>
      <c r="Z69" s="201"/>
      <c r="AA69" s="202"/>
      <c r="AB69" s="558"/>
      <c r="AC69" s="234"/>
      <c r="AD69" s="230"/>
      <c r="AE69" s="230"/>
      <c r="AF69" s="230"/>
    </row>
    <row r="70" spans="1:32" s="206" customFormat="1" ht="69.95" customHeight="1" x14ac:dyDescent="0.15">
      <c r="A70" s="432"/>
      <c r="B70" s="191">
        <f>$I$7</f>
        <v>569</v>
      </c>
      <c r="C70" s="465" t="str">
        <f>$A$7</f>
        <v>BK</v>
      </c>
      <c r="D70" s="465"/>
      <c r="E70" s="465"/>
      <c r="F70" s="425"/>
      <c r="G70" s="426"/>
      <c r="H70" s="427"/>
      <c r="I70" s="434"/>
      <c r="J70" s="192"/>
      <c r="K70" s="193">
        <v>2</v>
      </c>
      <c r="L70" s="194" t="s">
        <v>63</v>
      </c>
      <c r="M70" s="195">
        <f t="shared" si="6"/>
        <v>1138</v>
      </c>
      <c r="N70" s="233"/>
      <c r="O70" s="195"/>
      <c r="P70" s="197" t="s">
        <v>63</v>
      </c>
      <c r="Q70" s="436"/>
      <c r="R70" s="195"/>
      <c r="S70" s="197" t="s">
        <v>63</v>
      </c>
      <c r="T70" s="198">
        <f t="shared" si="3"/>
        <v>-1138</v>
      </c>
      <c r="U70" s="199"/>
      <c r="V70" s="200"/>
      <c r="W70" s="195"/>
      <c r="X70" s="195"/>
      <c r="Y70" s="438"/>
      <c r="Z70" s="201"/>
      <c r="AA70" s="202"/>
      <c r="AB70" s="440"/>
      <c r="AC70" s="234"/>
      <c r="AD70" s="230"/>
      <c r="AE70" s="230"/>
      <c r="AF70" s="230"/>
    </row>
    <row r="71" spans="1:32" s="176" customFormat="1" ht="54.95" customHeight="1" x14ac:dyDescent="0.15">
      <c r="A71" s="386" t="s">
        <v>66</v>
      </c>
      <c r="B71" s="164">
        <f>C11</f>
        <v>770</v>
      </c>
      <c r="C71" s="407" t="e">
        <f>#REF!</f>
        <v>#REF!</v>
      </c>
      <c r="D71" s="408"/>
      <c r="E71" s="409"/>
      <c r="F71" s="371"/>
      <c r="G71" s="372"/>
      <c r="H71" s="373"/>
      <c r="I71" s="276"/>
      <c r="J71" s="255"/>
      <c r="K71" s="263">
        <v>1</v>
      </c>
      <c r="L71" s="168" t="s">
        <v>63</v>
      </c>
      <c r="M71" s="169">
        <f t="shared" si="6"/>
        <v>770</v>
      </c>
      <c r="N71" s="171"/>
      <c r="O71" s="277"/>
      <c r="P71" s="169" t="s">
        <v>63</v>
      </c>
      <c r="Q71" s="376">
        <v>45926</v>
      </c>
      <c r="R71" s="277">
        <v>770</v>
      </c>
      <c r="S71" s="169" t="s">
        <v>63</v>
      </c>
      <c r="T71" s="278">
        <f t="shared" si="3"/>
        <v>0</v>
      </c>
      <c r="U71" s="279"/>
      <c r="V71" s="280"/>
      <c r="W71" s="278"/>
      <c r="X71" s="278"/>
      <c r="Y71" s="374" t="s">
        <v>72</v>
      </c>
      <c r="Z71" s="374"/>
      <c r="AA71" s="374"/>
      <c r="AB71" s="404" t="s">
        <v>167</v>
      </c>
    </row>
    <row r="72" spans="1:32" s="176" customFormat="1" ht="54.95" customHeight="1" x14ac:dyDescent="0.15">
      <c r="A72" s="387"/>
      <c r="B72" s="164">
        <f>D11</f>
        <v>730</v>
      </c>
      <c r="C72" s="410"/>
      <c r="D72" s="411"/>
      <c r="E72" s="412"/>
      <c r="F72" s="371"/>
      <c r="G72" s="372"/>
      <c r="H72" s="373"/>
      <c r="I72" s="276"/>
      <c r="J72" s="255"/>
      <c r="K72" s="167">
        <v>1</v>
      </c>
      <c r="L72" s="168" t="s">
        <v>63</v>
      </c>
      <c r="M72" s="169">
        <f t="shared" si="6"/>
        <v>730</v>
      </c>
      <c r="N72" s="171"/>
      <c r="O72" s="277"/>
      <c r="P72" s="169" t="s">
        <v>63</v>
      </c>
      <c r="Q72" s="377"/>
      <c r="R72" s="277">
        <v>730</v>
      </c>
      <c r="S72" s="169" t="s">
        <v>63</v>
      </c>
      <c r="T72" s="278">
        <f t="shared" si="3"/>
        <v>0</v>
      </c>
      <c r="U72" s="279"/>
      <c r="V72" s="280"/>
      <c r="W72" s="278"/>
      <c r="X72" s="278"/>
      <c r="Y72" s="375"/>
      <c r="Z72" s="375"/>
      <c r="AA72" s="375"/>
      <c r="AB72" s="405"/>
    </row>
    <row r="73" spans="1:32" s="176" customFormat="1" ht="54.95" customHeight="1" x14ac:dyDescent="0.15">
      <c r="A73" s="387"/>
      <c r="B73" s="164">
        <f>E11</f>
        <v>178</v>
      </c>
      <c r="C73" s="410"/>
      <c r="D73" s="411"/>
      <c r="E73" s="412"/>
      <c r="F73" s="371"/>
      <c r="G73" s="372"/>
      <c r="H73" s="373"/>
      <c r="I73" s="276"/>
      <c r="J73" s="255"/>
      <c r="K73" s="167">
        <v>1</v>
      </c>
      <c r="L73" s="168" t="s">
        <v>63</v>
      </c>
      <c r="M73" s="169">
        <f t="shared" si="6"/>
        <v>178</v>
      </c>
      <c r="N73" s="171"/>
      <c r="O73" s="277"/>
      <c r="P73" s="169" t="s">
        <v>63</v>
      </c>
      <c r="Q73" s="377"/>
      <c r="R73" s="277">
        <v>178</v>
      </c>
      <c r="S73" s="169" t="s">
        <v>63</v>
      </c>
      <c r="T73" s="278">
        <f t="shared" si="3"/>
        <v>0</v>
      </c>
      <c r="U73" s="279"/>
      <c r="V73" s="280"/>
      <c r="W73" s="278"/>
      <c r="X73" s="278"/>
      <c r="Y73" s="375"/>
      <c r="Z73" s="375"/>
      <c r="AA73" s="375"/>
      <c r="AB73" s="405"/>
    </row>
    <row r="74" spans="1:32" s="176" customFormat="1" ht="54.95" customHeight="1" x14ac:dyDescent="0.15">
      <c r="A74" s="387"/>
      <c r="B74" s="164">
        <f>F11</f>
        <v>0</v>
      </c>
      <c r="C74" s="410"/>
      <c r="D74" s="411"/>
      <c r="E74" s="412"/>
      <c r="F74" s="371"/>
      <c r="G74" s="372"/>
      <c r="H74" s="373"/>
      <c r="I74" s="276"/>
      <c r="J74" s="255"/>
      <c r="K74" s="167">
        <v>1</v>
      </c>
      <c r="L74" s="168" t="s">
        <v>63</v>
      </c>
      <c r="M74" s="169">
        <f t="shared" si="6"/>
        <v>0</v>
      </c>
      <c r="N74" s="171"/>
      <c r="O74" s="277"/>
      <c r="P74" s="169" t="s">
        <v>63</v>
      </c>
      <c r="Q74" s="377"/>
      <c r="R74" s="277"/>
      <c r="S74" s="169" t="s">
        <v>63</v>
      </c>
      <c r="T74" s="278">
        <f t="shared" si="3"/>
        <v>0</v>
      </c>
      <c r="U74" s="279"/>
      <c r="V74" s="280"/>
      <c r="W74" s="278"/>
      <c r="X74" s="278"/>
      <c r="Y74" s="375"/>
      <c r="Z74" s="375"/>
      <c r="AA74" s="375"/>
      <c r="AB74" s="405"/>
    </row>
    <row r="75" spans="1:32" s="176" customFormat="1" ht="54.95" customHeight="1" x14ac:dyDescent="0.15">
      <c r="A75" s="388"/>
      <c r="B75" s="164">
        <f>G11</f>
        <v>0</v>
      </c>
      <c r="C75" s="413"/>
      <c r="D75" s="414"/>
      <c r="E75" s="415"/>
      <c r="F75" s="371"/>
      <c r="G75" s="372"/>
      <c r="H75" s="373"/>
      <c r="I75" s="276"/>
      <c r="J75" s="255"/>
      <c r="K75" s="167">
        <v>1</v>
      </c>
      <c r="L75" s="168" t="s">
        <v>63</v>
      </c>
      <c r="M75" s="169">
        <f t="shared" si="6"/>
        <v>0</v>
      </c>
      <c r="N75" s="171"/>
      <c r="O75" s="277"/>
      <c r="P75" s="169" t="s">
        <v>63</v>
      </c>
      <c r="Q75" s="378"/>
      <c r="R75" s="277"/>
      <c r="S75" s="169" t="s">
        <v>63</v>
      </c>
      <c r="T75" s="278">
        <f t="shared" si="3"/>
        <v>0</v>
      </c>
      <c r="U75" s="279"/>
      <c r="V75" s="280"/>
      <c r="W75" s="278"/>
      <c r="X75" s="278"/>
      <c r="Y75" s="379"/>
      <c r="Z75" s="379"/>
      <c r="AA75" s="379"/>
      <c r="AB75" s="406"/>
    </row>
    <row r="76" spans="1:32" s="176" customFormat="1" ht="54.95" customHeight="1" x14ac:dyDescent="0.15">
      <c r="A76" s="386" t="s">
        <v>68</v>
      </c>
      <c r="B76" s="164">
        <f>C5+C8</f>
        <v>240</v>
      </c>
      <c r="C76" s="456" t="str">
        <f>A5</f>
        <v>BE</v>
      </c>
      <c r="D76" s="456"/>
      <c r="E76" s="456"/>
      <c r="F76" s="371"/>
      <c r="G76" s="372"/>
      <c r="H76" s="373"/>
      <c r="I76" s="276"/>
      <c r="J76" s="276"/>
      <c r="K76" s="167">
        <v>1</v>
      </c>
      <c r="L76" s="168" t="s">
        <v>63</v>
      </c>
      <c r="M76" s="169">
        <f t="shared" si="6"/>
        <v>240</v>
      </c>
      <c r="N76" s="171"/>
      <c r="O76" s="277"/>
      <c r="P76" s="169" t="s">
        <v>63</v>
      </c>
      <c r="Q76" s="376">
        <v>45926</v>
      </c>
      <c r="R76" s="277">
        <v>240</v>
      </c>
      <c r="S76" s="169" t="s">
        <v>63</v>
      </c>
      <c r="T76" s="278">
        <f t="shared" si="3"/>
        <v>0</v>
      </c>
      <c r="U76" s="281"/>
      <c r="V76" s="282"/>
      <c r="W76" s="278"/>
      <c r="X76" s="278"/>
      <c r="Y76" s="374" t="s">
        <v>72</v>
      </c>
      <c r="Z76" s="374"/>
      <c r="AA76" s="374"/>
      <c r="AB76" s="404" t="s">
        <v>167</v>
      </c>
    </row>
    <row r="77" spans="1:32" s="176" customFormat="1" ht="54.95" customHeight="1" x14ac:dyDescent="0.15">
      <c r="A77" s="387"/>
      <c r="B77" s="164">
        <f>D5+D8</f>
        <v>230</v>
      </c>
      <c r="C77" s="456"/>
      <c r="D77" s="456"/>
      <c r="E77" s="456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6"/>
        <v>230</v>
      </c>
      <c r="N77" s="171"/>
      <c r="O77" s="277"/>
      <c r="P77" s="169" t="s">
        <v>63</v>
      </c>
      <c r="Q77" s="377"/>
      <c r="R77" s="277">
        <v>230</v>
      </c>
      <c r="S77" s="169" t="s">
        <v>63</v>
      </c>
      <c r="T77" s="278">
        <f t="shared" si="3"/>
        <v>0</v>
      </c>
      <c r="U77" s="281"/>
      <c r="V77" s="282"/>
      <c r="W77" s="278"/>
      <c r="X77" s="278"/>
      <c r="Y77" s="375"/>
      <c r="Z77" s="375"/>
      <c r="AA77" s="375"/>
      <c r="AB77" s="405"/>
    </row>
    <row r="78" spans="1:32" s="176" customFormat="1" ht="54.95" customHeight="1" x14ac:dyDescent="0.15">
      <c r="A78" s="387"/>
      <c r="B78" s="164">
        <f>E5+E8</f>
        <v>54</v>
      </c>
      <c r="C78" s="456"/>
      <c r="D78" s="456"/>
      <c r="E78" s="456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6"/>
        <v>54</v>
      </c>
      <c r="N78" s="171"/>
      <c r="O78" s="277"/>
      <c r="P78" s="169" t="s">
        <v>63</v>
      </c>
      <c r="Q78" s="377"/>
      <c r="R78" s="277">
        <v>54</v>
      </c>
      <c r="S78" s="169" t="s">
        <v>63</v>
      </c>
      <c r="T78" s="278">
        <f t="shared" si="3"/>
        <v>0</v>
      </c>
      <c r="U78" s="281"/>
      <c r="V78" s="282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C6+C9</f>
        <v>270</v>
      </c>
      <c r="C79" s="456" t="str">
        <f>A6</f>
        <v>GR</v>
      </c>
      <c r="D79" s="456"/>
      <c r="E79" s="456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6"/>
        <v>270</v>
      </c>
      <c r="N79" s="171"/>
      <c r="O79" s="277"/>
      <c r="P79" s="169" t="s">
        <v>63</v>
      </c>
      <c r="Q79" s="377"/>
      <c r="R79" s="168">
        <v>270</v>
      </c>
      <c r="S79" s="169" t="s">
        <v>63</v>
      </c>
      <c r="T79" s="278">
        <f t="shared" si="3"/>
        <v>0</v>
      </c>
      <c r="U79" s="281"/>
      <c r="V79" s="282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D6+D9</f>
        <v>250</v>
      </c>
      <c r="C80" s="456"/>
      <c r="D80" s="456"/>
      <c r="E80" s="456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6"/>
        <v>250</v>
      </c>
      <c r="N80" s="171"/>
      <c r="O80" s="277"/>
      <c r="P80" s="169" t="s">
        <v>63</v>
      </c>
      <c r="Q80" s="377"/>
      <c r="R80" s="168">
        <v>250</v>
      </c>
      <c r="S80" s="169" t="s">
        <v>63</v>
      </c>
      <c r="T80" s="278">
        <f t="shared" si="3"/>
        <v>0</v>
      </c>
      <c r="U80" s="281"/>
      <c r="V80" s="282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7"/>
      <c r="B81" s="164">
        <f>E6+E9</f>
        <v>65</v>
      </c>
      <c r="C81" s="456"/>
      <c r="D81" s="456"/>
      <c r="E81" s="456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6"/>
        <v>65</v>
      </c>
      <c r="N81" s="171"/>
      <c r="O81" s="277"/>
      <c r="P81" s="169" t="s">
        <v>63</v>
      </c>
      <c r="Q81" s="377"/>
      <c r="R81" s="277">
        <v>65</v>
      </c>
      <c r="S81" s="169" t="s">
        <v>63</v>
      </c>
      <c r="T81" s="278">
        <f>R81-M81</f>
        <v>0</v>
      </c>
      <c r="U81" s="281"/>
      <c r="V81" s="282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387"/>
      <c r="B82" s="164">
        <f>C7+C10</f>
        <v>260</v>
      </c>
      <c r="C82" s="456" t="str">
        <f>A7</f>
        <v>BK</v>
      </c>
      <c r="D82" s="456"/>
      <c r="E82" s="456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6"/>
        <v>260</v>
      </c>
      <c r="N82" s="171"/>
      <c r="O82" s="277"/>
      <c r="P82" s="169" t="s">
        <v>63</v>
      </c>
      <c r="Q82" s="377"/>
      <c r="R82" s="277">
        <v>260</v>
      </c>
      <c r="S82" s="169" t="s">
        <v>63</v>
      </c>
      <c r="T82" s="278">
        <f>R82-M82</f>
        <v>0</v>
      </c>
      <c r="U82" s="281"/>
      <c r="V82" s="282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387"/>
      <c r="B83" s="164">
        <f>D7+D10</f>
        <v>250</v>
      </c>
      <c r="C83" s="456"/>
      <c r="D83" s="456"/>
      <c r="E83" s="456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6"/>
        <v>250</v>
      </c>
      <c r="N83" s="171"/>
      <c r="O83" s="277"/>
      <c r="P83" s="169" t="s">
        <v>63</v>
      </c>
      <c r="Q83" s="377"/>
      <c r="R83" s="277">
        <v>250</v>
      </c>
      <c r="S83" s="169" t="s">
        <v>63</v>
      </c>
      <c r="T83" s="278">
        <f>R83-M83</f>
        <v>0</v>
      </c>
      <c r="U83" s="281"/>
      <c r="V83" s="282"/>
      <c r="W83" s="278"/>
      <c r="X83" s="278"/>
      <c r="Y83" s="375"/>
      <c r="Z83" s="375"/>
      <c r="AA83" s="375"/>
      <c r="AB83" s="405"/>
    </row>
    <row r="84" spans="1:28" s="176" customFormat="1" ht="54.95" customHeight="1" x14ac:dyDescent="0.15">
      <c r="A84" s="388"/>
      <c r="B84" s="164">
        <f>E7+E10</f>
        <v>59</v>
      </c>
      <c r="C84" s="456"/>
      <c r="D84" s="456"/>
      <c r="E84" s="456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6"/>
        <v>59</v>
      </c>
      <c r="N84" s="171"/>
      <c r="O84" s="277"/>
      <c r="P84" s="169" t="s">
        <v>63</v>
      </c>
      <c r="Q84" s="378"/>
      <c r="R84" s="168">
        <v>59</v>
      </c>
      <c r="S84" s="169" t="s">
        <v>63</v>
      </c>
      <c r="T84" s="278">
        <f>R84-M84</f>
        <v>0</v>
      </c>
      <c r="U84" s="281"/>
      <c r="V84" s="282"/>
      <c r="W84" s="278"/>
      <c r="X84" s="278"/>
      <c r="Y84" s="379"/>
      <c r="Z84" s="379"/>
      <c r="AA84" s="379"/>
      <c r="AB84" s="406"/>
    </row>
    <row r="85" spans="1:28" s="176" customFormat="1" ht="54.95" customHeight="1" x14ac:dyDescent="0.15">
      <c r="A85" s="386" t="s">
        <v>158</v>
      </c>
      <c r="B85" s="164">
        <f>C5</f>
        <v>240</v>
      </c>
      <c r="C85" s="456" t="str">
        <f>A5</f>
        <v>BE</v>
      </c>
      <c r="D85" s="456"/>
      <c r="E85" s="456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6"/>
        <v>240</v>
      </c>
      <c r="N85" s="171"/>
      <c r="O85" s="277"/>
      <c r="P85" s="169" t="s">
        <v>63</v>
      </c>
      <c r="Q85" s="376">
        <v>45977</v>
      </c>
      <c r="R85" s="277">
        <v>240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4" t="s">
        <v>67</v>
      </c>
      <c r="Z85" s="374"/>
      <c r="AA85" s="374"/>
      <c r="AB85" s="404" t="s">
        <v>193</v>
      </c>
    </row>
    <row r="86" spans="1:28" s="176" customFormat="1" ht="54.95" customHeight="1" x14ac:dyDescent="0.15">
      <c r="A86" s="387"/>
      <c r="B86" s="164">
        <f>D5</f>
        <v>230</v>
      </c>
      <c r="C86" s="456"/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6"/>
        <v>230</v>
      </c>
      <c r="N86" s="171"/>
      <c r="O86" s="277"/>
      <c r="P86" s="169" t="s">
        <v>63</v>
      </c>
      <c r="Q86" s="377"/>
      <c r="R86" s="277">
        <v>230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405"/>
    </row>
    <row r="87" spans="1:28" s="176" customFormat="1" ht="54.95" customHeight="1" x14ac:dyDescent="0.15">
      <c r="A87" s="387"/>
      <c r="B87" s="164">
        <f>E5</f>
        <v>54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6"/>
        <v>54</v>
      </c>
      <c r="N87" s="171"/>
      <c r="O87" s="277"/>
      <c r="P87" s="169" t="s">
        <v>63</v>
      </c>
      <c r="Q87" s="377"/>
      <c r="R87" s="277">
        <v>54</v>
      </c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405"/>
    </row>
    <row r="88" spans="1:28" s="176" customFormat="1" ht="54.95" customHeight="1" x14ac:dyDescent="0.15">
      <c r="A88" s="387"/>
      <c r="B88" s="164">
        <f>C6</f>
        <v>270</v>
      </c>
      <c r="C88" s="456" t="str">
        <f>A6</f>
        <v>GR</v>
      </c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6"/>
        <v>270</v>
      </c>
      <c r="N88" s="171"/>
      <c r="O88" s="277"/>
      <c r="P88" s="169" t="s">
        <v>63</v>
      </c>
      <c r="Q88" s="377"/>
      <c r="R88" s="168">
        <v>270</v>
      </c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405"/>
    </row>
    <row r="89" spans="1:28" s="176" customFormat="1" ht="54.95" customHeight="1" x14ac:dyDescent="0.15">
      <c r="A89" s="387"/>
      <c r="B89" s="164">
        <f>D6</f>
        <v>250</v>
      </c>
      <c r="C89" s="456"/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6"/>
        <v>250</v>
      </c>
      <c r="N89" s="171"/>
      <c r="O89" s="277"/>
      <c r="P89" s="169" t="s">
        <v>63</v>
      </c>
      <c r="Q89" s="377"/>
      <c r="R89" s="168">
        <v>250</v>
      </c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405"/>
    </row>
    <row r="90" spans="1:28" s="176" customFormat="1" ht="54.95" customHeight="1" x14ac:dyDescent="0.15">
      <c r="A90" s="387"/>
      <c r="B90" s="164">
        <f>E6</f>
        <v>65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6"/>
        <v>65</v>
      </c>
      <c r="N90" s="171"/>
      <c r="O90" s="277"/>
      <c r="P90" s="169" t="s">
        <v>63</v>
      </c>
      <c r="Q90" s="377"/>
      <c r="R90" s="277">
        <v>65</v>
      </c>
      <c r="S90" s="169" t="s">
        <v>63</v>
      </c>
      <c r="T90" s="278">
        <f t="shared" si="3"/>
        <v>0</v>
      </c>
      <c r="U90" s="281"/>
      <c r="V90" s="282"/>
      <c r="W90" s="278"/>
      <c r="X90" s="278"/>
      <c r="Y90" s="374" t="s">
        <v>67</v>
      </c>
      <c r="Z90" s="374"/>
      <c r="AA90" s="374"/>
      <c r="AB90" s="405"/>
    </row>
    <row r="91" spans="1:28" s="176" customFormat="1" ht="54.95" customHeight="1" x14ac:dyDescent="0.15">
      <c r="A91" s="387"/>
      <c r="B91" s="164">
        <f>C7</f>
        <v>260</v>
      </c>
      <c r="C91" s="456" t="str">
        <f>A7</f>
        <v>BK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6"/>
        <v>260</v>
      </c>
      <c r="N91" s="171"/>
      <c r="O91" s="277"/>
      <c r="P91" s="169" t="s">
        <v>63</v>
      </c>
      <c r="Q91" s="377"/>
      <c r="R91" s="277">
        <v>260</v>
      </c>
      <c r="S91" s="169" t="s">
        <v>63</v>
      </c>
      <c r="T91" s="278">
        <f t="shared" si="3"/>
        <v>0</v>
      </c>
      <c r="U91" s="281"/>
      <c r="V91" s="282"/>
      <c r="W91" s="278"/>
      <c r="X91" s="278"/>
      <c r="Y91" s="375"/>
      <c r="Z91" s="375"/>
      <c r="AA91" s="375"/>
      <c r="AB91" s="405"/>
    </row>
    <row r="92" spans="1:28" s="176" customFormat="1" ht="54.95" customHeight="1" x14ac:dyDescent="0.15">
      <c r="A92" s="387"/>
      <c r="B92" s="164">
        <f>D7</f>
        <v>250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6"/>
        <v>250</v>
      </c>
      <c r="N92" s="171"/>
      <c r="O92" s="277"/>
      <c r="P92" s="169" t="s">
        <v>63</v>
      </c>
      <c r="Q92" s="377"/>
      <c r="R92" s="277">
        <v>250</v>
      </c>
      <c r="S92" s="169" t="s">
        <v>63</v>
      </c>
      <c r="T92" s="278">
        <f t="shared" si="3"/>
        <v>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E7</f>
        <v>59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6"/>
        <v>59</v>
      </c>
      <c r="N93" s="171"/>
      <c r="O93" s="277"/>
      <c r="P93" s="169" t="s">
        <v>63</v>
      </c>
      <c r="Q93" s="378"/>
      <c r="R93" s="168">
        <v>59</v>
      </c>
      <c r="S93" s="169" t="s">
        <v>63</v>
      </c>
      <c r="T93" s="278">
        <f t="shared" si="3"/>
        <v>0</v>
      </c>
      <c r="U93" s="281"/>
      <c r="V93" s="282"/>
      <c r="W93" s="278"/>
      <c r="X93" s="278"/>
      <c r="Y93" s="375"/>
      <c r="Z93" s="375"/>
      <c r="AA93" s="375"/>
      <c r="AB93" s="405"/>
    </row>
    <row r="94" spans="1:28" s="55" customFormat="1" ht="54.95" customHeight="1" x14ac:dyDescent="0.15">
      <c r="A94" s="386" t="s">
        <v>159</v>
      </c>
      <c r="B94" s="87">
        <f>C11</f>
        <v>770</v>
      </c>
      <c r="C94" s="389" t="s">
        <v>71</v>
      </c>
      <c r="D94" s="390"/>
      <c r="E94" s="391"/>
      <c r="F94" s="368"/>
      <c r="G94" s="369"/>
      <c r="H94" s="370"/>
      <c r="I94" s="152"/>
      <c r="J94" s="90"/>
      <c r="K94" s="156">
        <v>1</v>
      </c>
      <c r="L94" s="77" t="s">
        <v>63</v>
      </c>
      <c r="M94" s="88">
        <f t="shared" si="6"/>
        <v>770</v>
      </c>
      <c r="N94" s="89"/>
      <c r="O94" s="153"/>
      <c r="P94" s="88" t="s">
        <v>63</v>
      </c>
      <c r="Q94" s="398">
        <v>45926</v>
      </c>
      <c r="R94" s="93">
        <v>770</v>
      </c>
      <c r="S94" s="88" t="s">
        <v>63</v>
      </c>
      <c r="T94" s="154">
        <f t="shared" si="3"/>
        <v>0</v>
      </c>
      <c r="U94" s="91"/>
      <c r="V94" s="159"/>
      <c r="W94" s="159"/>
      <c r="X94" s="159"/>
      <c r="Y94" s="401" t="s">
        <v>94</v>
      </c>
      <c r="Z94" s="416"/>
      <c r="AA94" s="416"/>
      <c r="AB94" s="419" t="s">
        <v>192</v>
      </c>
    </row>
    <row r="95" spans="1:28" s="55" customFormat="1" ht="54.95" customHeight="1" x14ac:dyDescent="0.15">
      <c r="A95" s="387"/>
      <c r="B95" s="87">
        <f>D11</f>
        <v>730</v>
      </c>
      <c r="C95" s="392"/>
      <c r="D95" s="393"/>
      <c r="E95" s="394"/>
      <c r="F95" s="368"/>
      <c r="G95" s="369"/>
      <c r="H95" s="370"/>
      <c r="I95" s="152"/>
      <c r="J95" s="90"/>
      <c r="K95" s="156">
        <v>1</v>
      </c>
      <c r="L95" s="77" t="s">
        <v>63</v>
      </c>
      <c r="M95" s="88">
        <f t="shared" si="6"/>
        <v>730</v>
      </c>
      <c r="N95" s="89"/>
      <c r="O95" s="153"/>
      <c r="P95" s="88" t="s">
        <v>63</v>
      </c>
      <c r="Q95" s="399"/>
      <c r="R95" s="93">
        <v>730</v>
      </c>
      <c r="S95" s="88" t="s">
        <v>63</v>
      </c>
      <c r="T95" s="154">
        <f t="shared" si="3"/>
        <v>0</v>
      </c>
      <c r="U95" s="91"/>
      <c r="V95" s="159"/>
      <c r="W95" s="159"/>
      <c r="X95" s="159"/>
      <c r="Y95" s="402"/>
      <c r="Z95" s="417"/>
      <c r="AA95" s="417"/>
      <c r="AB95" s="420"/>
    </row>
    <row r="96" spans="1:28" s="55" customFormat="1" ht="54.95" customHeight="1" x14ac:dyDescent="0.15">
      <c r="A96" s="387"/>
      <c r="B96" s="87">
        <f>E11</f>
        <v>178</v>
      </c>
      <c r="C96" s="392"/>
      <c r="D96" s="393"/>
      <c r="E96" s="394"/>
      <c r="F96" s="368"/>
      <c r="G96" s="369"/>
      <c r="H96" s="370"/>
      <c r="I96" s="152"/>
      <c r="J96" s="90"/>
      <c r="K96" s="156">
        <v>1</v>
      </c>
      <c r="L96" s="77" t="s">
        <v>63</v>
      </c>
      <c r="M96" s="88">
        <f t="shared" si="6"/>
        <v>178</v>
      </c>
      <c r="N96" s="89"/>
      <c r="O96" s="153"/>
      <c r="P96" s="88" t="s">
        <v>63</v>
      </c>
      <c r="Q96" s="399"/>
      <c r="R96" s="93">
        <v>178</v>
      </c>
      <c r="S96" s="88" t="s">
        <v>63</v>
      </c>
      <c r="T96" s="154">
        <f t="shared" si="3"/>
        <v>0</v>
      </c>
      <c r="U96" s="91"/>
      <c r="V96" s="159"/>
      <c r="W96" s="159"/>
      <c r="X96" s="159"/>
      <c r="Y96" s="402"/>
      <c r="Z96" s="417"/>
      <c r="AA96" s="417"/>
      <c r="AB96" s="420"/>
    </row>
    <row r="97" spans="1:29" s="55" customFormat="1" ht="54.95" customHeight="1" x14ac:dyDescent="0.15">
      <c r="A97" s="388"/>
      <c r="B97" s="87">
        <f>F11</f>
        <v>0</v>
      </c>
      <c r="C97" s="395"/>
      <c r="D97" s="396"/>
      <c r="E97" s="397"/>
      <c r="F97" s="368"/>
      <c r="G97" s="369"/>
      <c r="H97" s="370"/>
      <c r="I97" s="152"/>
      <c r="J97" s="90"/>
      <c r="K97" s="156"/>
      <c r="L97" s="77" t="s">
        <v>63</v>
      </c>
      <c r="M97" s="88">
        <f t="shared" si="6"/>
        <v>0</v>
      </c>
      <c r="N97" s="89"/>
      <c r="O97" s="153"/>
      <c r="P97" s="88" t="s">
        <v>63</v>
      </c>
      <c r="Q97" s="400"/>
      <c r="R97" s="162"/>
      <c r="S97" s="88" t="s">
        <v>63</v>
      </c>
      <c r="T97" s="154">
        <f t="shared" si="3"/>
        <v>0</v>
      </c>
      <c r="U97" s="91"/>
      <c r="V97" s="159"/>
      <c r="W97" s="159"/>
      <c r="X97" s="159"/>
      <c r="Y97" s="403"/>
      <c r="Z97" s="418"/>
      <c r="AA97" s="418"/>
      <c r="AB97" s="421"/>
    </row>
    <row r="98" spans="1:29" s="176" customFormat="1" ht="54.95" customHeight="1" x14ac:dyDescent="0.15">
      <c r="A98" s="163" t="s">
        <v>73</v>
      </c>
      <c r="B98" s="164">
        <f>I11</f>
        <v>1678</v>
      </c>
      <c r="C98" s="371" t="s">
        <v>71</v>
      </c>
      <c r="D98" s="372"/>
      <c r="E98" s="373"/>
      <c r="F98" s="371"/>
      <c r="G98" s="372"/>
      <c r="H98" s="373"/>
      <c r="I98" s="165"/>
      <c r="J98" s="166"/>
      <c r="K98" s="167">
        <v>1</v>
      </c>
      <c r="L98" s="168" t="s">
        <v>63</v>
      </c>
      <c r="M98" s="88">
        <f t="shared" si="6"/>
        <v>1678</v>
      </c>
      <c r="N98" s="170"/>
      <c r="O98" s="170"/>
      <c r="P98" s="169" t="s">
        <v>63</v>
      </c>
      <c r="Q98" s="363">
        <v>45926</v>
      </c>
      <c r="R98" s="165">
        <v>1678</v>
      </c>
      <c r="S98" s="169" t="s">
        <v>63</v>
      </c>
      <c r="T98" s="154">
        <f t="shared" si="3"/>
        <v>0</v>
      </c>
      <c r="U98" s="170"/>
      <c r="V98" s="172"/>
      <c r="W98" s="172"/>
      <c r="X98" s="172"/>
      <c r="Y98" s="374" t="s">
        <v>72</v>
      </c>
      <c r="Z98" s="380"/>
      <c r="AA98" s="383"/>
      <c r="AB98" s="360" t="s">
        <v>167</v>
      </c>
    </row>
    <row r="99" spans="1:29" s="55" customFormat="1" ht="54.95" customHeight="1" x14ac:dyDescent="0.15">
      <c r="A99" s="163" t="s">
        <v>81</v>
      </c>
      <c r="B99" s="87">
        <f>I11</f>
        <v>1678</v>
      </c>
      <c r="C99" s="368" t="s">
        <v>71</v>
      </c>
      <c r="D99" s="369"/>
      <c r="E99" s="370"/>
      <c r="F99" s="368"/>
      <c r="G99" s="369"/>
      <c r="H99" s="370"/>
      <c r="I99" s="93"/>
      <c r="J99" s="90"/>
      <c r="K99" s="156">
        <v>1</v>
      </c>
      <c r="L99" s="77" t="s">
        <v>63</v>
      </c>
      <c r="M99" s="88">
        <f>K99*B99</f>
        <v>1678</v>
      </c>
      <c r="N99" s="91"/>
      <c r="O99" s="91"/>
      <c r="P99" s="169" t="s">
        <v>63</v>
      </c>
      <c r="Q99" s="364"/>
      <c r="R99" s="165">
        <v>1678</v>
      </c>
      <c r="S99" s="169" t="s">
        <v>63</v>
      </c>
      <c r="T99" s="154">
        <f t="shared" si="3"/>
        <v>0</v>
      </c>
      <c r="U99" s="91"/>
      <c r="V99" s="91"/>
      <c r="W99" s="91"/>
      <c r="X99" s="91"/>
      <c r="Y99" s="375"/>
      <c r="Z99" s="381"/>
      <c r="AA99" s="384"/>
      <c r="AB99" s="361"/>
    </row>
    <row r="100" spans="1:29" s="55" customFormat="1" ht="54.95" customHeight="1" x14ac:dyDescent="0.15">
      <c r="A100" s="284" t="s">
        <v>160</v>
      </c>
      <c r="B100" s="87">
        <f>I11</f>
        <v>1678</v>
      </c>
      <c r="C100" s="368" t="s">
        <v>71</v>
      </c>
      <c r="D100" s="369"/>
      <c r="E100" s="370"/>
      <c r="F100" s="368"/>
      <c r="G100" s="369"/>
      <c r="H100" s="370"/>
      <c r="I100" s="93"/>
      <c r="J100" s="93"/>
      <c r="K100" s="156">
        <v>1</v>
      </c>
      <c r="L100" s="77" t="s">
        <v>63</v>
      </c>
      <c r="M100" s="88">
        <f t="shared" si="6"/>
        <v>1678</v>
      </c>
      <c r="N100" s="91"/>
      <c r="O100" s="91"/>
      <c r="P100" s="89" t="s">
        <v>63</v>
      </c>
      <c r="Q100" s="365"/>
      <c r="R100" s="93">
        <v>1800</v>
      </c>
      <c r="S100" s="89" t="s">
        <v>63</v>
      </c>
      <c r="T100" s="154">
        <f t="shared" si="3"/>
        <v>122</v>
      </c>
      <c r="U100" s="91"/>
      <c r="V100" s="91"/>
      <c r="W100" s="91"/>
      <c r="X100" s="91"/>
      <c r="Y100" s="379"/>
      <c r="Z100" s="382"/>
      <c r="AA100" s="385"/>
      <c r="AB100" s="362"/>
    </row>
    <row r="101" spans="1:29" x14ac:dyDescent="0.15">
      <c r="A101" s="285"/>
      <c r="B101" s="366"/>
      <c r="C101" s="366"/>
      <c r="D101" s="177"/>
      <c r="E101" s="177"/>
      <c r="F101" s="100"/>
      <c r="G101" s="100"/>
      <c r="H101" s="100"/>
      <c r="I101" s="177"/>
      <c r="J101" s="177"/>
      <c r="K101" s="101"/>
      <c r="L101" s="102"/>
      <c r="M101" s="103"/>
      <c r="N101" s="104"/>
      <c r="O101" s="104"/>
      <c r="P101" s="177"/>
      <c r="Q101" s="105"/>
      <c r="R101" s="105"/>
      <c r="S101" s="106"/>
      <c r="T101" s="107"/>
      <c r="U101" s="108"/>
      <c r="V101" s="108"/>
      <c r="W101" s="109"/>
      <c r="X101" s="107"/>
      <c r="Y101" s="110"/>
      <c r="Z101" s="111"/>
      <c r="AA101" s="111"/>
    </row>
    <row r="102" spans="1:29" x14ac:dyDescent="0.15">
      <c r="A102" s="285"/>
      <c r="B102" s="366"/>
      <c r="C102" s="366"/>
      <c r="D102" s="177"/>
      <c r="E102" s="177"/>
      <c r="F102" s="367"/>
      <c r="G102" s="367"/>
      <c r="H102" s="367"/>
      <c r="I102" s="177"/>
      <c r="J102" s="177"/>
      <c r="K102" s="101"/>
      <c r="L102" s="102"/>
      <c r="M102" s="103"/>
      <c r="N102" s="104"/>
      <c r="O102" s="104"/>
      <c r="P102" s="177"/>
      <c r="Q102" s="105"/>
      <c r="R102" s="105"/>
      <c r="S102" s="106"/>
      <c r="T102" s="107"/>
      <c r="U102" s="108"/>
      <c r="V102" s="108"/>
      <c r="W102" s="109"/>
      <c r="X102" s="107"/>
      <c r="Y102" s="112"/>
      <c r="Z102" s="111"/>
      <c r="AA102" s="111"/>
    </row>
    <row r="103" spans="1:29" x14ac:dyDescent="0.15">
      <c r="J103" s="177"/>
    </row>
    <row r="104" spans="1:29" x14ac:dyDescent="0.15">
      <c r="J104" s="177"/>
    </row>
    <row r="111" spans="1:29" s="114" customFormat="1" x14ac:dyDescent="0.15">
      <c r="A111" s="286"/>
      <c r="B111" s="113"/>
      <c r="C111" s="1"/>
      <c r="D111" s="1"/>
      <c r="E111" s="1"/>
      <c r="F111" s="1"/>
      <c r="G111" s="1"/>
      <c r="H111" s="1"/>
      <c r="I111" s="1"/>
      <c r="J111" s="1"/>
      <c r="L111" s="115"/>
      <c r="M111" s="116"/>
      <c r="N111" s="117"/>
      <c r="O111" s="117"/>
      <c r="P111" s="1"/>
      <c r="Q111" s="118"/>
      <c r="R111" s="118"/>
      <c r="S111" s="115"/>
      <c r="T111" s="119"/>
      <c r="U111" s="1"/>
      <c r="V111" s="1"/>
      <c r="W111" s="120"/>
      <c r="X111" s="121"/>
      <c r="Y111" s="1"/>
      <c r="Z111" s="1"/>
      <c r="AA111" s="1"/>
      <c r="AB111" s="1"/>
      <c r="AC111" s="1"/>
    </row>
    <row r="112" spans="1:29" s="114" customFormat="1" x14ac:dyDescent="0.15">
      <c r="A112" s="286"/>
      <c r="B112" s="113"/>
      <c r="C112" s="1"/>
      <c r="D112" s="1"/>
      <c r="E112" s="1"/>
      <c r="F112" s="1"/>
      <c r="G112" s="1"/>
      <c r="H112" s="1"/>
      <c r="I112" s="1"/>
      <c r="J112" s="1"/>
      <c r="L112" s="115"/>
      <c r="M112" s="116"/>
      <c r="N112" s="117"/>
      <c r="O112" s="117"/>
      <c r="P112" s="1"/>
      <c r="Q112" s="118"/>
      <c r="R112" s="118"/>
      <c r="S112" s="115"/>
      <c r="T112" s="119"/>
      <c r="U112" s="1"/>
      <c r="V112" s="1"/>
      <c r="W112" s="120"/>
      <c r="X112" s="121"/>
      <c r="Y112" s="1"/>
      <c r="Z112" s="1"/>
      <c r="AA112" s="1"/>
      <c r="AB112" s="1"/>
      <c r="AC112" s="1"/>
    </row>
  </sheetData>
  <mergeCells count="346">
    <mergeCell ref="AB98:AB100"/>
    <mergeCell ref="Q98:Q100"/>
    <mergeCell ref="Q41:Q49"/>
    <mergeCell ref="AB41:AB49"/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3:A14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C19:E19"/>
    <mergeCell ref="F19:H19"/>
    <mergeCell ref="A20:A22"/>
    <mergeCell ref="C20:E20"/>
    <mergeCell ref="F20:H20"/>
    <mergeCell ref="I20:I22"/>
    <mergeCell ref="AC15:AF15"/>
    <mergeCell ref="C17:E17"/>
    <mergeCell ref="F17:H17"/>
    <mergeCell ref="AC17:AF17"/>
    <mergeCell ref="A18:A19"/>
    <mergeCell ref="C18:E18"/>
    <mergeCell ref="F18:H18"/>
    <mergeCell ref="Q18:Q19"/>
    <mergeCell ref="Y18:Y19"/>
    <mergeCell ref="AB18:AB19"/>
    <mergeCell ref="A15:A17"/>
    <mergeCell ref="C15:E15"/>
    <mergeCell ref="F15:H15"/>
    <mergeCell ref="Q15:Q17"/>
    <mergeCell ref="Y15:Y17"/>
    <mergeCell ref="AB15:AB17"/>
    <mergeCell ref="Q20:Q22"/>
    <mergeCell ref="Y20:Y22"/>
    <mergeCell ref="AB20:AB22"/>
    <mergeCell ref="C22:E22"/>
    <mergeCell ref="F22:H22"/>
    <mergeCell ref="A23:A25"/>
    <mergeCell ref="C23:E23"/>
    <mergeCell ref="F23:H23"/>
    <mergeCell ref="I23:I25"/>
    <mergeCell ref="Q23:Q25"/>
    <mergeCell ref="Y23:Y25"/>
    <mergeCell ref="AB23:AB25"/>
    <mergeCell ref="C25:E25"/>
    <mergeCell ref="F25:H25"/>
    <mergeCell ref="A26:A28"/>
    <mergeCell ref="C26:E26"/>
    <mergeCell ref="F26:H26"/>
    <mergeCell ref="I26:I28"/>
    <mergeCell ref="Q26:Q28"/>
    <mergeCell ref="Y26:Y28"/>
    <mergeCell ref="A32:A34"/>
    <mergeCell ref="C32:E32"/>
    <mergeCell ref="F32:H32"/>
    <mergeCell ref="I32:I34"/>
    <mergeCell ref="Q32:Q34"/>
    <mergeCell ref="Y32:Y34"/>
    <mergeCell ref="A29:A31"/>
    <mergeCell ref="C29:E29"/>
    <mergeCell ref="F29:H29"/>
    <mergeCell ref="I29:I31"/>
    <mergeCell ref="Q29:Q31"/>
    <mergeCell ref="Y29:Y31"/>
    <mergeCell ref="C31:E31"/>
    <mergeCell ref="C33:E33"/>
    <mergeCell ref="F33:H33"/>
    <mergeCell ref="C30:E30"/>
    <mergeCell ref="F30:H30"/>
    <mergeCell ref="AC37:AF37"/>
    <mergeCell ref="A38:A40"/>
    <mergeCell ref="C38:E38"/>
    <mergeCell ref="F38:H38"/>
    <mergeCell ref="I38:I40"/>
    <mergeCell ref="Q38:Q40"/>
    <mergeCell ref="Y38:Y40"/>
    <mergeCell ref="AB38:AB40"/>
    <mergeCell ref="C40:E40"/>
    <mergeCell ref="A35:A37"/>
    <mergeCell ref="C35:E35"/>
    <mergeCell ref="F35:H35"/>
    <mergeCell ref="I35:I37"/>
    <mergeCell ref="Q35:Q37"/>
    <mergeCell ref="Y35:Y37"/>
    <mergeCell ref="AB35:AB37"/>
    <mergeCell ref="C37:E37"/>
    <mergeCell ref="A41:A43"/>
    <mergeCell ref="C41:E41"/>
    <mergeCell ref="F41:H41"/>
    <mergeCell ref="I41:I43"/>
    <mergeCell ref="Y41:Y43"/>
    <mergeCell ref="C43:E43"/>
    <mergeCell ref="F37:H37"/>
    <mergeCell ref="C42:E42"/>
    <mergeCell ref="F42:H42"/>
    <mergeCell ref="AC46:AF46"/>
    <mergeCell ref="A47:A49"/>
    <mergeCell ref="C47:E47"/>
    <mergeCell ref="F47:H47"/>
    <mergeCell ref="I47:I49"/>
    <mergeCell ref="Y47:Y49"/>
    <mergeCell ref="C49:E49"/>
    <mergeCell ref="F49:H49"/>
    <mergeCell ref="A44:A46"/>
    <mergeCell ref="C44:E44"/>
    <mergeCell ref="F44:H44"/>
    <mergeCell ref="I44:I46"/>
    <mergeCell ref="Y44:Y46"/>
    <mergeCell ref="C46:E46"/>
    <mergeCell ref="F46:H46"/>
    <mergeCell ref="C48:E48"/>
    <mergeCell ref="F48:H48"/>
    <mergeCell ref="AC48:AF48"/>
    <mergeCell ref="A53:A55"/>
    <mergeCell ref="C53:E53"/>
    <mergeCell ref="F53:H53"/>
    <mergeCell ref="Q53:Q55"/>
    <mergeCell ref="Y53:Y55"/>
    <mergeCell ref="AB53:AB55"/>
    <mergeCell ref="C55:E55"/>
    <mergeCell ref="F55:H55"/>
    <mergeCell ref="AC49:AF49"/>
    <mergeCell ref="A50:A52"/>
    <mergeCell ref="C50:E50"/>
    <mergeCell ref="F50:H50"/>
    <mergeCell ref="Q50:Q52"/>
    <mergeCell ref="Y50:Y52"/>
    <mergeCell ref="AB50:AB52"/>
    <mergeCell ref="C52:E52"/>
    <mergeCell ref="F52:H52"/>
    <mergeCell ref="C51:E51"/>
    <mergeCell ref="F51:H51"/>
    <mergeCell ref="C54:E54"/>
    <mergeCell ref="F54:H54"/>
    <mergeCell ref="Q59:Q61"/>
    <mergeCell ref="Y59:Y61"/>
    <mergeCell ref="AB59:AB61"/>
    <mergeCell ref="C61:E61"/>
    <mergeCell ref="F61:H61"/>
    <mergeCell ref="C60:E60"/>
    <mergeCell ref="F60:H60"/>
    <mergeCell ref="A56:A58"/>
    <mergeCell ref="C56:E56"/>
    <mergeCell ref="F56:H56"/>
    <mergeCell ref="Q56:Q58"/>
    <mergeCell ref="Y56:Y58"/>
    <mergeCell ref="AB56:AB58"/>
    <mergeCell ref="C58:E58"/>
    <mergeCell ref="F58:H58"/>
    <mergeCell ref="C57:E57"/>
    <mergeCell ref="F57:H57"/>
    <mergeCell ref="F66:H66"/>
    <mergeCell ref="C69:E69"/>
    <mergeCell ref="F69:H69"/>
    <mergeCell ref="C70:E70"/>
    <mergeCell ref="F70:H70"/>
    <mergeCell ref="A59:A61"/>
    <mergeCell ref="C59:E59"/>
    <mergeCell ref="F59:H59"/>
    <mergeCell ref="A62:A64"/>
    <mergeCell ref="C62:E62"/>
    <mergeCell ref="F62:H62"/>
    <mergeCell ref="A71:A75"/>
    <mergeCell ref="C71:E75"/>
    <mergeCell ref="F71:H71"/>
    <mergeCell ref="Q71:Q75"/>
    <mergeCell ref="C76:E78"/>
    <mergeCell ref="C79:E81"/>
    <mergeCell ref="C82:E84"/>
    <mergeCell ref="AA76:AA84"/>
    <mergeCell ref="AB65:AB67"/>
    <mergeCell ref="C67:E67"/>
    <mergeCell ref="F67:H67"/>
    <mergeCell ref="A68:A70"/>
    <mergeCell ref="C68:E68"/>
    <mergeCell ref="F68:H68"/>
    <mergeCell ref="I68:I70"/>
    <mergeCell ref="Q68:Q70"/>
    <mergeCell ref="Y68:Y70"/>
    <mergeCell ref="AB68:AB70"/>
    <mergeCell ref="A65:A67"/>
    <mergeCell ref="C65:E65"/>
    <mergeCell ref="F65:H65"/>
    <mergeCell ref="I65:I67"/>
    <mergeCell ref="Q65:Q67"/>
    <mergeCell ref="Y65:Y67"/>
    <mergeCell ref="Y90:Y93"/>
    <mergeCell ref="Z90:Z93"/>
    <mergeCell ref="F85:H85"/>
    <mergeCell ref="Y85:Y89"/>
    <mergeCell ref="Z85:Z89"/>
    <mergeCell ref="A76:A84"/>
    <mergeCell ref="F76:H76"/>
    <mergeCell ref="Q76:Q84"/>
    <mergeCell ref="Y76:Y84"/>
    <mergeCell ref="Z76:Z84"/>
    <mergeCell ref="F84:H84"/>
    <mergeCell ref="Q85:Q93"/>
    <mergeCell ref="AB94:AB97"/>
    <mergeCell ref="F95:H95"/>
    <mergeCell ref="F96:H96"/>
    <mergeCell ref="F97:H97"/>
    <mergeCell ref="AA90:AA93"/>
    <mergeCell ref="F91:H91"/>
    <mergeCell ref="F92:H92"/>
    <mergeCell ref="F93:H93"/>
    <mergeCell ref="A94:A97"/>
    <mergeCell ref="C94:E97"/>
    <mergeCell ref="F94:H94"/>
    <mergeCell ref="Q94:Q97"/>
    <mergeCell ref="Y94:Y97"/>
    <mergeCell ref="A85:A93"/>
    <mergeCell ref="C85:E87"/>
    <mergeCell ref="C88:E90"/>
    <mergeCell ref="C91:E93"/>
    <mergeCell ref="AA85:AA89"/>
    <mergeCell ref="AB85:AB93"/>
    <mergeCell ref="F86:H86"/>
    <mergeCell ref="F87:H87"/>
    <mergeCell ref="F88:H88"/>
    <mergeCell ref="F89:H89"/>
    <mergeCell ref="F90:H90"/>
    <mergeCell ref="B102:C102"/>
    <mergeCell ref="F102:H102"/>
    <mergeCell ref="C16:E16"/>
    <mergeCell ref="F16:H16"/>
    <mergeCell ref="AC16:AF16"/>
    <mergeCell ref="C21:E21"/>
    <mergeCell ref="F21:H21"/>
    <mergeCell ref="C24:E24"/>
    <mergeCell ref="F24:H24"/>
    <mergeCell ref="C27:E27"/>
    <mergeCell ref="C99:E99"/>
    <mergeCell ref="F99:H99"/>
    <mergeCell ref="C100:E100"/>
    <mergeCell ref="F100:H100"/>
    <mergeCell ref="B101:C101"/>
    <mergeCell ref="C98:E98"/>
    <mergeCell ref="F98:H98"/>
    <mergeCell ref="Y98:Y100"/>
    <mergeCell ref="Z98:Z100"/>
    <mergeCell ref="AA98:AA100"/>
    <mergeCell ref="Z94:Z97"/>
    <mergeCell ref="AA94:AA97"/>
    <mergeCell ref="AC33:AF33"/>
    <mergeCell ref="F27:H27"/>
    <mergeCell ref="AC30:AF30"/>
    <mergeCell ref="C36:E36"/>
    <mergeCell ref="F36:H36"/>
    <mergeCell ref="AC36:AF36"/>
    <mergeCell ref="F34:H34"/>
    <mergeCell ref="AC34:AF34"/>
    <mergeCell ref="F31:H31"/>
    <mergeCell ref="AC31:AF31"/>
    <mergeCell ref="AB32:AB34"/>
    <mergeCell ref="C34:E34"/>
    <mergeCell ref="AB26:AB31"/>
    <mergeCell ref="C28:E28"/>
    <mergeCell ref="F28:H28"/>
    <mergeCell ref="AC42:AF42"/>
    <mergeCell ref="C45:E45"/>
    <mergeCell ref="F45:H45"/>
    <mergeCell ref="AC45:AF45"/>
    <mergeCell ref="C39:E39"/>
    <mergeCell ref="F39:H39"/>
    <mergeCell ref="AC39:AF39"/>
    <mergeCell ref="F43:H43"/>
    <mergeCell ref="AC43:AF43"/>
    <mergeCell ref="F40:H40"/>
    <mergeCell ref="AC40:AF40"/>
    <mergeCell ref="Q62:Q64"/>
    <mergeCell ref="Y62:Y64"/>
    <mergeCell ref="AB62:AB64"/>
    <mergeCell ref="C63:E63"/>
    <mergeCell ref="F63:H63"/>
    <mergeCell ref="C64:E64"/>
    <mergeCell ref="F64:H64"/>
    <mergeCell ref="AB76:AB84"/>
    <mergeCell ref="F77:H77"/>
    <mergeCell ref="F78:H78"/>
    <mergeCell ref="F79:H79"/>
    <mergeCell ref="F80:H80"/>
    <mergeCell ref="F81:H81"/>
    <mergeCell ref="F82:H82"/>
    <mergeCell ref="F83:H83"/>
    <mergeCell ref="AB71:AB75"/>
    <mergeCell ref="Y71:Y75"/>
    <mergeCell ref="Z71:Z75"/>
    <mergeCell ref="AA71:AA75"/>
    <mergeCell ref="F72:H72"/>
    <mergeCell ref="F73:H73"/>
    <mergeCell ref="F74:H74"/>
    <mergeCell ref="F75:H75"/>
    <mergeCell ref="C66:E6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2" orientation="portrait" r:id="rId1"/>
  <headerFooter alignWithMargins="0"/>
  <rowBreaks count="1" manualBreakCount="1">
    <brk id="75" max="27" man="1"/>
  </rowBreaks>
  <colBreaks count="1" manualBreakCount="1">
    <brk id="2" max="4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F0C8-B2E1-4C96-A508-B5B429DFA1D0}">
  <sheetPr>
    <pageSetUpPr fitToPage="1"/>
  </sheetPr>
  <dimension ref="A1:AF117"/>
  <sheetViews>
    <sheetView view="pageBreakPreview" topLeftCell="A38" zoomScale="75" zoomScaleNormal="100" zoomScaleSheetLayoutView="75" workbookViewId="0">
      <selection activeCell="S44" sqref="S44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162</v>
      </c>
      <c r="C2" s="548"/>
      <c r="D2" s="548"/>
      <c r="E2" s="548"/>
      <c r="F2" s="548"/>
      <c r="G2" s="549"/>
      <c r="H2" s="180" t="s">
        <v>1</v>
      </c>
      <c r="I2" s="550">
        <f>I11</f>
        <v>2962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95</v>
      </c>
      <c r="B5" s="480"/>
      <c r="C5" s="182">
        <v>290</v>
      </c>
      <c r="D5" s="182">
        <v>330</v>
      </c>
      <c r="E5" s="182">
        <v>175</v>
      </c>
      <c r="F5" s="182"/>
      <c r="G5" s="182"/>
      <c r="H5" s="542" t="s">
        <v>24</v>
      </c>
      <c r="I5" s="524">
        <f t="shared" ref="I5:I11" si="0">SUM(C5:G5)</f>
        <v>795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161</v>
      </c>
      <c r="B6" s="523"/>
      <c r="C6" s="182">
        <v>360</v>
      </c>
      <c r="D6" s="182">
        <v>440</v>
      </c>
      <c r="E6" s="182">
        <v>191</v>
      </c>
      <c r="F6" s="182"/>
      <c r="G6" s="182"/>
      <c r="H6" s="537"/>
      <c r="I6" s="524">
        <f t="shared" si="0"/>
        <v>991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 t="s">
        <v>98</v>
      </c>
      <c r="B7" s="531"/>
      <c r="C7" s="183">
        <v>390</v>
      </c>
      <c r="D7" s="183">
        <v>490</v>
      </c>
      <c r="E7" s="183">
        <v>296</v>
      </c>
      <c r="F7" s="183"/>
      <c r="G7" s="183"/>
      <c r="H7" s="532"/>
      <c r="I7" s="532">
        <f t="shared" si="0"/>
        <v>1176</v>
      </c>
      <c r="J7" s="532"/>
      <c r="K7" s="25"/>
      <c r="L7" s="24"/>
      <c r="M7" s="24"/>
      <c r="N7" s="24"/>
      <c r="O7" s="23"/>
      <c r="P7" s="533" t="s">
        <v>178</v>
      </c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45923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1040</v>
      </c>
      <c r="D11" s="181">
        <f>SUM(D5:D10)</f>
        <v>1260</v>
      </c>
      <c r="E11" s="181">
        <f>SUM(E5:E10)</f>
        <v>662</v>
      </c>
      <c r="F11" s="181">
        <f>SUM(F5:F10)</f>
        <v>0</v>
      </c>
      <c r="G11" s="181">
        <f>SUM(G5:G10)</f>
        <v>0</v>
      </c>
      <c r="H11" s="182"/>
      <c r="I11" s="481">
        <f t="shared" si="0"/>
        <v>2962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46073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1060.8</v>
      </c>
      <c r="D12" s="43">
        <f>D11*1.02</f>
        <v>1285.2</v>
      </c>
      <c r="E12" s="43">
        <f>E11*1.02</f>
        <v>675.24</v>
      </c>
      <c r="F12" s="43">
        <f>F11*1.02</f>
        <v>0</v>
      </c>
      <c r="G12" s="43">
        <f>G11*1.02</f>
        <v>0</v>
      </c>
      <c r="H12" s="44"/>
      <c r="I12" s="486">
        <f>I11*1.02</f>
        <v>3021.2400000000002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5" si="1">$I$5</f>
        <v>795</v>
      </c>
      <c r="C15" s="474" t="str">
        <f t="shared" ref="C15:C25" si="2">$A$5</f>
        <v>DN</v>
      </c>
      <c r="D15" s="475"/>
      <c r="E15" s="476"/>
      <c r="F15" s="474"/>
      <c r="G15" s="475"/>
      <c r="H15" s="476"/>
      <c r="I15" s="477" t="s">
        <v>133</v>
      </c>
      <c r="J15" s="65" t="s">
        <v>6</v>
      </c>
      <c r="K15" s="66">
        <v>1.1499999999999999</v>
      </c>
      <c r="L15" s="67" t="s">
        <v>7</v>
      </c>
      <c r="M15" s="68">
        <f>K15*B15</f>
        <v>914.24999999999989</v>
      </c>
      <c r="N15" s="69"/>
      <c r="O15" s="70"/>
      <c r="P15" s="67" t="s">
        <v>7</v>
      </c>
      <c r="Q15" s="478">
        <v>45926</v>
      </c>
      <c r="R15" s="122">
        <v>916.25</v>
      </c>
      <c r="S15" s="71" t="s">
        <v>7</v>
      </c>
      <c r="T15" s="123">
        <f t="shared" ref="T15:T110" si="3">R15-M15</f>
        <v>2.0000000000001137</v>
      </c>
      <c r="U15" s="72"/>
      <c r="V15" s="72"/>
      <c r="W15" s="73"/>
      <c r="X15" s="74"/>
      <c r="Y15" s="479" t="s">
        <v>163</v>
      </c>
      <c r="Z15" s="63"/>
      <c r="AA15" s="64"/>
      <c r="AB15" s="566" t="s">
        <v>167</v>
      </c>
      <c r="AC15" s="471"/>
      <c r="AD15" s="472"/>
      <c r="AE15" s="472"/>
      <c r="AF15" s="472"/>
    </row>
    <row r="16" spans="1:32" s="176" customFormat="1" ht="69.95" customHeight="1" x14ac:dyDescent="0.15">
      <c r="A16" s="559"/>
      <c r="B16" s="239">
        <f>$I$6</f>
        <v>991</v>
      </c>
      <c r="C16" s="456" t="str">
        <f>$A$6</f>
        <v>CO</v>
      </c>
      <c r="D16" s="456"/>
      <c r="E16" s="456"/>
      <c r="F16" s="456"/>
      <c r="G16" s="456"/>
      <c r="H16" s="456"/>
      <c r="I16" s="563"/>
      <c r="J16" s="240" t="s">
        <v>6</v>
      </c>
      <c r="K16" s="241">
        <v>1.1499999999999999</v>
      </c>
      <c r="L16" s="168" t="s">
        <v>7</v>
      </c>
      <c r="M16" s="242">
        <f t="shared" ref="M16:M91" si="4">K16*B16</f>
        <v>1139.6499999999999</v>
      </c>
      <c r="N16" s="243"/>
      <c r="O16" s="253"/>
      <c r="P16" s="168" t="s">
        <v>7</v>
      </c>
      <c r="Q16" s="447"/>
      <c r="R16" s="254">
        <v>1140</v>
      </c>
      <c r="S16" s="255" t="s">
        <v>7</v>
      </c>
      <c r="T16" s="245">
        <f t="shared" si="3"/>
        <v>0.35000000000013642</v>
      </c>
      <c r="U16" s="256"/>
      <c r="V16" s="256"/>
      <c r="W16" s="257"/>
      <c r="X16" s="258"/>
      <c r="Y16" s="557"/>
      <c r="Z16" s="259"/>
      <c r="AA16" s="249"/>
      <c r="AB16" s="361"/>
      <c r="AC16" s="250"/>
      <c r="AD16" s="251"/>
      <c r="AE16" s="251"/>
      <c r="AF16" s="251"/>
    </row>
    <row r="17" spans="1:32" s="176" customFormat="1" ht="69.95" customHeight="1" x14ac:dyDescent="0.15">
      <c r="A17" s="432"/>
      <c r="B17" s="239">
        <f>$I$7</f>
        <v>1176</v>
      </c>
      <c r="C17" s="456" t="str">
        <f>$A$7</f>
        <v>BK</v>
      </c>
      <c r="D17" s="456"/>
      <c r="E17" s="456"/>
      <c r="F17" s="456"/>
      <c r="G17" s="456"/>
      <c r="H17" s="456"/>
      <c r="I17" s="442"/>
      <c r="J17" s="240" t="s">
        <v>6</v>
      </c>
      <c r="K17" s="241">
        <v>1.1499999999999999</v>
      </c>
      <c r="L17" s="168" t="s">
        <v>7</v>
      </c>
      <c r="M17" s="242">
        <f t="shared" si="4"/>
        <v>1352.3999999999999</v>
      </c>
      <c r="N17" s="243"/>
      <c r="O17" s="253"/>
      <c r="P17" s="168" t="s">
        <v>7</v>
      </c>
      <c r="Q17" s="444"/>
      <c r="R17" s="254">
        <v>1353</v>
      </c>
      <c r="S17" s="255" t="s">
        <v>7</v>
      </c>
      <c r="T17" s="245">
        <f t="shared" si="3"/>
        <v>0.60000000000013642</v>
      </c>
      <c r="U17" s="256"/>
      <c r="V17" s="256"/>
      <c r="W17" s="257"/>
      <c r="X17" s="258"/>
      <c r="Y17" s="446"/>
      <c r="Z17" s="259"/>
      <c r="AA17" s="249"/>
      <c r="AB17" s="362"/>
      <c r="AC17" s="250"/>
      <c r="AD17" s="251"/>
      <c r="AE17" s="251"/>
      <c r="AF17" s="251"/>
    </row>
    <row r="18" spans="1:32" s="55" customFormat="1" ht="69.95" hidden="1" customHeight="1" x14ac:dyDescent="0.15">
      <c r="A18" s="431" t="s">
        <v>83</v>
      </c>
      <c r="B18" s="182">
        <f t="shared" si="1"/>
        <v>795</v>
      </c>
      <c r="C18" s="461" t="str">
        <f t="shared" si="2"/>
        <v>DN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991</v>
      </c>
      <c r="C19" s="461" t="str">
        <f>$A$6</f>
        <v>CO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85</v>
      </c>
      <c r="B20" s="182">
        <f t="shared" si="1"/>
        <v>795</v>
      </c>
      <c r="C20" s="461" t="str">
        <f t="shared" si="2"/>
        <v>DN</v>
      </c>
      <c r="D20" s="461"/>
      <c r="E20" s="461"/>
      <c r="F20" s="461"/>
      <c r="G20" s="461"/>
      <c r="H20" s="461"/>
      <c r="I20" s="441" t="s">
        <v>8</v>
      </c>
      <c r="J20" s="76" t="s">
        <v>6</v>
      </c>
      <c r="K20" s="136">
        <v>0.21</v>
      </c>
      <c r="L20" s="77" t="s">
        <v>7</v>
      </c>
      <c r="M20" s="78">
        <f t="shared" si="4"/>
        <v>166.95</v>
      </c>
      <c r="N20" s="79"/>
      <c r="O20" s="78"/>
      <c r="P20" s="80" t="s">
        <v>7</v>
      </c>
      <c r="Q20" s="443">
        <v>45926</v>
      </c>
      <c r="R20" s="78">
        <v>169</v>
      </c>
      <c r="S20" s="80" t="s">
        <v>7</v>
      </c>
      <c r="T20" s="81">
        <f t="shared" si="3"/>
        <v>2.0500000000000114</v>
      </c>
      <c r="U20" s="82"/>
      <c r="V20" s="137"/>
      <c r="W20" s="78"/>
      <c r="X20" s="78"/>
      <c r="Y20" s="445" t="s">
        <v>93</v>
      </c>
      <c r="Z20" s="138"/>
      <c r="AA20" s="135"/>
      <c r="AB20" s="360" t="s">
        <v>167</v>
      </c>
      <c r="AC20" s="229"/>
      <c r="AD20" s="230"/>
      <c r="AE20" s="230"/>
      <c r="AF20" s="230"/>
    </row>
    <row r="21" spans="1:32" s="206" customFormat="1" ht="69.95" customHeight="1" x14ac:dyDescent="0.15">
      <c r="A21" s="559"/>
      <c r="B21" s="182">
        <f>$I$6</f>
        <v>991</v>
      </c>
      <c r="C21" s="461" t="str">
        <f>$A$6</f>
        <v>CO</v>
      </c>
      <c r="D21" s="461"/>
      <c r="E21" s="461"/>
      <c r="F21" s="461"/>
      <c r="G21" s="461"/>
      <c r="H21" s="461"/>
      <c r="I21" s="563"/>
      <c r="J21" s="76" t="s">
        <v>6</v>
      </c>
      <c r="K21" s="136">
        <v>0.21</v>
      </c>
      <c r="L21" s="77" t="s">
        <v>7</v>
      </c>
      <c r="M21" s="78">
        <f t="shared" ref="M21" si="5">K21*B21</f>
        <v>208.10999999999999</v>
      </c>
      <c r="N21" s="79"/>
      <c r="O21" s="128"/>
      <c r="P21" s="77" t="s">
        <v>7</v>
      </c>
      <c r="Q21" s="447"/>
      <c r="R21" s="130">
        <v>209</v>
      </c>
      <c r="S21" s="75" t="s">
        <v>7</v>
      </c>
      <c r="T21" s="81">
        <f t="shared" ref="T21" si="6">R21-M21</f>
        <v>0.89000000000001478</v>
      </c>
      <c r="U21" s="131"/>
      <c r="V21" s="131"/>
      <c r="W21" s="132"/>
      <c r="X21" s="133"/>
      <c r="Y21" s="557"/>
      <c r="Z21" s="228"/>
      <c r="AA21" s="228"/>
      <c r="AB21" s="361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82">
        <f>$I$7</f>
        <v>1176</v>
      </c>
      <c r="C22" s="461" t="str">
        <f>$A$7</f>
        <v>BK</v>
      </c>
      <c r="D22" s="461"/>
      <c r="E22" s="461"/>
      <c r="F22" s="461"/>
      <c r="G22" s="461"/>
      <c r="H22" s="461"/>
      <c r="I22" s="442"/>
      <c r="J22" s="76" t="s">
        <v>6</v>
      </c>
      <c r="K22" s="136">
        <v>0.21</v>
      </c>
      <c r="L22" s="77" t="s">
        <v>7</v>
      </c>
      <c r="M22" s="78">
        <f t="shared" si="4"/>
        <v>246.95999999999998</v>
      </c>
      <c r="N22" s="79"/>
      <c r="O22" s="128"/>
      <c r="P22" s="77" t="s">
        <v>7</v>
      </c>
      <c r="Q22" s="444"/>
      <c r="R22" s="130">
        <v>247</v>
      </c>
      <c r="S22" s="75" t="s">
        <v>7</v>
      </c>
      <c r="T22" s="81">
        <f t="shared" si="3"/>
        <v>4.0000000000020464E-2</v>
      </c>
      <c r="U22" s="131"/>
      <c r="V22" s="131"/>
      <c r="W22" s="132"/>
      <c r="X22" s="133"/>
      <c r="Y22" s="446"/>
      <c r="Z22" s="228"/>
      <c r="AA22" s="228"/>
      <c r="AB22" s="362"/>
      <c r="AC22" s="229"/>
      <c r="AD22" s="230"/>
      <c r="AE22" s="230"/>
      <c r="AF22" s="230"/>
    </row>
    <row r="23" spans="1:32" s="206" customFormat="1" ht="69.95" customHeight="1" x14ac:dyDescent="0.15">
      <c r="A23" s="431" t="s">
        <v>115</v>
      </c>
      <c r="B23" s="191">
        <f t="shared" si="1"/>
        <v>795</v>
      </c>
      <c r="C23" s="465" t="str">
        <f t="shared" si="2"/>
        <v>DN</v>
      </c>
      <c r="D23" s="465"/>
      <c r="E23" s="465"/>
      <c r="F23" s="465"/>
      <c r="G23" s="465"/>
      <c r="H23" s="465"/>
      <c r="I23" s="433" t="s">
        <v>8</v>
      </c>
      <c r="J23" s="192" t="s">
        <v>6</v>
      </c>
      <c r="K23" s="209">
        <v>0.78</v>
      </c>
      <c r="L23" s="194" t="s">
        <v>7</v>
      </c>
      <c r="M23" s="195">
        <f t="shared" si="4"/>
        <v>620.1</v>
      </c>
      <c r="N23" s="196"/>
      <c r="O23" s="195"/>
      <c r="P23" s="197" t="s">
        <v>7</v>
      </c>
      <c r="Q23" s="435"/>
      <c r="R23" s="195"/>
      <c r="S23" s="197" t="s">
        <v>7</v>
      </c>
      <c r="T23" s="198">
        <f t="shared" si="3"/>
        <v>-620.1</v>
      </c>
      <c r="U23" s="199"/>
      <c r="V23" s="200"/>
      <c r="W23" s="195"/>
      <c r="X23" s="195"/>
      <c r="Y23" s="437" t="s">
        <v>93</v>
      </c>
      <c r="Z23" s="235"/>
      <c r="AA23" s="202"/>
      <c r="AB23" s="439"/>
      <c r="AC23" s="229"/>
      <c r="AD23" s="230"/>
      <c r="AE23" s="230"/>
      <c r="AF23" s="230"/>
    </row>
    <row r="24" spans="1:32" s="206" customFormat="1" ht="69.95" customHeight="1" thickBot="1" x14ac:dyDescent="0.2">
      <c r="A24" s="432"/>
      <c r="B24" s="191">
        <f>$I$6</f>
        <v>991</v>
      </c>
      <c r="C24" s="465" t="str">
        <f>$A$6</f>
        <v>CO</v>
      </c>
      <c r="D24" s="465"/>
      <c r="E24" s="465"/>
      <c r="F24" s="465"/>
      <c r="G24" s="465"/>
      <c r="H24" s="465"/>
      <c r="I24" s="434"/>
      <c r="J24" s="192" t="s">
        <v>6</v>
      </c>
      <c r="K24" s="209">
        <v>0.78</v>
      </c>
      <c r="L24" s="194" t="s">
        <v>7</v>
      </c>
      <c r="M24" s="195">
        <f t="shared" si="4"/>
        <v>772.98</v>
      </c>
      <c r="N24" s="196"/>
      <c r="O24" s="210"/>
      <c r="P24" s="194" t="s">
        <v>7</v>
      </c>
      <c r="Q24" s="436"/>
      <c r="R24" s="236"/>
      <c r="S24" s="207" t="s">
        <v>7</v>
      </c>
      <c r="T24" s="198">
        <f t="shared" si="3"/>
        <v>-772.98</v>
      </c>
      <c r="U24" s="211"/>
      <c r="V24" s="211"/>
      <c r="W24" s="212"/>
      <c r="X24" s="213"/>
      <c r="Y24" s="438"/>
      <c r="Z24" s="238"/>
      <c r="AA24" s="238"/>
      <c r="AB24" s="440"/>
      <c r="AC24" s="229"/>
      <c r="AD24" s="230"/>
      <c r="AE24" s="230"/>
      <c r="AF24" s="230"/>
    </row>
    <row r="25" spans="1:32" s="176" customFormat="1" ht="69.95" customHeight="1" thickTop="1" x14ac:dyDescent="0.15">
      <c r="A25" s="431" t="s">
        <v>107</v>
      </c>
      <c r="B25" s="239">
        <f t="shared" si="1"/>
        <v>795</v>
      </c>
      <c r="C25" s="456" t="str">
        <f t="shared" si="2"/>
        <v>DN</v>
      </c>
      <c r="D25" s="456"/>
      <c r="E25" s="456"/>
      <c r="F25" s="456"/>
      <c r="G25" s="456"/>
      <c r="H25" s="456"/>
      <c r="I25" s="457" t="s">
        <v>58</v>
      </c>
      <c r="J25" s="240" t="s">
        <v>6</v>
      </c>
      <c r="K25" s="241">
        <v>0.09</v>
      </c>
      <c r="L25" s="168" t="s">
        <v>7</v>
      </c>
      <c r="M25" s="242">
        <f t="shared" si="4"/>
        <v>71.55</v>
      </c>
      <c r="N25" s="243"/>
      <c r="O25" s="242"/>
      <c r="P25" s="244" t="s">
        <v>7</v>
      </c>
      <c r="Q25" s="376">
        <v>45926</v>
      </c>
      <c r="R25" s="245">
        <v>72</v>
      </c>
      <c r="S25" s="244" t="s">
        <v>7</v>
      </c>
      <c r="T25" s="245">
        <f t="shared" si="3"/>
        <v>0.45000000000000284</v>
      </c>
      <c r="U25" s="246"/>
      <c r="V25" s="247"/>
      <c r="W25" s="242"/>
      <c r="X25" s="242"/>
      <c r="Y25" s="459" t="s">
        <v>59</v>
      </c>
      <c r="Z25" s="248"/>
      <c r="AA25" s="249"/>
      <c r="AB25" s="566" t="s">
        <v>167</v>
      </c>
      <c r="AC25" s="250"/>
      <c r="AD25" s="251"/>
      <c r="AE25" s="251"/>
      <c r="AF25" s="251"/>
    </row>
    <row r="26" spans="1:32" s="176" customFormat="1" ht="69.95" customHeight="1" x14ac:dyDescent="0.15">
      <c r="A26" s="559"/>
      <c r="B26" s="239">
        <f>$I$6</f>
        <v>991</v>
      </c>
      <c r="C26" s="456" t="str">
        <f>$A$6</f>
        <v>CO</v>
      </c>
      <c r="D26" s="456"/>
      <c r="E26" s="456"/>
      <c r="F26" s="456"/>
      <c r="G26" s="456"/>
      <c r="H26" s="456"/>
      <c r="I26" s="564"/>
      <c r="J26" s="240" t="s">
        <v>6</v>
      </c>
      <c r="K26" s="241">
        <v>0.09</v>
      </c>
      <c r="L26" s="168" t="s">
        <v>7</v>
      </c>
      <c r="M26" s="242">
        <f t="shared" si="4"/>
        <v>89.19</v>
      </c>
      <c r="N26" s="243"/>
      <c r="O26" s="253"/>
      <c r="P26" s="168" t="s">
        <v>7</v>
      </c>
      <c r="Q26" s="377"/>
      <c r="R26" s="254">
        <v>89</v>
      </c>
      <c r="S26" s="255" t="s">
        <v>7</v>
      </c>
      <c r="T26" s="245">
        <f t="shared" si="3"/>
        <v>-0.18999999999999773</v>
      </c>
      <c r="U26" s="256"/>
      <c r="V26" s="256"/>
      <c r="W26" s="257"/>
      <c r="X26" s="258"/>
      <c r="Y26" s="565"/>
      <c r="Z26" s="259"/>
      <c r="AA26" s="249"/>
      <c r="AB26" s="361"/>
      <c r="AC26" s="250"/>
      <c r="AD26" s="251"/>
      <c r="AE26" s="251"/>
      <c r="AF26" s="251"/>
    </row>
    <row r="27" spans="1:32" s="176" customFormat="1" ht="69.95" customHeight="1" x14ac:dyDescent="0.15">
      <c r="A27" s="432"/>
      <c r="B27" s="239">
        <f>$I$7</f>
        <v>1176</v>
      </c>
      <c r="C27" s="456" t="str">
        <f>$A$7</f>
        <v>BK</v>
      </c>
      <c r="D27" s="456"/>
      <c r="E27" s="456"/>
      <c r="F27" s="456"/>
      <c r="G27" s="456"/>
      <c r="H27" s="456"/>
      <c r="I27" s="458"/>
      <c r="J27" s="240" t="s">
        <v>6</v>
      </c>
      <c r="K27" s="241">
        <v>0.09</v>
      </c>
      <c r="L27" s="168" t="s">
        <v>7</v>
      </c>
      <c r="M27" s="242">
        <f t="shared" si="4"/>
        <v>105.83999999999999</v>
      </c>
      <c r="N27" s="243"/>
      <c r="O27" s="253"/>
      <c r="P27" s="168" t="s">
        <v>7</v>
      </c>
      <c r="Q27" s="377"/>
      <c r="R27" s="254">
        <v>106</v>
      </c>
      <c r="S27" s="255" t="s">
        <v>7</v>
      </c>
      <c r="T27" s="245">
        <f t="shared" si="3"/>
        <v>0.1600000000000108</v>
      </c>
      <c r="U27" s="256"/>
      <c r="V27" s="256"/>
      <c r="W27" s="257"/>
      <c r="X27" s="258"/>
      <c r="Y27" s="460"/>
      <c r="Z27" s="259"/>
      <c r="AA27" s="249"/>
      <c r="AB27" s="361"/>
      <c r="AC27" s="250"/>
      <c r="AD27" s="251"/>
      <c r="AE27" s="251"/>
      <c r="AF27" s="251"/>
    </row>
    <row r="28" spans="1:32" s="203" customFormat="1" ht="69.95" customHeight="1" x14ac:dyDescent="0.15">
      <c r="A28" s="431" t="s">
        <v>108</v>
      </c>
      <c r="B28" s="182">
        <f>$I$5</f>
        <v>795</v>
      </c>
      <c r="C28" s="461" t="str">
        <f>$A$5</f>
        <v>DN</v>
      </c>
      <c r="D28" s="461"/>
      <c r="E28" s="461"/>
      <c r="F28" s="461"/>
      <c r="G28" s="461"/>
      <c r="H28" s="461"/>
      <c r="I28" s="441" t="s">
        <v>8</v>
      </c>
      <c r="J28" s="76" t="s">
        <v>6</v>
      </c>
      <c r="K28" s="241">
        <v>0.09</v>
      </c>
      <c r="L28" s="77" t="s">
        <v>7</v>
      </c>
      <c r="M28" s="78">
        <f>K28*B28</f>
        <v>71.55</v>
      </c>
      <c r="N28" s="79"/>
      <c r="O28" s="78"/>
      <c r="P28" s="80" t="s">
        <v>7</v>
      </c>
      <c r="Q28" s="377"/>
      <c r="R28" s="78">
        <v>72</v>
      </c>
      <c r="S28" s="80" t="s">
        <v>9</v>
      </c>
      <c r="T28" s="81">
        <f t="shared" si="3"/>
        <v>0.45000000000000284</v>
      </c>
      <c r="U28" s="82"/>
      <c r="V28" s="137"/>
      <c r="W28" s="78"/>
      <c r="X28" s="78"/>
      <c r="Y28" s="445" t="s">
        <v>59</v>
      </c>
      <c r="Z28" s="141"/>
      <c r="AA28" s="135"/>
      <c r="AB28" s="361"/>
    </row>
    <row r="29" spans="1:32" s="203" customFormat="1" ht="69.95" customHeight="1" x14ac:dyDescent="0.15">
      <c r="A29" s="559"/>
      <c r="B29" s="182">
        <f>$I$6</f>
        <v>991</v>
      </c>
      <c r="C29" s="461" t="str">
        <f>$A$6</f>
        <v>CO</v>
      </c>
      <c r="D29" s="461"/>
      <c r="E29" s="461"/>
      <c r="F29" s="461"/>
      <c r="G29" s="461"/>
      <c r="H29" s="461"/>
      <c r="I29" s="563"/>
      <c r="J29" s="76" t="s">
        <v>6</v>
      </c>
      <c r="K29" s="241">
        <v>0.09</v>
      </c>
      <c r="L29" s="77" t="s">
        <v>7</v>
      </c>
      <c r="M29" s="78">
        <f>K29*B29</f>
        <v>89.19</v>
      </c>
      <c r="N29" s="79"/>
      <c r="O29" s="128"/>
      <c r="P29" s="77" t="s">
        <v>7</v>
      </c>
      <c r="Q29" s="377"/>
      <c r="R29" s="137">
        <v>89</v>
      </c>
      <c r="S29" s="75" t="s">
        <v>9</v>
      </c>
      <c r="T29" s="81">
        <f t="shared" ref="T29" si="7">R29-M29</f>
        <v>-0.18999999999999773</v>
      </c>
      <c r="U29" s="131"/>
      <c r="V29" s="131"/>
      <c r="W29" s="132"/>
      <c r="X29" s="133"/>
      <c r="Y29" s="557"/>
      <c r="Z29" s="134"/>
      <c r="AA29" s="135"/>
      <c r="AB29" s="361"/>
      <c r="AC29" s="466"/>
      <c r="AD29" s="467"/>
      <c r="AE29" s="467"/>
      <c r="AF29" s="467"/>
    </row>
    <row r="30" spans="1:32" s="203" customFormat="1" ht="69.95" customHeight="1" x14ac:dyDescent="0.15">
      <c r="A30" s="432"/>
      <c r="B30" s="182">
        <f>$I$7</f>
        <v>1176</v>
      </c>
      <c r="C30" s="461" t="str">
        <f>$A$7</f>
        <v>BK</v>
      </c>
      <c r="D30" s="461"/>
      <c r="E30" s="461"/>
      <c r="F30" s="461"/>
      <c r="G30" s="461"/>
      <c r="H30" s="461"/>
      <c r="I30" s="442"/>
      <c r="J30" s="76" t="s">
        <v>6</v>
      </c>
      <c r="K30" s="241">
        <v>0.09</v>
      </c>
      <c r="L30" s="77" t="s">
        <v>7</v>
      </c>
      <c r="M30" s="78">
        <f>K30*B30</f>
        <v>105.83999999999999</v>
      </c>
      <c r="N30" s="79"/>
      <c r="O30" s="128"/>
      <c r="P30" s="77" t="s">
        <v>7</v>
      </c>
      <c r="Q30" s="378"/>
      <c r="R30" s="137">
        <v>106</v>
      </c>
      <c r="S30" s="75" t="s">
        <v>9</v>
      </c>
      <c r="T30" s="81">
        <f t="shared" si="3"/>
        <v>0.1600000000000108</v>
      </c>
      <c r="U30" s="131"/>
      <c r="V30" s="131"/>
      <c r="W30" s="132"/>
      <c r="X30" s="133"/>
      <c r="Y30" s="446"/>
      <c r="Z30" s="134"/>
      <c r="AA30" s="135"/>
      <c r="AB30" s="362"/>
      <c r="AC30" s="466"/>
      <c r="AD30" s="467"/>
      <c r="AE30" s="467"/>
      <c r="AF30" s="467"/>
    </row>
    <row r="31" spans="1:32" s="203" customFormat="1" ht="69.95" customHeight="1" x14ac:dyDescent="0.15">
      <c r="A31" s="464" t="s">
        <v>77</v>
      </c>
      <c r="B31" s="191">
        <f>$I$5</f>
        <v>795</v>
      </c>
      <c r="C31" s="465" t="str">
        <f>$A$5</f>
        <v>DN</v>
      </c>
      <c r="D31" s="465"/>
      <c r="E31" s="465"/>
      <c r="F31" s="465"/>
      <c r="G31" s="465"/>
      <c r="H31" s="465"/>
      <c r="I31" s="433" t="s">
        <v>110</v>
      </c>
      <c r="J31" s="192"/>
      <c r="K31" s="209">
        <v>3.3</v>
      </c>
      <c r="L31" s="194" t="s">
        <v>7</v>
      </c>
      <c r="M31" s="195">
        <f>K31*B31/100</f>
        <v>26.234999999999999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-26.234999999999999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thickBot="1" x14ac:dyDescent="0.2">
      <c r="A32" s="464"/>
      <c r="B32" s="191">
        <f>$I$6</f>
        <v>991</v>
      </c>
      <c r="C32" s="465" t="str">
        <f>$A$6</f>
        <v>CO</v>
      </c>
      <c r="D32" s="465"/>
      <c r="E32" s="465"/>
      <c r="F32" s="465"/>
      <c r="G32" s="465"/>
      <c r="H32" s="465"/>
      <c r="I32" s="434"/>
      <c r="J32" s="192"/>
      <c r="K32" s="208">
        <v>3.3</v>
      </c>
      <c r="L32" s="194" t="s">
        <v>7</v>
      </c>
      <c r="M32" s="195">
        <f>K32*B32/100</f>
        <v>32.702999999999996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-32.702999999999996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thickTop="1" x14ac:dyDescent="0.15">
      <c r="A33" s="464" t="s">
        <v>86</v>
      </c>
      <c r="B33" s="239">
        <f>$I$5</f>
        <v>795</v>
      </c>
      <c r="C33" s="456" t="str">
        <f>$A$5</f>
        <v>DN</v>
      </c>
      <c r="D33" s="456"/>
      <c r="E33" s="456"/>
      <c r="F33" s="456"/>
      <c r="G33" s="456"/>
      <c r="H33" s="456"/>
      <c r="I33" s="457" t="s">
        <v>76</v>
      </c>
      <c r="J33" s="240"/>
      <c r="K33" s="241">
        <v>2.41</v>
      </c>
      <c r="L33" s="168" t="s">
        <v>7</v>
      </c>
      <c r="M33" s="242">
        <f>K33*B33/50</f>
        <v>38.319000000000003</v>
      </c>
      <c r="N33" s="243"/>
      <c r="O33" s="242"/>
      <c r="P33" s="244" t="s">
        <v>7</v>
      </c>
      <c r="Q33" s="376">
        <v>45926</v>
      </c>
      <c r="R33" s="242">
        <v>39</v>
      </c>
      <c r="S33" s="244" t="s">
        <v>9</v>
      </c>
      <c r="T33" s="245">
        <f t="shared" si="3"/>
        <v>0.68099999999999739</v>
      </c>
      <c r="U33" s="246"/>
      <c r="V33" s="247"/>
      <c r="W33" s="242"/>
      <c r="X33" s="242"/>
      <c r="Y33" s="459" t="s">
        <v>94</v>
      </c>
      <c r="Z33" s="260"/>
      <c r="AA33" s="249"/>
      <c r="AB33" s="566" t="s">
        <v>166</v>
      </c>
    </row>
    <row r="34" spans="1:32" s="261" customFormat="1" ht="69.95" customHeight="1" x14ac:dyDescent="0.15">
      <c r="A34" s="464"/>
      <c r="B34" s="239">
        <f>$I$6</f>
        <v>991</v>
      </c>
      <c r="C34" s="456" t="str">
        <f>$A$6</f>
        <v>CO</v>
      </c>
      <c r="D34" s="456"/>
      <c r="E34" s="456"/>
      <c r="F34" s="456"/>
      <c r="G34" s="456"/>
      <c r="H34" s="456"/>
      <c r="I34" s="564"/>
      <c r="J34" s="240"/>
      <c r="K34" s="241">
        <v>2.41</v>
      </c>
      <c r="L34" s="168" t="s">
        <v>7</v>
      </c>
      <c r="M34" s="242">
        <f>K34*B34/50</f>
        <v>47.766199999999998</v>
      </c>
      <c r="N34" s="243"/>
      <c r="O34" s="253"/>
      <c r="P34" s="168" t="s">
        <v>7</v>
      </c>
      <c r="Q34" s="377"/>
      <c r="R34" s="247">
        <v>48</v>
      </c>
      <c r="S34" s="255" t="s">
        <v>9</v>
      </c>
      <c r="T34" s="245">
        <f t="shared" si="3"/>
        <v>0.23380000000000223</v>
      </c>
      <c r="U34" s="256"/>
      <c r="V34" s="256"/>
      <c r="W34" s="257"/>
      <c r="X34" s="258"/>
      <c r="Y34" s="565"/>
      <c r="Z34" s="259"/>
      <c r="AA34" s="249"/>
      <c r="AB34" s="361"/>
      <c r="AC34" s="462"/>
      <c r="AD34" s="463"/>
      <c r="AE34" s="463"/>
      <c r="AF34" s="463"/>
    </row>
    <row r="35" spans="1:32" s="261" customFormat="1" ht="69.95" customHeight="1" x14ac:dyDescent="0.15">
      <c r="A35" s="464"/>
      <c r="B35" s="239">
        <f>$I$7</f>
        <v>1176</v>
      </c>
      <c r="C35" s="456" t="str">
        <f>$A$7</f>
        <v>BK</v>
      </c>
      <c r="D35" s="456"/>
      <c r="E35" s="456"/>
      <c r="F35" s="456"/>
      <c r="G35" s="456"/>
      <c r="H35" s="456"/>
      <c r="I35" s="458"/>
      <c r="J35" s="240"/>
      <c r="K35" s="241">
        <v>2.41</v>
      </c>
      <c r="L35" s="168" t="s">
        <v>7</v>
      </c>
      <c r="M35" s="242">
        <f>K35*B35/50</f>
        <v>56.683200000000006</v>
      </c>
      <c r="N35" s="243"/>
      <c r="O35" s="253"/>
      <c r="P35" s="168" t="s">
        <v>7</v>
      </c>
      <c r="Q35" s="378"/>
      <c r="R35" s="247">
        <v>57</v>
      </c>
      <c r="S35" s="255" t="s">
        <v>9</v>
      </c>
      <c r="T35" s="245">
        <f t="shared" si="3"/>
        <v>0.31679999999999353</v>
      </c>
      <c r="U35" s="256"/>
      <c r="V35" s="256"/>
      <c r="W35" s="257"/>
      <c r="X35" s="258"/>
      <c r="Y35" s="460"/>
      <c r="Z35" s="259"/>
      <c r="AA35" s="249"/>
      <c r="AB35" s="362"/>
      <c r="AC35" s="462"/>
      <c r="AD35" s="463"/>
      <c r="AE35" s="463"/>
      <c r="AF35" s="463"/>
    </row>
    <row r="36" spans="1:32" s="203" customFormat="1" ht="69.95" customHeight="1" x14ac:dyDescent="0.15">
      <c r="A36" s="464" t="s">
        <v>116</v>
      </c>
      <c r="B36" s="191">
        <f>$I$5</f>
        <v>795</v>
      </c>
      <c r="C36" s="465" t="str">
        <f>$A$5</f>
        <v>DN</v>
      </c>
      <c r="D36" s="465"/>
      <c r="E36" s="465"/>
      <c r="F36" s="465"/>
      <c r="G36" s="465"/>
      <c r="H36" s="465"/>
      <c r="I36" s="433" t="s">
        <v>76</v>
      </c>
      <c r="J36" s="192"/>
      <c r="K36" s="209">
        <v>2.4</v>
      </c>
      <c r="L36" s="194" t="s">
        <v>7</v>
      </c>
      <c r="M36" s="195">
        <f>K36*B36/50</f>
        <v>38.159999999999997</v>
      </c>
      <c r="N36" s="196"/>
      <c r="O36" s="195"/>
      <c r="P36" s="197" t="s">
        <v>7</v>
      </c>
      <c r="Q36" s="435"/>
      <c r="R36" s="195"/>
      <c r="S36" s="197" t="s">
        <v>9</v>
      </c>
      <c r="T36" s="198">
        <f t="shared" si="3"/>
        <v>-38.159999999999997</v>
      </c>
      <c r="U36" s="199"/>
      <c r="V36" s="200"/>
      <c r="W36" s="195"/>
      <c r="X36" s="195"/>
      <c r="Y36" s="437" t="s">
        <v>94</v>
      </c>
      <c r="Z36" s="201"/>
      <c r="AA36" s="202"/>
      <c r="AB36" s="439"/>
    </row>
    <row r="37" spans="1:32" s="203" customFormat="1" ht="69.95" customHeight="1" thickBot="1" x14ac:dyDescent="0.2">
      <c r="A37" s="464"/>
      <c r="B37" s="191">
        <f>$I$6</f>
        <v>991</v>
      </c>
      <c r="C37" s="465" t="str">
        <f>$A$6</f>
        <v>CO</v>
      </c>
      <c r="D37" s="465"/>
      <c r="E37" s="465"/>
      <c r="F37" s="465"/>
      <c r="G37" s="465"/>
      <c r="H37" s="465"/>
      <c r="I37" s="434"/>
      <c r="J37" s="192"/>
      <c r="K37" s="208">
        <v>2.4</v>
      </c>
      <c r="L37" s="194" t="s">
        <v>7</v>
      </c>
      <c r="M37" s="195">
        <f>K37*B37/50</f>
        <v>47.568000000000005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-47.568000000000005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thickTop="1" x14ac:dyDescent="0.15">
      <c r="A38" s="431" t="s">
        <v>87</v>
      </c>
      <c r="B38" s="239">
        <f>$I$5</f>
        <v>795</v>
      </c>
      <c r="C38" s="456" t="str">
        <f>$A$5</f>
        <v>DN</v>
      </c>
      <c r="D38" s="456"/>
      <c r="E38" s="456"/>
      <c r="F38" s="456" t="str">
        <f>$A$5</f>
        <v>DN</v>
      </c>
      <c r="G38" s="456"/>
      <c r="H38" s="456"/>
      <c r="I38" s="457" t="s">
        <v>60</v>
      </c>
      <c r="J38" s="240"/>
      <c r="K38" s="263">
        <v>220</v>
      </c>
      <c r="L38" s="168" t="s">
        <v>61</v>
      </c>
      <c r="M38" s="242">
        <f>K38*B38/4000</f>
        <v>43.725000000000001</v>
      </c>
      <c r="N38" s="243"/>
      <c r="O38" s="242"/>
      <c r="P38" s="244" t="s">
        <v>10</v>
      </c>
      <c r="Q38" s="376">
        <v>45945</v>
      </c>
      <c r="R38" s="242">
        <v>45</v>
      </c>
      <c r="S38" s="244" t="s">
        <v>10</v>
      </c>
      <c r="T38" s="245">
        <f t="shared" si="3"/>
        <v>1.2749999999999986</v>
      </c>
      <c r="U38" s="246"/>
      <c r="V38" s="247"/>
      <c r="W38" s="242"/>
      <c r="X38" s="242"/>
      <c r="Y38" s="459" t="s">
        <v>179</v>
      </c>
      <c r="Z38" s="260"/>
      <c r="AA38" s="249"/>
      <c r="AB38" s="566" t="s">
        <v>180</v>
      </c>
    </row>
    <row r="39" spans="1:32" s="176" customFormat="1" ht="69.95" customHeight="1" x14ac:dyDescent="0.15">
      <c r="A39" s="559"/>
      <c r="B39" s="264">
        <f>$I$6</f>
        <v>991</v>
      </c>
      <c r="C39" s="413" t="str">
        <f>$A$6</f>
        <v>CO</v>
      </c>
      <c r="D39" s="414"/>
      <c r="E39" s="415"/>
      <c r="F39" s="413" t="str">
        <f>$A$6</f>
        <v>CO</v>
      </c>
      <c r="G39" s="414"/>
      <c r="H39" s="415"/>
      <c r="I39" s="564"/>
      <c r="J39" s="265"/>
      <c r="K39" s="263">
        <v>220</v>
      </c>
      <c r="L39" s="266" t="s">
        <v>61</v>
      </c>
      <c r="M39" s="242">
        <f>K39*B39/4000</f>
        <v>54.505000000000003</v>
      </c>
      <c r="N39" s="267"/>
      <c r="O39" s="268"/>
      <c r="P39" s="266" t="s">
        <v>10</v>
      </c>
      <c r="Q39" s="378"/>
      <c r="R39" s="269">
        <v>55</v>
      </c>
      <c r="S39" s="252" t="s">
        <v>10</v>
      </c>
      <c r="T39" s="270">
        <f t="shared" si="3"/>
        <v>0.49499999999999744</v>
      </c>
      <c r="U39" s="271"/>
      <c r="V39" s="271"/>
      <c r="W39" s="272"/>
      <c r="X39" s="273"/>
      <c r="Y39" s="460"/>
      <c r="Z39" s="274"/>
      <c r="AA39" s="275"/>
      <c r="AB39" s="362"/>
      <c r="AC39" s="451"/>
      <c r="AD39" s="452"/>
      <c r="AE39" s="452"/>
      <c r="AF39" s="452"/>
    </row>
    <row r="40" spans="1:32" s="176" customFormat="1" ht="69.95" customHeight="1" x14ac:dyDescent="0.15">
      <c r="A40" s="432"/>
      <c r="B40" s="264">
        <f>$I$7</f>
        <v>1176</v>
      </c>
      <c r="C40" s="413" t="str">
        <f>$A$7</f>
        <v>BK</v>
      </c>
      <c r="D40" s="414"/>
      <c r="E40" s="415"/>
      <c r="F40" s="413" t="str">
        <f>$A$7</f>
        <v>BK</v>
      </c>
      <c r="G40" s="414"/>
      <c r="H40" s="415"/>
      <c r="I40" s="458"/>
      <c r="J40" s="265"/>
      <c r="K40" s="263">
        <v>220</v>
      </c>
      <c r="L40" s="266" t="s">
        <v>61</v>
      </c>
      <c r="M40" s="242">
        <f>K40*B40/4000</f>
        <v>64.680000000000007</v>
      </c>
      <c r="N40" s="267"/>
      <c r="O40" s="268"/>
      <c r="P40" s="266" t="s">
        <v>10</v>
      </c>
      <c r="Q40" s="303">
        <v>45926</v>
      </c>
      <c r="R40" s="269">
        <v>65</v>
      </c>
      <c r="S40" s="252" t="s">
        <v>10</v>
      </c>
      <c r="T40" s="270">
        <f t="shared" si="3"/>
        <v>0.31999999999999318</v>
      </c>
      <c r="U40" s="271"/>
      <c r="V40" s="271"/>
      <c r="W40" s="272"/>
      <c r="X40" s="273"/>
      <c r="Y40" s="301" t="s">
        <v>94</v>
      </c>
      <c r="Z40" s="274"/>
      <c r="AA40" s="275"/>
      <c r="AB40" s="302" t="s">
        <v>166</v>
      </c>
      <c r="AC40" s="451"/>
      <c r="AD40" s="452"/>
      <c r="AE40" s="452"/>
      <c r="AF40" s="452"/>
    </row>
    <row r="41" spans="1:32" s="261" customFormat="1" ht="69.95" customHeight="1" x14ac:dyDescent="0.15">
      <c r="A41" s="431" t="s">
        <v>88</v>
      </c>
      <c r="B41" s="239">
        <f>$I$5</f>
        <v>795</v>
      </c>
      <c r="C41" s="456" t="str">
        <f>$A$5</f>
        <v>DN</v>
      </c>
      <c r="D41" s="456"/>
      <c r="E41" s="456"/>
      <c r="F41" s="456" t="str">
        <f>$A$5</f>
        <v>DN</v>
      </c>
      <c r="G41" s="456"/>
      <c r="H41" s="456"/>
      <c r="I41" s="457" t="s">
        <v>62</v>
      </c>
      <c r="J41" s="240"/>
      <c r="K41" s="263">
        <v>130</v>
      </c>
      <c r="L41" s="168" t="s">
        <v>61</v>
      </c>
      <c r="M41" s="242">
        <f t="shared" ref="M41:M43" si="8">K41*B41/2500</f>
        <v>41.34</v>
      </c>
      <c r="N41" s="243"/>
      <c r="O41" s="242"/>
      <c r="P41" s="244" t="s">
        <v>10</v>
      </c>
      <c r="Q41" s="376">
        <v>45945</v>
      </c>
      <c r="R41" s="242">
        <v>45</v>
      </c>
      <c r="S41" s="244" t="s">
        <v>10</v>
      </c>
      <c r="T41" s="245">
        <f t="shared" si="3"/>
        <v>3.6599999999999966</v>
      </c>
      <c r="U41" s="246"/>
      <c r="V41" s="247"/>
      <c r="W41" s="242"/>
      <c r="X41" s="242"/>
      <c r="Y41" s="459" t="s">
        <v>94</v>
      </c>
      <c r="Z41" s="260"/>
      <c r="AA41" s="249"/>
      <c r="AB41" s="360" t="s">
        <v>180</v>
      </c>
    </row>
    <row r="42" spans="1:32" s="176" customFormat="1" ht="69.95" customHeight="1" x14ac:dyDescent="0.15">
      <c r="A42" s="559"/>
      <c r="B42" s="264">
        <f>$I$6</f>
        <v>991</v>
      </c>
      <c r="C42" s="413" t="str">
        <f>$A$6</f>
        <v>CO</v>
      </c>
      <c r="D42" s="414"/>
      <c r="E42" s="415"/>
      <c r="F42" s="413" t="str">
        <f>$A$6</f>
        <v>CO</v>
      </c>
      <c r="G42" s="414"/>
      <c r="H42" s="415"/>
      <c r="I42" s="564"/>
      <c r="J42" s="265"/>
      <c r="K42" s="263">
        <v>130</v>
      </c>
      <c r="L42" s="266" t="s">
        <v>61</v>
      </c>
      <c r="M42" s="242">
        <f t="shared" si="8"/>
        <v>51.531999999999996</v>
      </c>
      <c r="N42" s="267"/>
      <c r="O42" s="268"/>
      <c r="P42" s="266" t="s">
        <v>10</v>
      </c>
      <c r="Q42" s="378"/>
      <c r="R42" s="269">
        <v>52</v>
      </c>
      <c r="S42" s="252" t="s">
        <v>10</v>
      </c>
      <c r="T42" s="270">
        <f t="shared" si="3"/>
        <v>0.46800000000000352</v>
      </c>
      <c r="U42" s="271"/>
      <c r="V42" s="271"/>
      <c r="W42" s="272"/>
      <c r="X42" s="273"/>
      <c r="Y42" s="565"/>
      <c r="Z42" s="274"/>
      <c r="AA42" s="275"/>
      <c r="AB42" s="362"/>
      <c r="AC42" s="451"/>
      <c r="AD42" s="452"/>
      <c r="AE42" s="452"/>
      <c r="AF42" s="452"/>
    </row>
    <row r="43" spans="1:32" s="176" customFormat="1" ht="69.95" customHeight="1" x14ac:dyDescent="0.15">
      <c r="A43" s="432"/>
      <c r="B43" s="264">
        <f>$I$7</f>
        <v>1176</v>
      </c>
      <c r="C43" s="413" t="str">
        <f>$A$7</f>
        <v>BK</v>
      </c>
      <c r="D43" s="414"/>
      <c r="E43" s="415"/>
      <c r="F43" s="413" t="str">
        <f>$A$7</f>
        <v>BK</v>
      </c>
      <c r="G43" s="414"/>
      <c r="H43" s="415"/>
      <c r="I43" s="458"/>
      <c r="J43" s="265"/>
      <c r="K43" s="263">
        <v>130</v>
      </c>
      <c r="L43" s="266" t="s">
        <v>61</v>
      </c>
      <c r="M43" s="242">
        <f t="shared" si="8"/>
        <v>61.152000000000001</v>
      </c>
      <c r="N43" s="267"/>
      <c r="O43" s="268"/>
      <c r="P43" s="266" t="s">
        <v>10</v>
      </c>
      <c r="Q43" s="303">
        <v>45926</v>
      </c>
      <c r="R43" s="269">
        <v>62</v>
      </c>
      <c r="S43" s="252" t="s">
        <v>10</v>
      </c>
      <c r="T43" s="270">
        <f t="shared" si="3"/>
        <v>0.84799999999999898</v>
      </c>
      <c r="U43" s="271"/>
      <c r="V43" s="271"/>
      <c r="W43" s="272"/>
      <c r="X43" s="273"/>
      <c r="Y43" s="460"/>
      <c r="Z43" s="274"/>
      <c r="AA43" s="275"/>
      <c r="AB43" s="302" t="s">
        <v>166</v>
      </c>
      <c r="AC43" s="451"/>
      <c r="AD43" s="452"/>
      <c r="AE43" s="452"/>
      <c r="AF43" s="452"/>
    </row>
    <row r="44" spans="1:32" s="203" customFormat="1" ht="69.95" customHeight="1" x14ac:dyDescent="0.15">
      <c r="A44" s="431" t="s">
        <v>218</v>
      </c>
      <c r="B44" s="182">
        <f>$I$5</f>
        <v>795</v>
      </c>
      <c r="C44" s="461" t="str">
        <f>$A$5</f>
        <v>DN</v>
      </c>
      <c r="D44" s="461"/>
      <c r="E44" s="461"/>
      <c r="F44" s="461" t="str">
        <f>$A$5</f>
        <v>DN</v>
      </c>
      <c r="G44" s="461"/>
      <c r="H44" s="461"/>
      <c r="I44" s="457" t="s">
        <v>169</v>
      </c>
      <c r="J44" s="76"/>
      <c r="K44" s="139">
        <v>10</v>
      </c>
      <c r="L44" s="77" t="s">
        <v>61</v>
      </c>
      <c r="M44" s="78">
        <f>K44*B44/3000</f>
        <v>2.65</v>
      </c>
      <c r="N44" s="79"/>
      <c r="O44" s="78"/>
      <c r="P44" s="80" t="s">
        <v>10</v>
      </c>
      <c r="Q44" s="376">
        <v>45926</v>
      </c>
      <c r="R44" s="78">
        <v>3</v>
      </c>
      <c r="S44" s="80" t="s">
        <v>10</v>
      </c>
      <c r="T44" s="81">
        <f t="shared" si="3"/>
        <v>0.35000000000000009</v>
      </c>
      <c r="U44" s="82"/>
      <c r="V44" s="137"/>
      <c r="W44" s="78"/>
      <c r="X44" s="78"/>
      <c r="Y44" s="445" t="s">
        <v>94</v>
      </c>
      <c r="Z44" s="141"/>
      <c r="AA44" s="135"/>
      <c r="AB44" s="360" t="s">
        <v>182</v>
      </c>
    </row>
    <row r="45" spans="1:32" s="206" customFormat="1" ht="69.95" customHeight="1" x14ac:dyDescent="0.15">
      <c r="A45" s="559"/>
      <c r="B45" s="186">
        <f>$I$6</f>
        <v>991</v>
      </c>
      <c r="C45" s="395" t="str">
        <f>$A$6</f>
        <v>CO</v>
      </c>
      <c r="D45" s="396"/>
      <c r="E45" s="397"/>
      <c r="F45" s="395" t="str">
        <f>$A$6</f>
        <v>CO</v>
      </c>
      <c r="G45" s="396"/>
      <c r="H45" s="397"/>
      <c r="I45" s="564"/>
      <c r="J45" s="144"/>
      <c r="K45" s="139">
        <v>10</v>
      </c>
      <c r="L45" s="145" t="s">
        <v>61</v>
      </c>
      <c r="M45" s="78">
        <f>K45*B45/3000</f>
        <v>3.3033333333333332</v>
      </c>
      <c r="N45" s="146"/>
      <c r="O45" s="147"/>
      <c r="P45" s="145" t="s">
        <v>10</v>
      </c>
      <c r="Q45" s="377"/>
      <c r="R45" s="161">
        <v>3</v>
      </c>
      <c r="S45" s="148" t="s">
        <v>10</v>
      </c>
      <c r="T45" s="84">
        <f t="shared" ref="T45" si="9">R45-M45</f>
        <v>-0.30333333333333323</v>
      </c>
      <c r="U45" s="149"/>
      <c r="V45" s="149"/>
      <c r="W45" s="150"/>
      <c r="X45" s="151"/>
      <c r="Y45" s="557"/>
      <c r="Z45" s="134"/>
      <c r="AA45" s="135"/>
      <c r="AB45" s="361"/>
      <c r="AC45" s="567"/>
      <c r="AD45" s="568"/>
      <c r="AE45" s="568"/>
      <c r="AF45" s="568"/>
    </row>
    <row r="46" spans="1:32" s="206" customFormat="1" ht="69.95" customHeight="1" x14ac:dyDescent="0.15">
      <c r="A46" s="432"/>
      <c r="B46" s="186">
        <f>$I$7</f>
        <v>1176</v>
      </c>
      <c r="C46" s="395" t="str">
        <f>$A$7</f>
        <v>BK</v>
      </c>
      <c r="D46" s="396"/>
      <c r="E46" s="397"/>
      <c r="F46" s="395" t="str">
        <f>$A$7</f>
        <v>BK</v>
      </c>
      <c r="G46" s="396"/>
      <c r="H46" s="397"/>
      <c r="I46" s="458"/>
      <c r="J46" s="144"/>
      <c r="K46" s="139">
        <v>10</v>
      </c>
      <c r="L46" s="145" t="s">
        <v>61</v>
      </c>
      <c r="M46" s="78">
        <f>K46*B46/3000</f>
        <v>3.92</v>
      </c>
      <c r="N46" s="146"/>
      <c r="O46" s="147"/>
      <c r="P46" s="145" t="s">
        <v>10</v>
      </c>
      <c r="Q46" s="378"/>
      <c r="R46" s="161">
        <v>3</v>
      </c>
      <c r="S46" s="148" t="s">
        <v>10</v>
      </c>
      <c r="T46" s="84">
        <f t="shared" si="3"/>
        <v>-0.91999999999999993</v>
      </c>
      <c r="U46" s="149"/>
      <c r="V46" s="149"/>
      <c r="W46" s="150"/>
      <c r="X46" s="151"/>
      <c r="Y46" s="446"/>
      <c r="Z46" s="134"/>
      <c r="AA46" s="135"/>
      <c r="AB46" s="362"/>
      <c r="AC46" s="567"/>
      <c r="AD46" s="568"/>
      <c r="AE46" s="568"/>
      <c r="AF46" s="568"/>
    </row>
    <row r="47" spans="1:32" s="206" customFormat="1" ht="69.95" customHeight="1" x14ac:dyDescent="0.15">
      <c r="A47" s="431" t="s">
        <v>117</v>
      </c>
      <c r="B47" s="191">
        <f t="shared" ref="B47:B49" si="10">$I$5</f>
        <v>795</v>
      </c>
      <c r="C47" s="422" t="str">
        <f t="shared" ref="C47:C49" si="11">$A$5</f>
        <v>DN</v>
      </c>
      <c r="D47" s="423"/>
      <c r="E47" s="424"/>
      <c r="F47" s="425"/>
      <c r="G47" s="423"/>
      <c r="H47" s="424"/>
      <c r="I47" s="433" t="s">
        <v>80</v>
      </c>
      <c r="J47" s="192"/>
      <c r="K47" s="193">
        <v>1</v>
      </c>
      <c r="L47" s="194" t="s">
        <v>65</v>
      </c>
      <c r="M47" s="195">
        <f t="shared" ref="M47:M79" si="12">K47*B47</f>
        <v>795</v>
      </c>
      <c r="N47" s="196"/>
      <c r="O47" s="195"/>
      <c r="P47" s="194" t="s">
        <v>65</v>
      </c>
      <c r="Q47" s="435"/>
      <c r="R47" s="195"/>
      <c r="S47" s="194" t="s">
        <v>65</v>
      </c>
      <c r="T47" s="205">
        <f t="shared" si="3"/>
        <v>-795</v>
      </c>
      <c r="U47" s="199"/>
      <c r="V47" s="199"/>
      <c r="W47" s="208"/>
      <c r="X47" s="198"/>
      <c r="Y47" s="437" t="s">
        <v>57</v>
      </c>
      <c r="Z47" s="231"/>
      <c r="AA47" s="232"/>
      <c r="AB47" s="439"/>
    </row>
    <row r="48" spans="1:32" s="206" customFormat="1" ht="69.95" customHeight="1" x14ac:dyDescent="0.15">
      <c r="A48" s="432"/>
      <c r="B48" s="204">
        <f>$I$6</f>
        <v>991</v>
      </c>
      <c r="C48" s="453" t="str">
        <f>$A$6</f>
        <v>CO</v>
      </c>
      <c r="D48" s="454"/>
      <c r="E48" s="455"/>
      <c r="F48" s="425"/>
      <c r="G48" s="423"/>
      <c r="H48" s="424"/>
      <c r="I48" s="434"/>
      <c r="J48" s="192"/>
      <c r="K48" s="193">
        <v>1</v>
      </c>
      <c r="L48" s="194" t="s">
        <v>65</v>
      </c>
      <c r="M48" s="195">
        <f t="shared" si="12"/>
        <v>991</v>
      </c>
      <c r="N48" s="233"/>
      <c r="O48" s="195"/>
      <c r="P48" s="194" t="s">
        <v>65</v>
      </c>
      <c r="Q48" s="436"/>
      <c r="R48" s="195"/>
      <c r="S48" s="194" t="s">
        <v>65</v>
      </c>
      <c r="T48" s="198">
        <f t="shared" si="3"/>
        <v>-991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206" customFormat="1" ht="69.95" customHeight="1" x14ac:dyDescent="0.15">
      <c r="A49" s="431" t="s">
        <v>78</v>
      </c>
      <c r="B49" s="191">
        <f t="shared" si="10"/>
        <v>795</v>
      </c>
      <c r="C49" s="422" t="str">
        <f t="shared" si="11"/>
        <v>DN</v>
      </c>
      <c r="D49" s="423"/>
      <c r="E49" s="424"/>
      <c r="F49" s="425"/>
      <c r="G49" s="423"/>
      <c r="H49" s="424"/>
      <c r="I49" s="207"/>
      <c r="J49" s="192"/>
      <c r="K49" s="193">
        <v>1</v>
      </c>
      <c r="L49" s="194" t="s">
        <v>65</v>
      </c>
      <c r="M49" s="195">
        <f t="shared" si="12"/>
        <v>795</v>
      </c>
      <c r="N49" s="196"/>
      <c r="O49" s="195"/>
      <c r="P49" s="194" t="s">
        <v>65</v>
      </c>
      <c r="Q49" s="435"/>
      <c r="R49" s="195"/>
      <c r="S49" s="194" t="s">
        <v>65</v>
      </c>
      <c r="T49" s="205">
        <f t="shared" si="3"/>
        <v>-795</v>
      </c>
      <c r="U49" s="199"/>
      <c r="V49" s="199"/>
      <c r="W49" s="208"/>
      <c r="X49" s="198"/>
      <c r="Y49" s="437" t="s">
        <v>57</v>
      </c>
      <c r="Z49" s="231"/>
      <c r="AA49" s="232"/>
      <c r="AB49" s="439"/>
    </row>
    <row r="50" spans="1:32" s="206" customFormat="1" ht="69.95" customHeight="1" thickBot="1" x14ac:dyDescent="0.2">
      <c r="A50" s="432"/>
      <c r="B50" s="204">
        <f>$I$6</f>
        <v>991</v>
      </c>
      <c r="C50" s="453" t="str">
        <f>$A$6</f>
        <v>CO</v>
      </c>
      <c r="D50" s="454"/>
      <c r="E50" s="455"/>
      <c r="F50" s="425"/>
      <c r="G50" s="423"/>
      <c r="H50" s="424"/>
      <c r="I50" s="207"/>
      <c r="J50" s="192"/>
      <c r="K50" s="193">
        <v>1</v>
      </c>
      <c r="L50" s="194" t="s">
        <v>65</v>
      </c>
      <c r="M50" s="195">
        <f t="shared" si="12"/>
        <v>991</v>
      </c>
      <c r="N50" s="233"/>
      <c r="O50" s="195"/>
      <c r="P50" s="194" t="s">
        <v>65</v>
      </c>
      <c r="Q50" s="436"/>
      <c r="R50" s="195"/>
      <c r="S50" s="194" t="s">
        <v>65</v>
      </c>
      <c r="T50" s="198">
        <f t="shared" si="3"/>
        <v>-991</v>
      </c>
      <c r="U50" s="199"/>
      <c r="V50" s="200"/>
      <c r="W50" s="195"/>
      <c r="X50" s="195"/>
      <c r="Y50" s="438"/>
      <c r="Z50" s="201"/>
      <c r="AA50" s="202"/>
      <c r="AB50" s="440"/>
      <c r="AC50" s="234"/>
      <c r="AD50" s="230"/>
      <c r="AE50" s="230"/>
      <c r="AF50" s="230"/>
    </row>
    <row r="51" spans="1:32" s="206" customFormat="1" ht="69.95" customHeight="1" thickTop="1" x14ac:dyDescent="0.15">
      <c r="A51" s="431" t="s">
        <v>100</v>
      </c>
      <c r="B51" s="182">
        <f t="shared" ref="B51:B65" si="13">$I$5</f>
        <v>795</v>
      </c>
      <c r="C51" s="368" t="str">
        <f t="shared" ref="C51:C65" si="14">$A$5</f>
        <v>DN</v>
      </c>
      <c r="D51" s="369"/>
      <c r="E51" s="370"/>
      <c r="F51" s="428"/>
      <c r="G51" s="369"/>
      <c r="H51" s="370"/>
      <c r="I51" s="441" t="s">
        <v>142</v>
      </c>
      <c r="J51" s="76"/>
      <c r="K51" s="139">
        <v>1</v>
      </c>
      <c r="L51" s="77" t="s">
        <v>63</v>
      </c>
      <c r="M51" s="78">
        <f t="shared" si="12"/>
        <v>795</v>
      </c>
      <c r="N51" s="79"/>
      <c r="O51" s="78"/>
      <c r="P51" s="80" t="s">
        <v>63</v>
      </c>
      <c r="Q51" s="443">
        <v>45945</v>
      </c>
      <c r="R51" s="78">
        <v>802</v>
      </c>
      <c r="S51" s="80" t="s">
        <v>63</v>
      </c>
      <c r="T51" s="84">
        <f t="shared" si="3"/>
        <v>7</v>
      </c>
      <c r="U51" s="82"/>
      <c r="V51" s="82"/>
      <c r="W51" s="83"/>
      <c r="X51" s="81"/>
      <c r="Y51" s="445" t="s">
        <v>94</v>
      </c>
      <c r="Z51" s="86"/>
      <c r="AA51" s="85"/>
      <c r="AB51" s="566" t="s">
        <v>180</v>
      </c>
    </row>
    <row r="52" spans="1:32" s="206" customFormat="1" ht="69.95" customHeight="1" x14ac:dyDescent="0.15">
      <c r="A52" s="559"/>
      <c r="B52" s="186">
        <f>$I$6</f>
        <v>991</v>
      </c>
      <c r="C52" s="395" t="str">
        <f>$A$6</f>
        <v>CO</v>
      </c>
      <c r="D52" s="396"/>
      <c r="E52" s="397"/>
      <c r="F52" s="428"/>
      <c r="G52" s="369"/>
      <c r="H52" s="370"/>
      <c r="I52" s="563"/>
      <c r="J52" s="76"/>
      <c r="K52" s="139">
        <v>1</v>
      </c>
      <c r="L52" s="77" t="s">
        <v>63</v>
      </c>
      <c r="M52" s="78">
        <f t="shared" ref="M52" si="15">K52*B52</f>
        <v>991</v>
      </c>
      <c r="N52" s="140"/>
      <c r="O52" s="78"/>
      <c r="P52" s="80" t="s">
        <v>63</v>
      </c>
      <c r="Q52" s="447"/>
      <c r="R52" s="78">
        <v>991</v>
      </c>
      <c r="S52" s="80" t="s">
        <v>63</v>
      </c>
      <c r="T52" s="81">
        <f t="shared" ref="T52" si="16">R52-M52</f>
        <v>0</v>
      </c>
      <c r="U52" s="82"/>
      <c r="V52" s="137"/>
      <c r="W52" s="78"/>
      <c r="X52" s="78"/>
      <c r="Y52" s="557"/>
      <c r="Z52" s="141"/>
      <c r="AA52" s="135"/>
      <c r="AB52" s="362"/>
      <c r="AC52" s="234"/>
      <c r="AD52" s="230"/>
      <c r="AE52" s="230"/>
      <c r="AF52" s="230"/>
    </row>
    <row r="53" spans="1:32" s="206" customFormat="1" ht="69.95" customHeight="1" x14ac:dyDescent="0.15">
      <c r="A53" s="432"/>
      <c r="B53" s="186">
        <f>$I$7</f>
        <v>1176</v>
      </c>
      <c r="C53" s="395" t="str">
        <f>$A$7</f>
        <v>BK</v>
      </c>
      <c r="D53" s="396"/>
      <c r="E53" s="397"/>
      <c r="F53" s="428"/>
      <c r="G53" s="369"/>
      <c r="H53" s="370"/>
      <c r="I53" s="442"/>
      <c r="J53" s="76"/>
      <c r="K53" s="139">
        <v>1</v>
      </c>
      <c r="L53" s="77" t="s">
        <v>63</v>
      </c>
      <c r="M53" s="78">
        <f t="shared" si="12"/>
        <v>1176</v>
      </c>
      <c r="N53" s="140"/>
      <c r="O53" s="78"/>
      <c r="P53" s="80" t="s">
        <v>63</v>
      </c>
      <c r="Q53" s="279">
        <v>45926</v>
      </c>
      <c r="R53" s="78">
        <v>1176</v>
      </c>
      <c r="S53" s="80" t="s">
        <v>63</v>
      </c>
      <c r="T53" s="81">
        <f t="shared" si="3"/>
        <v>0</v>
      </c>
      <c r="U53" s="82"/>
      <c r="V53" s="137"/>
      <c r="W53" s="78"/>
      <c r="X53" s="78"/>
      <c r="Y53" s="446"/>
      <c r="Z53" s="141"/>
      <c r="AA53" s="135"/>
      <c r="AB53" s="237" t="s">
        <v>166</v>
      </c>
      <c r="AC53" s="234"/>
      <c r="AD53" s="230"/>
      <c r="AE53" s="230"/>
      <c r="AF53" s="230"/>
    </row>
    <row r="54" spans="1:32" s="206" customFormat="1" ht="69.95" customHeight="1" x14ac:dyDescent="0.15">
      <c r="A54" s="431" t="s">
        <v>103</v>
      </c>
      <c r="B54" s="182">
        <f t="shared" ref="B54" si="17">$I$5</f>
        <v>795</v>
      </c>
      <c r="C54" s="368" t="str">
        <f t="shared" ref="C54" si="18">$A$5</f>
        <v>DN</v>
      </c>
      <c r="D54" s="369"/>
      <c r="E54" s="370"/>
      <c r="F54" s="428"/>
      <c r="G54" s="429"/>
      <c r="H54" s="430"/>
      <c r="I54" s="75"/>
      <c r="J54" s="76"/>
      <c r="K54" s="139">
        <v>1</v>
      </c>
      <c r="L54" s="77" t="s">
        <v>65</v>
      </c>
      <c r="M54" s="78">
        <f>K54*B54</f>
        <v>795</v>
      </c>
      <c r="N54" s="79"/>
      <c r="O54" s="78"/>
      <c r="P54" s="80" t="s">
        <v>65</v>
      </c>
      <c r="Q54" s="376">
        <v>45926</v>
      </c>
      <c r="R54" s="78">
        <v>802</v>
      </c>
      <c r="S54" s="80" t="s">
        <v>65</v>
      </c>
      <c r="T54" s="84">
        <f>R54-M54</f>
        <v>7</v>
      </c>
      <c r="U54" s="82"/>
      <c r="V54" s="82"/>
      <c r="W54" s="83"/>
      <c r="X54" s="81"/>
      <c r="Y54" s="445" t="s">
        <v>94</v>
      </c>
      <c r="Z54" s="86"/>
      <c r="AA54" s="85"/>
      <c r="AB54" s="360" t="s">
        <v>166</v>
      </c>
    </row>
    <row r="55" spans="1:32" s="206" customFormat="1" ht="69.95" customHeight="1" x14ac:dyDescent="0.15">
      <c r="A55" s="559"/>
      <c r="B55" s="186">
        <f>$I$6</f>
        <v>991</v>
      </c>
      <c r="C55" s="368" t="str">
        <f>$A$6</f>
        <v>CO</v>
      </c>
      <c r="D55" s="369"/>
      <c r="E55" s="370"/>
      <c r="F55" s="428"/>
      <c r="G55" s="429"/>
      <c r="H55" s="430"/>
      <c r="I55" s="75"/>
      <c r="J55" s="76"/>
      <c r="K55" s="139">
        <v>1</v>
      </c>
      <c r="L55" s="77" t="s">
        <v>65</v>
      </c>
      <c r="M55" s="78">
        <f>K55*B55</f>
        <v>991</v>
      </c>
      <c r="N55" s="140"/>
      <c r="O55" s="78"/>
      <c r="P55" s="80" t="s">
        <v>65</v>
      </c>
      <c r="Q55" s="377"/>
      <c r="R55" s="78">
        <v>991</v>
      </c>
      <c r="S55" s="80" t="s">
        <v>65</v>
      </c>
      <c r="T55" s="81">
        <f>R55-M55</f>
        <v>0</v>
      </c>
      <c r="U55" s="82"/>
      <c r="V55" s="137"/>
      <c r="W55" s="78"/>
      <c r="X55" s="78"/>
      <c r="Y55" s="557"/>
      <c r="Z55" s="141"/>
      <c r="AA55" s="135"/>
      <c r="AB55" s="361"/>
      <c r="AC55" s="234"/>
      <c r="AD55" s="230"/>
      <c r="AE55" s="230"/>
      <c r="AF55" s="230"/>
    </row>
    <row r="56" spans="1:32" s="206" customFormat="1" ht="69.95" customHeight="1" x14ac:dyDescent="0.15">
      <c r="A56" s="432"/>
      <c r="B56" s="186">
        <f>$I$7</f>
        <v>1176</v>
      </c>
      <c r="C56" s="368" t="str">
        <f>$A$7</f>
        <v>BK</v>
      </c>
      <c r="D56" s="369"/>
      <c r="E56" s="370"/>
      <c r="F56" s="428"/>
      <c r="G56" s="429"/>
      <c r="H56" s="430"/>
      <c r="I56" s="75"/>
      <c r="J56" s="76"/>
      <c r="K56" s="139">
        <v>1</v>
      </c>
      <c r="L56" s="77" t="s">
        <v>65</v>
      </c>
      <c r="M56" s="78">
        <f>K56*B56</f>
        <v>1176</v>
      </c>
      <c r="N56" s="140"/>
      <c r="O56" s="78"/>
      <c r="P56" s="80" t="s">
        <v>65</v>
      </c>
      <c r="Q56" s="378"/>
      <c r="R56" s="78">
        <v>1176</v>
      </c>
      <c r="S56" s="80" t="s">
        <v>65</v>
      </c>
      <c r="T56" s="81">
        <f>R56-M56</f>
        <v>0</v>
      </c>
      <c r="U56" s="82"/>
      <c r="V56" s="137"/>
      <c r="W56" s="78"/>
      <c r="X56" s="78"/>
      <c r="Y56" s="446"/>
      <c r="Z56" s="141"/>
      <c r="AA56" s="135"/>
      <c r="AB56" s="362"/>
      <c r="AC56" s="234"/>
      <c r="AD56" s="230"/>
      <c r="AE56" s="230"/>
      <c r="AF56" s="230"/>
    </row>
    <row r="57" spans="1:32" s="55" customFormat="1" ht="69.95" customHeight="1" x14ac:dyDescent="0.15">
      <c r="A57" s="431" t="s">
        <v>164</v>
      </c>
      <c r="B57" s="182">
        <f t="shared" ref="B57" si="19">$I$5</f>
        <v>795</v>
      </c>
      <c r="C57" s="368" t="str">
        <f t="shared" ref="C57" si="20">$A$5</f>
        <v>DN</v>
      </c>
      <c r="D57" s="369"/>
      <c r="E57" s="370"/>
      <c r="F57" s="428"/>
      <c r="G57" s="429"/>
      <c r="H57" s="430"/>
      <c r="I57" s="441" t="s">
        <v>104</v>
      </c>
      <c r="J57" s="76"/>
      <c r="K57" s="298">
        <v>0.6</v>
      </c>
      <c r="L57" s="77" t="s">
        <v>129</v>
      </c>
      <c r="M57" s="78">
        <f t="shared" ref="M57:M59" si="21">K57*B57</f>
        <v>477</v>
      </c>
      <c r="N57" s="79"/>
      <c r="O57" s="78"/>
      <c r="P57" s="80" t="s">
        <v>63</v>
      </c>
      <c r="Q57" s="443">
        <v>45947</v>
      </c>
      <c r="R57" s="78">
        <v>477</v>
      </c>
      <c r="S57" s="80" t="s">
        <v>63</v>
      </c>
      <c r="T57" s="84">
        <f t="shared" ref="T57:T59" si="22">R57-M57</f>
        <v>0</v>
      </c>
      <c r="U57" s="82"/>
      <c r="V57" s="82"/>
      <c r="W57" s="83"/>
      <c r="X57" s="81"/>
      <c r="Y57" s="445" t="s">
        <v>130</v>
      </c>
      <c r="Z57" s="86"/>
      <c r="AA57" s="85"/>
      <c r="AB57" s="360" t="s">
        <v>181</v>
      </c>
    </row>
    <row r="58" spans="1:32" s="55" customFormat="1" ht="69.95" customHeight="1" x14ac:dyDescent="0.15">
      <c r="A58" s="559"/>
      <c r="B58" s="186">
        <f>$I$6</f>
        <v>991</v>
      </c>
      <c r="C58" s="368" t="str">
        <f>$A$6</f>
        <v>CO</v>
      </c>
      <c r="D58" s="369"/>
      <c r="E58" s="370"/>
      <c r="F58" s="428"/>
      <c r="G58" s="429"/>
      <c r="H58" s="430"/>
      <c r="I58" s="563"/>
      <c r="J58" s="76"/>
      <c r="K58" s="298">
        <v>0.6</v>
      </c>
      <c r="L58" s="77" t="s">
        <v>129</v>
      </c>
      <c r="M58" s="78">
        <f t="shared" si="21"/>
        <v>594.6</v>
      </c>
      <c r="N58" s="140"/>
      <c r="O58" s="78"/>
      <c r="P58" s="80" t="s">
        <v>63</v>
      </c>
      <c r="Q58" s="447"/>
      <c r="R58" s="78">
        <v>595</v>
      </c>
      <c r="S58" s="80" t="s">
        <v>63</v>
      </c>
      <c r="T58" s="81">
        <f t="shared" si="22"/>
        <v>0.39999999999997726</v>
      </c>
      <c r="U58" s="82"/>
      <c r="V58" s="137"/>
      <c r="W58" s="78"/>
      <c r="X58" s="78"/>
      <c r="Y58" s="557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2"/>
      <c r="B59" s="186">
        <f>$I$7</f>
        <v>1176</v>
      </c>
      <c r="C59" s="368" t="str">
        <f>$A$7</f>
        <v>BK</v>
      </c>
      <c r="D59" s="369"/>
      <c r="E59" s="370"/>
      <c r="F59" s="428"/>
      <c r="G59" s="429"/>
      <c r="H59" s="430"/>
      <c r="I59" s="442"/>
      <c r="J59" s="76"/>
      <c r="K59" s="298">
        <v>0.6</v>
      </c>
      <c r="L59" s="77" t="s">
        <v>129</v>
      </c>
      <c r="M59" s="78">
        <f t="shared" si="21"/>
        <v>705.6</v>
      </c>
      <c r="N59" s="140"/>
      <c r="O59" s="78"/>
      <c r="P59" s="80" t="s">
        <v>63</v>
      </c>
      <c r="Q59" s="447"/>
      <c r="R59" s="78">
        <v>706</v>
      </c>
      <c r="S59" s="80" t="s">
        <v>63</v>
      </c>
      <c r="T59" s="81">
        <f t="shared" si="22"/>
        <v>0.39999999999997726</v>
      </c>
      <c r="U59" s="82"/>
      <c r="V59" s="137"/>
      <c r="W59" s="78"/>
      <c r="X59" s="78"/>
      <c r="Y59" s="446"/>
      <c r="Z59" s="141"/>
      <c r="AA59" s="135"/>
      <c r="AB59" s="361"/>
      <c r="AC59" s="142"/>
      <c r="AD59" s="179"/>
      <c r="AE59" s="179"/>
      <c r="AF59" s="179"/>
    </row>
    <row r="60" spans="1:32" s="206" customFormat="1" ht="69.95" customHeight="1" x14ac:dyDescent="0.15">
      <c r="A60" s="431" t="s">
        <v>143</v>
      </c>
      <c r="B60" s="182">
        <f t="shared" ref="B60" si="23">$I$5</f>
        <v>795</v>
      </c>
      <c r="C60" s="368" t="str">
        <f t="shared" ref="C60" si="24">$A$5</f>
        <v>DN</v>
      </c>
      <c r="D60" s="369"/>
      <c r="E60" s="370"/>
      <c r="F60" s="428"/>
      <c r="G60" s="429"/>
      <c r="H60" s="430"/>
      <c r="I60" s="441" t="s">
        <v>102</v>
      </c>
      <c r="J60" s="76"/>
      <c r="K60" s="298">
        <v>0.6</v>
      </c>
      <c r="L60" s="77" t="s">
        <v>129</v>
      </c>
      <c r="M60" s="78">
        <f t="shared" si="12"/>
        <v>477</v>
      </c>
      <c r="N60" s="79"/>
      <c r="O60" s="78"/>
      <c r="P60" s="80" t="s">
        <v>63</v>
      </c>
      <c r="Q60" s="447"/>
      <c r="R60" s="78">
        <v>477</v>
      </c>
      <c r="S60" s="80" t="s">
        <v>63</v>
      </c>
      <c r="T60" s="84">
        <f t="shared" si="3"/>
        <v>0</v>
      </c>
      <c r="U60" s="82"/>
      <c r="V60" s="82"/>
      <c r="W60" s="83"/>
      <c r="X60" s="81"/>
      <c r="Y60" s="445" t="s">
        <v>130</v>
      </c>
      <c r="Z60" s="86"/>
      <c r="AA60" s="85"/>
      <c r="AB60" s="361"/>
    </row>
    <row r="61" spans="1:32" s="206" customFormat="1" ht="69.95" customHeight="1" x14ac:dyDescent="0.15">
      <c r="A61" s="559"/>
      <c r="B61" s="186">
        <f>$I$6</f>
        <v>991</v>
      </c>
      <c r="C61" s="368" t="str">
        <f>$A$6</f>
        <v>CO</v>
      </c>
      <c r="D61" s="369"/>
      <c r="E61" s="370"/>
      <c r="F61" s="428"/>
      <c r="G61" s="429"/>
      <c r="H61" s="430"/>
      <c r="I61" s="563"/>
      <c r="J61" s="76"/>
      <c r="K61" s="298">
        <v>0.6</v>
      </c>
      <c r="L61" s="77" t="s">
        <v>129</v>
      </c>
      <c r="M61" s="78">
        <f t="shared" ref="M61" si="25">K61*B61</f>
        <v>594.6</v>
      </c>
      <c r="N61" s="140"/>
      <c r="O61" s="78"/>
      <c r="P61" s="80" t="s">
        <v>63</v>
      </c>
      <c r="Q61" s="447"/>
      <c r="R61" s="78">
        <v>595</v>
      </c>
      <c r="S61" s="80" t="s">
        <v>63</v>
      </c>
      <c r="T61" s="81">
        <f t="shared" ref="T61" si="26">R61-M61</f>
        <v>0.39999999999997726</v>
      </c>
      <c r="U61" s="82"/>
      <c r="V61" s="137"/>
      <c r="W61" s="78"/>
      <c r="X61" s="78"/>
      <c r="Y61" s="557"/>
      <c r="Z61" s="141"/>
      <c r="AA61" s="135"/>
      <c r="AB61" s="361"/>
      <c r="AC61" s="234"/>
      <c r="AD61" s="230"/>
      <c r="AE61" s="230"/>
      <c r="AF61" s="230"/>
    </row>
    <row r="62" spans="1:32" s="206" customFormat="1" ht="69.95" customHeight="1" x14ac:dyDescent="0.15">
      <c r="A62" s="432"/>
      <c r="B62" s="186">
        <f>$I$7</f>
        <v>1176</v>
      </c>
      <c r="C62" s="368" t="str">
        <f>$A$7</f>
        <v>BK</v>
      </c>
      <c r="D62" s="369"/>
      <c r="E62" s="370"/>
      <c r="F62" s="428"/>
      <c r="G62" s="429"/>
      <c r="H62" s="430"/>
      <c r="I62" s="442"/>
      <c r="J62" s="76"/>
      <c r="K62" s="298">
        <v>0.6</v>
      </c>
      <c r="L62" s="77" t="s">
        <v>129</v>
      </c>
      <c r="M62" s="78">
        <f t="shared" si="12"/>
        <v>705.6</v>
      </c>
      <c r="N62" s="140"/>
      <c r="O62" s="78"/>
      <c r="P62" s="80" t="s">
        <v>63</v>
      </c>
      <c r="Q62" s="444"/>
      <c r="R62" s="78">
        <v>706</v>
      </c>
      <c r="S62" s="80" t="s">
        <v>63</v>
      </c>
      <c r="T62" s="81">
        <f t="shared" si="3"/>
        <v>0.39999999999997726</v>
      </c>
      <c r="U62" s="82"/>
      <c r="V62" s="137"/>
      <c r="W62" s="78"/>
      <c r="X62" s="78"/>
      <c r="Y62" s="446"/>
      <c r="Z62" s="141"/>
      <c r="AA62" s="135"/>
      <c r="AB62" s="362"/>
    </row>
    <row r="63" spans="1:32" s="206" customFormat="1" ht="69.95" customHeight="1" x14ac:dyDescent="0.15">
      <c r="A63" s="431" t="s">
        <v>90</v>
      </c>
      <c r="B63" s="191">
        <f t="shared" si="13"/>
        <v>795</v>
      </c>
      <c r="C63" s="422" t="str">
        <f t="shared" si="14"/>
        <v>DN</v>
      </c>
      <c r="D63" s="423"/>
      <c r="E63" s="424"/>
      <c r="F63" s="425"/>
      <c r="G63" s="426"/>
      <c r="H63" s="427"/>
      <c r="I63" s="207" t="s">
        <v>79</v>
      </c>
      <c r="J63" s="192"/>
      <c r="K63" s="193">
        <v>1</v>
      </c>
      <c r="L63" s="194" t="s">
        <v>63</v>
      </c>
      <c r="M63" s="195">
        <f t="shared" si="12"/>
        <v>795</v>
      </c>
      <c r="N63" s="196"/>
      <c r="O63" s="195"/>
      <c r="P63" s="197" t="s">
        <v>63</v>
      </c>
      <c r="Q63" s="435"/>
      <c r="R63" s="195"/>
      <c r="S63" s="197" t="s">
        <v>63</v>
      </c>
      <c r="T63" s="205">
        <f t="shared" si="3"/>
        <v>-795</v>
      </c>
      <c r="U63" s="199"/>
      <c r="V63" s="199"/>
      <c r="W63" s="208"/>
      <c r="X63" s="198"/>
      <c r="Y63" s="437" t="s">
        <v>64</v>
      </c>
      <c r="Z63" s="231"/>
      <c r="AA63" s="232"/>
      <c r="AB63" s="439"/>
      <c r="AC63" s="234"/>
      <c r="AD63" s="230"/>
      <c r="AE63" s="230"/>
      <c r="AF63" s="230"/>
    </row>
    <row r="64" spans="1:32" s="206" customFormat="1" ht="69.95" customHeight="1" x14ac:dyDescent="0.15">
      <c r="A64" s="432"/>
      <c r="B64" s="204">
        <f>$I$6</f>
        <v>991</v>
      </c>
      <c r="C64" s="422" t="str">
        <f>$A$6</f>
        <v>CO</v>
      </c>
      <c r="D64" s="423"/>
      <c r="E64" s="424"/>
      <c r="F64" s="425"/>
      <c r="G64" s="426"/>
      <c r="H64" s="427"/>
      <c r="I64" s="207" t="s">
        <v>79</v>
      </c>
      <c r="J64" s="192"/>
      <c r="K64" s="193">
        <v>1</v>
      </c>
      <c r="L64" s="194" t="s">
        <v>63</v>
      </c>
      <c r="M64" s="195">
        <f t="shared" si="12"/>
        <v>991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-991</v>
      </c>
      <c r="U64" s="199"/>
      <c r="V64" s="200"/>
      <c r="W64" s="195"/>
      <c r="X64" s="195"/>
      <c r="Y64" s="438"/>
      <c r="Z64" s="201"/>
      <c r="AA64" s="202"/>
      <c r="AB64" s="440"/>
      <c r="AC64" s="234"/>
      <c r="AD64" s="230"/>
      <c r="AE64" s="230"/>
      <c r="AF64" s="230"/>
    </row>
    <row r="65" spans="1:32" s="176" customFormat="1" ht="69.95" customHeight="1" x14ac:dyDescent="0.15">
      <c r="A65" s="431" t="s">
        <v>91</v>
      </c>
      <c r="B65" s="182">
        <f t="shared" si="13"/>
        <v>795</v>
      </c>
      <c r="C65" s="368" t="str">
        <f t="shared" si="14"/>
        <v>DN</v>
      </c>
      <c r="D65" s="369"/>
      <c r="E65" s="370"/>
      <c r="F65" s="428"/>
      <c r="G65" s="429"/>
      <c r="H65" s="430"/>
      <c r="I65" s="75" t="s">
        <v>75</v>
      </c>
      <c r="J65" s="76"/>
      <c r="K65" s="139">
        <v>1</v>
      </c>
      <c r="L65" s="77" t="s">
        <v>63</v>
      </c>
      <c r="M65" s="78">
        <f t="shared" si="12"/>
        <v>795</v>
      </c>
      <c r="N65" s="79"/>
      <c r="O65" s="78"/>
      <c r="P65" s="80" t="s">
        <v>63</v>
      </c>
      <c r="Q65" s="443">
        <v>45954</v>
      </c>
      <c r="R65" s="78">
        <v>802</v>
      </c>
      <c r="S65" s="80" t="s">
        <v>63</v>
      </c>
      <c r="T65" s="84">
        <f t="shared" si="3"/>
        <v>7</v>
      </c>
      <c r="U65" s="82"/>
      <c r="V65" s="82"/>
      <c r="W65" s="83"/>
      <c r="X65" s="81"/>
      <c r="Y65" s="445" t="s">
        <v>64</v>
      </c>
      <c r="Z65" s="86"/>
      <c r="AA65" s="85"/>
      <c r="AB65" s="360" t="s">
        <v>183</v>
      </c>
    </row>
    <row r="66" spans="1:32" s="176" customFormat="1" ht="69.95" customHeight="1" x14ac:dyDescent="0.15">
      <c r="A66" s="559"/>
      <c r="B66" s="186">
        <f>$I$6</f>
        <v>991</v>
      </c>
      <c r="C66" s="368" t="str">
        <f>$A$6</f>
        <v>CO</v>
      </c>
      <c r="D66" s="369"/>
      <c r="E66" s="370"/>
      <c r="F66" s="428"/>
      <c r="G66" s="429"/>
      <c r="H66" s="430"/>
      <c r="I66" s="75" t="s">
        <v>75</v>
      </c>
      <c r="J66" s="76"/>
      <c r="K66" s="139">
        <v>1</v>
      </c>
      <c r="L66" s="77" t="s">
        <v>63</v>
      </c>
      <c r="M66" s="78">
        <f t="shared" ref="M66" si="27">K66*B66</f>
        <v>991</v>
      </c>
      <c r="N66" s="140"/>
      <c r="O66" s="78"/>
      <c r="P66" s="80" t="s">
        <v>63</v>
      </c>
      <c r="Q66" s="447"/>
      <c r="R66" s="78">
        <v>991</v>
      </c>
      <c r="S66" s="80" t="s">
        <v>63</v>
      </c>
      <c r="T66" s="81">
        <f t="shared" ref="T66" si="28">R66-M66</f>
        <v>0</v>
      </c>
      <c r="U66" s="82"/>
      <c r="V66" s="137"/>
      <c r="W66" s="78"/>
      <c r="X66" s="78"/>
      <c r="Y66" s="557"/>
      <c r="Z66" s="141"/>
      <c r="AA66" s="135"/>
      <c r="AB66" s="361"/>
      <c r="AC66" s="287"/>
      <c r="AD66" s="251"/>
      <c r="AE66" s="251"/>
      <c r="AF66" s="251"/>
    </row>
    <row r="67" spans="1:32" s="176" customFormat="1" ht="69.95" customHeight="1" x14ac:dyDescent="0.15">
      <c r="A67" s="432"/>
      <c r="B67" s="186">
        <f>$I$7</f>
        <v>1176</v>
      </c>
      <c r="C67" s="368" t="str">
        <f>$A$7</f>
        <v>BK</v>
      </c>
      <c r="D67" s="369"/>
      <c r="E67" s="370"/>
      <c r="F67" s="428"/>
      <c r="G67" s="429"/>
      <c r="H67" s="430"/>
      <c r="I67" s="75" t="s">
        <v>75</v>
      </c>
      <c r="J67" s="76"/>
      <c r="K67" s="139">
        <v>1</v>
      </c>
      <c r="L67" s="77" t="s">
        <v>63</v>
      </c>
      <c r="M67" s="78">
        <f t="shared" si="12"/>
        <v>1176</v>
      </c>
      <c r="N67" s="140"/>
      <c r="O67" s="78"/>
      <c r="P67" s="80" t="s">
        <v>63</v>
      </c>
      <c r="Q67" s="444"/>
      <c r="R67" s="78">
        <v>1176</v>
      </c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362"/>
      <c r="AC67" s="287"/>
      <c r="AD67" s="251"/>
      <c r="AE67" s="251"/>
      <c r="AF67" s="251"/>
    </row>
    <row r="68" spans="1:32" s="206" customFormat="1" ht="69.95" customHeight="1" x14ac:dyDescent="0.15">
      <c r="A68" s="431" t="s">
        <v>114</v>
      </c>
      <c r="B68" s="191">
        <f t="shared" ref="B68" si="29">$I$5</f>
        <v>795</v>
      </c>
      <c r="C68" s="422" t="str">
        <f t="shared" ref="C68" si="30">$A$5</f>
        <v>DN</v>
      </c>
      <c r="D68" s="423"/>
      <c r="E68" s="424"/>
      <c r="F68" s="425"/>
      <c r="G68" s="426"/>
      <c r="H68" s="427"/>
      <c r="I68" s="433" t="s">
        <v>122</v>
      </c>
      <c r="J68" s="192"/>
      <c r="K68" s="193">
        <v>1</v>
      </c>
      <c r="L68" s="194" t="s">
        <v>63</v>
      </c>
      <c r="M68" s="195">
        <f t="shared" si="12"/>
        <v>795</v>
      </c>
      <c r="N68" s="196"/>
      <c r="O68" s="195"/>
      <c r="P68" s="194" t="s">
        <v>63</v>
      </c>
      <c r="Q68" s="435"/>
      <c r="R68" s="195"/>
      <c r="S68" s="194" t="s">
        <v>63</v>
      </c>
      <c r="T68" s="205">
        <f t="shared" si="3"/>
        <v>-795</v>
      </c>
      <c r="U68" s="199"/>
      <c r="V68" s="199"/>
      <c r="W68" s="208"/>
      <c r="X68" s="198"/>
      <c r="Y68" s="437" t="s">
        <v>64</v>
      </c>
      <c r="Z68" s="231"/>
      <c r="AA68" s="232"/>
      <c r="AB68" s="439"/>
    </row>
    <row r="69" spans="1:32" s="206" customFormat="1" ht="69.95" customHeight="1" x14ac:dyDescent="0.15">
      <c r="A69" s="559"/>
      <c r="B69" s="204">
        <f>$I$6</f>
        <v>991</v>
      </c>
      <c r="C69" s="422" t="str">
        <f>$A$6</f>
        <v>CO</v>
      </c>
      <c r="D69" s="423"/>
      <c r="E69" s="424"/>
      <c r="F69" s="425"/>
      <c r="G69" s="426"/>
      <c r="H69" s="427"/>
      <c r="I69" s="560"/>
      <c r="J69" s="192"/>
      <c r="K69" s="193">
        <v>1</v>
      </c>
      <c r="L69" s="194" t="s">
        <v>63</v>
      </c>
      <c r="M69" s="195">
        <f t="shared" si="12"/>
        <v>991</v>
      </c>
      <c r="N69" s="233"/>
      <c r="O69" s="195"/>
      <c r="P69" s="194" t="s">
        <v>63</v>
      </c>
      <c r="Q69" s="561"/>
      <c r="R69" s="195"/>
      <c r="S69" s="194" t="s">
        <v>63</v>
      </c>
      <c r="T69" s="198">
        <f t="shared" si="3"/>
        <v>-991</v>
      </c>
      <c r="U69" s="199"/>
      <c r="V69" s="200"/>
      <c r="W69" s="195"/>
      <c r="X69" s="195"/>
      <c r="Y69" s="562"/>
      <c r="Z69" s="201"/>
      <c r="AA69" s="202"/>
      <c r="AB69" s="558"/>
      <c r="AC69" s="234"/>
      <c r="AD69" s="230"/>
      <c r="AE69" s="230"/>
      <c r="AF69" s="230"/>
    </row>
    <row r="70" spans="1:32" s="206" customFormat="1" ht="69.95" customHeight="1" x14ac:dyDescent="0.15">
      <c r="A70" s="559"/>
      <c r="B70" s="204">
        <f>$I$7</f>
        <v>1176</v>
      </c>
      <c r="C70" s="422" t="str">
        <f>$A$7</f>
        <v>BK</v>
      </c>
      <c r="D70" s="423"/>
      <c r="E70" s="424"/>
      <c r="F70" s="425"/>
      <c r="G70" s="426"/>
      <c r="H70" s="427"/>
      <c r="I70" s="560"/>
      <c r="J70" s="192"/>
      <c r="K70" s="193">
        <v>1</v>
      </c>
      <c r="L70" s="194" t="s">
        <v>63</v>
      </c>
      <c r="M70" s="195">
        <f t="shared" si="12"/>
        <v>1176</v>
      </c>
      <c r="N70" s="233"/>
      <c r="O70" s="195"/>
      <c r="P70" s="194" t="s">
        <v>63</v>
      </c>
      <c r="Q70" s="561"/>
      <c r="R70" s="195"/>
      <c r="S70" s="194" t="s">
        <v>63</v>
      </c>
      <c r="T70" s="198">
        <f t="shared" si="3"/>
        <v>-1176</v>
      </c>
      <c r="U70" s="199"/>
      <c r="V70" s="200"/>
      <c r="W70" s="195"/>
      <c r="X70" s="195"/>
      <c r="Y70" s="562"/>
      <c r="Z70" s="201"/>
      <c r="AA70" s="202"/>
      <c r="AB70" s="440"/>
      <c r="AC70" s="234"/>
      <c r="AD70" s="230"/>
      <c r="AE70" s="230"/>
      <c r="AF70" s="230"/>
    </row>
    <row r="71" spans="1:32" s="206" customFormat="1" ht="54.95" customHeight="1" x14ac:dyDescent="0.15">
      <c r="A71" s="431" t="s">
        <v>131</v>
      </c>
      <c r="B71" s="191">
        <f t="shared" ref="B71" si="31">$I$5</f>
        <v>795</v>
      </c>
      <c r="C71" s="422" t="str">
        <f t="shared" ref="C71" si="32">$A$5</f>
        <v>DN</v>
      </c>
      <c r="D71" s="423"/>
      <c r="E71" s="424"/>
      <c r="F71" s="425"/>
      <c r="G71" s="426"/>
      <c r="H71" s="427"/>
      <c r="I71" s="207" t="s">
        <v>109</v>
      </c>
      <c r="J71" s="192"/>
      <c r="K71" s="193">
        <v>2</v>
      </c>
      <c r="L71" s="194" t="s">
        <v>63</v>
      </c>
      <c r="M71" s="195">
        <f t="shared" si="12"/>
        <v>1590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-1590</v>
      </c>
      <c r="U71" s="199"/>
      <c r="V71" s="199"/>
      <c r="W71" s="208"/>
      <c r="X71" s="198"/>
      <c r="Y71" s="437" t="s">
        <v>64</v>
      </c>
      <c r="Z71" s="231"/>
      <c r="AA71" s="232"/>
      <c r="AB71" s="439"/>
    </row>
    <row r="72" spans="1:32" s="206" customFormat="1" ht="54.95" customHeight="1" x14ac:dyDescent="0.15">
      <c r="A72" s="559"/>
      <c r="B72" s="204">
        <f>$I$6</f>
        <v>991</v>
      </c>
      <c r="C72" s="422" t="str">
        <f>$A$6</f>
        <v>CO</v>
      </c>
      <c r="D72" s="423"/>
      <c r="E72" s="424"/>
      <c r="F72" s="425"/>
      <c r="G72" s="426"/>
      <c r="H72" s="427"/>
      <c r="I72" s="207" t="s">
        <v>109</v>
      </c>
      <c r="J72" s="192"/>
      <c r="K72" s="193">
        <v>2</v>
      </c>
      <c r="L72" s="194" t="s">
        <v>63</v>
      </c>
      <c r="M72" s="195">
        <f t="shared" si="12"/>
        <v>1982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-1982</v>
      </c>
      <c r="U72" s="199"/>
      <c r="V72" s="200"/>
      <c r="W72" s="195"/>
      <c r="X72" s="195"/>
      <c r="Y72" s="562"/>
      <c r="Z72" s="201"/>
      <c r="AA72" s="202"/>
      <c r="AB72" s="558"/>
    </row>
    <row r="73" spans="1:32" s="206" customFormat="1" ht="54.95" customHeight="1" x14ac:dyDescent="0.15">
      <c r="A73" s="432"/>
      <c r="B73" s="204">
        <f>$I$7</f>
        <v>1176</v>
      </c>
      <c r="C73" s="422" t="str">
        <f>$A$7</f>
        <v>BK</v>
      </c>
      <c r="D73" s="423"/>
      <c r="E73" s="424"/>
      <c r="F73" s="425"/>
      <c r="G73" s="426"/>
      <c r="H73" s="427"/>
      <c r="I73" s="207" t="s">
        <v>109</v>
      </c>
      <c r="J73" s="192"/>
      <c r="K73" s="193">
        <v>2</v>
      </c>
      <c r="L73" s="194" t="s">
        <v>63</v>
      </c>
      <c r="M73" s="195">
        <f t="shared" si="12"/>
        <v>2352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-2352</v>
      </c>
      <c r="U73" s="199"/>
      <c r="V73" s="200"/>
      <c r="W73" s="195"/>
      <c r="X73" s="195"/>
      <c r="Y73" s="438"/>
      <c r="Z73" s="201"/>
      <c r="AA73" s="202"/>
      <c r="AB73" s="440"/>
    </row>
    <row r="74" spans="1:32" s="206" customFormat="1" ht="54.95" customHeight="1" x14ac:dyDescent="0.15">
      <c r="A74" s="431" t="s">
        <v>137</v>
      </c>
      <c r="B74" s="191">
        <f t="shared" ref="B74" si="33">$I$5</f>
        <v>795</v>
      </c>
      <c r="C74" s="422" t="str">
        <f t="shared" ref="C74" si="34">$A$5</f>
        <v>DN</v>
      </c>
      <c r="D74" s="423"/>
      <c r="E74" s="424"/>
      <c r="F74" s="425"/>
      <c r="G74" s="426"/>
      <c r="H74" s="427"/>
      <c r="I74" s="433"/>
      <c r="J74" s="192"/>
      <c r="K74" s="193">
        <v>1</v>
      </c>
      <c r="L74" s="194" t="s">
        <v>65</v>
      </c>
      <c r="M74" s="195">
        <f t="shared" si="12"/>
        <v>795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-795</v>
      </c>
      <c r="U74" s="199"/>
      <c r="V74" s="199"/>
      <c r="W74" s="208"/>
      <c r="X74" s="198"/>
      <c r="Y74" s="437" t="s">
        <v>64</v>
      </c>
      <c r="Z74" s="288"/>
      <c r="AA74" s="288"/>
      <c r="AB74" s="569"/>
    </row>
    <row r="75" spans="1:32" s="206" customFormat="1" ht="54.95" customHeight="1" x14ac:dyDescent="0.15">
      <c r="A75" s="559"/>
      <c r="B75" s="204">
        <f>$I$6</f>
        <v>991</v>
      </c>
      <c r="C75" s="422" t="str">
        <f>$A$6</f>
        <v>CO</v>
      </c>
      <c r="D75" s="423"/>
      <c r="E75" s="424"/>
      <c r="F75" s="425"/>
      <c r="G75" s="426"/>
      <c r="H75" s="427"/>
      <c r="I75" s="560"/>
      <c r="J75" s="192"/>
      <c r="K75" s="193">
        <v>1</v>
      </c>
      <c r="L75" s="194" t="s">
        <v>65</v>
      </c>
      <c r="M75" s="195">
        <f t="shared" si="12"/>
        <v>991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-991</v>
      </c>
      <c r="U75" s="199"/>
      <c r="V75" s="200"/>
      <c r="W75" s="195"/>
      <c r="X75" s="195"/>
      <c r="Y75" s="562"/>
      <c r="Z75" s="288"/>
      <c r="AA75" s="288"/>
      <c r="AB75" s="570"/>
    </row>
    <row r="76" spans="1:32" s="206" customFormat="1" ht="54.95" customHeight="1" x14ac:dyDescent="0.15">
      <c r="A76" s="432"/>
      <c r="B76" s="204">
        <f>$I$7</f>
        <v>1176</v>
      </c>
      <c r="C76" s="422" t="str">
        <f>$A$7</f>
        <v>BK</v>
      </c>
      <c r="D76" s="423"/>
      <c r="E76" s="424"/>
      <c r="F76" s="425"/>
      <c r="G76" s="426"/>
      <c r="H76" s="427"/>
      <c r="I76" s="434"/>
      <c r="J76" s="192"/>
      <c r="K76" s="193">
        <v>1</v>
      </c>
      <c r="L76" s="194" t="s">
        <v>65</v>
      </c>
      <c r="M76" s="195">
        <f t="shared" si="12"/>
        <v>1176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-1176</v>
      </c>
      <c r="U76" s="199"/>
      <c r="V76" s="200"/>
      <c r="W76" s="195"/>
      <c r="X76" s="195"/>
      <c r="Y76" s="438"/>
      <c r="Z76" s="288"/>
      <c r="AA76" s="288"/>
      <c r="AB76" s="571"/>
    </row>
    <row r="77" spans="1:32" s="206" customFormat="1" ht="69.95" customHeight="1" x14ac:dyDescent="0.15">
      <c r="A77" s="431" t="s">
        <v>120</v>
      </c>
      <c r="B77" s="191">
        <f t="shared" ref="B77" si="35">$I$5</f>
        <v>795</v>
      </c>
      <c r="C77" s="422" t="str">
        <f t="shared" ref="C77" si="36">$A$5</f>
        <v>DN</v>
      </c>
      <c r="D77" s="423"/>
      <c r="E77" s="424"/>
      <c r="F77" s="425"/>
      <c r="G77" s="426"/>
      <c r="H77" s="427"/>
      <c r="I77" s="433" t="s">
        <v>76</v>
      </c>
      <c r="J77" s="192"/>
      <c r="K77" s="193">
        <v>1</v>
      </c>
      <c r="L77" s="194" t="s">
        <v>63</v>
      </c>
      <c r="M77" s="195">
        <f t="shared" si="12"/>
        <v>795</v>
      </c>
      <c r="N77" s="196"/>
      <c r="O77" s="195"/>
      <c r="P77" s="197" t="s">
        <v>63</v>
      </c>
      <c r="Q77" s="435"/>
      <c r="R77" s="195"/>
      <c r="S77" s="197" t="s">
        <v>63</v>
      </c>
      <c r="T77" s="205">
        <f t="shared" si="3"/>
        <v>-795</v>
      </c>
      <c r="U77" s="199"/>
      <c r="V77" s="199"/>
      <c r="W77" s="208"/>
      <c r="X77" s="198"/>
      <c r="Y77" s="437" t="s">
        <v>64</v>
      </c>
      <c r="Z77" s="288"/>
      <c r="AA77" s="288"/>
      <c r="AB77" s="569"/>
    </row>
    <row r="78" spans="1:32" s="206" customFormat="1" ht="69.95" customHeight="1" x14ac:dyDescent="0.15">
      <c r="A78" s="559"/>
      <c r="B78" s="204">
        <f>$I$6</f>
        <v>991</v>
      </c>
      <c r="C78" s="422" t="str">
        <f>$A$6</f>
        <v>CO</v>
      </c>
      <c r="D78" s="423"/>
      <c r="E78" s="424"/>
      <c r="F78" s="425"/>
      <c r="G78" s="426"/>
      <c r="H78" s="427"/>
      <c r="I78" s="560"/>
      <c r="J78" s="192"/>
      <c r="K78" s="193">
        <v>1</v>
      </c>
      <c r="L78" s="194" t="s">
        <v>63</v>
      </c>
      <c r="M78" s="195">
        <f t="shared" si="12"/>
        <v>991</v>
      </c>
      <c r="N78" s="233"/>
      <c r="O78" s="195"/>
      <c r="P78" s="197" t="s">
        <v>63</v>
      </c>
      <c r="Q78" s="561"/>
      <c r="R78" s="195"/>
      <c r="S78" s="197" t="s">
        <v>63</v>
      </c>
      <c r="T78" s="198">
        <f t="shared" si="3"/>
        <v>-991</v>
      </c>
      <c r="U78" s="199"/>
      <c r="V78" s="200"/>
      <c r="W78" s="195"/>
      <c r="X78" s="195"/>
      <c r="Y78" s="562"/>
      <c r="Z78" s="288"/>
      <c r="AA78" s="288"/>
      <c r="AB78" s="570"/>
      <c r="AC78" s="234"/>
      <c r="AD78" s="230"/>
      <c r="AE78" s="230"/>
      <c r="AF78" s="230"/>
    </row>
    <row r="79" spans="1:32" s="176" customFormat="1" ht="54.95" customHeight="1" x14ac:dyDescent="0.15">
      <c r="A79" s="432"/>
      <c r="B79" s="204">
        <f>$I$7</f>
        <v>1176</v>
      </c>
      <c r="C79" s="422" t="str">
        <f>$A$7</f>
        <v>BK</v>
      </c>
      <c r="D79" s="423"/>
      <c r="E79" s="424"/>
      <c r="F79" s="425"/>
      <c r="G79" s="426"/>
      <c r="H79" s="427"/>
      <c r="I79" s="434"/>
      <c r="J79" s="192"/>
      <c r="K79" s="193">
        <v>1</v>
      </c>
      <c r="L79" s="194" t="s">
        <v>63</v>
      </c>
      <c r="M79" s="195">
        <f t="shared" si="12"/>
        <v>1176</v>
      </c>
      <c r="N79" s="233"/>
      <c r="O79" s="195"/>
      <c r="P79" s="197" t="s">
        <v>63</v>
      </c>
      <c r="Q79" s="436"/>
      <c r="R79" s="195"/>
      <c r="S79" s="197" t="s">
        <v>63</v>
      </c>
      <c r="T79" s="198">
        <f t="shared" si="3"/>
        <v>-1176</v>
      </c>
      <c r="U79" s="199"/>
      <c r="V79" s="200"/>
      <c r="W79" s="195"/>
      <c r="X79" s="195"/>
      <c r="Y79" s="438"/>
      <c r="Z79" s="288"/>
      <c r="AA79" s="288"/>
      <c r="AB79" s="571"/>
    </row>
    <row r="80" spans="1:32" s="176" customFormat="1" ht="54.95" customHeight="1" x14ac:dyDescent="0.15">
      <c r="A80" s="431" t="s">
        <v>119</v>
      </c>
      <c r="B80" s="191">
        <f t="shared" ref="B80" si="37">$I$5</f>
        <v>795</v>
      </c>
      <c r="C80" s="422" t="str">
        <f t="shared" ref="C80" si="38">$A$5</f>
        <v>DN</v>
      </c>
      <c r="D80" s="423"/>
      <c r="E80" s="424"/>
      <c r="F80" s="425"/>
      <c r="G80" s="426"/>
      <c r="H80" s="427"/>
      <c r="I80" s="433" t="s">
        <v>121</v>
      </c>
      <c r="J80" s="192"/>
      <c r="K80" s="193">
        <v>2</v>
      </c>
      <c r="L80" s="194" t="s">
        <v>63</v>
      </c>
      <c r="M80" s="195">
        <f>K80*B80</f>
        <v>1590</v>
      </c>
      <c r="N80" s="196"/>
      <c r="O80" s="195"/>
      <c r="P80" s="197" t="s">
        <v>63</v>
      </c>
      <c r="Q80" s="435"/>
      <c r="R80" s="195"/>
      <c r="S80" s="197" t="s">
        <v>63</v>
      </c>
      <c r="T80" s="205">
        <f>R80-M80</f>
        <v>-1590</v>
      </c>
      <c r="U80" s="199"/>
      <c r="V80" s="199"/>
      <c r="W80" s="208"/>
      <c r="X80" s="198"/>
      <c r="Y80" s="437" t="s">
        <v>64</v>
      </c>
      <c r="Z80" s="231"/>
      <c r="AA80" s="232"/>
      <c r="AB80" s="439"/>
    </row>
    <row r="81" spans="1:28" s="176" customFormat="1" ht="54.95" customHeight="1" thickBot="1" x14ac:dyDescent="0.2">
      <c r="A81" s="432"/>
      <c r="B81" s="204">
        <f>$I$6</f>
        <v>991</v>
      </c>
      <c r="C81" s="422" t="str">
        <f>$A$6</f>
        <v>CO</v>
      </c>
      <c r="D81" s="423"/>
      <c r="E81" s="424"/>
      <c r="F81" s="425"/>
      <c r="G81" s="426"/>
      <c r="H81" s="427"/>
      <c r="I81" s="434"/>
      <c r="J81" s="192"/>
      <c r="K81" s="193">
        <v>2</v>
      </c>
      <c r="L81" s="194" t="s">
        <v>63</v>
      </c>
      <c r="M81" s="195">
        <f>K81*B81</f>
        <v>1982</v>
      </c>
      <c r="N81" s="233"/>
      <c r="O81" s="195"/>
      <c r="P81" s="197" t="s">
        <v>63</v>
      </c>
      <c r="Q81" s="436"/>
      <c r="R81" s="195"/>
      <c r="S81" s="197" t="s">
        <v>63</v>
      </c>
      <c r="T81" s="198">
        <f>R81-M81</f>
        <v>-1982</v>
      </c>
      <c r="U81" s="199"/>
      <c r="V81" s="200"/>
      <c r="W81" s="195"/>
      <c r="X81" s="195"/>
      <c r="Y81" s="438"/>
      <c r="Z81" s="201"/>
      <c r="AA81" s="202"/>
      <c r="AB81" s="440"/>
    </row>
    <row r="82" spans="1:28" s="176" customFormat="1" ht="54.95" customHeight="1" thickTop="1" x14ac:dyDescent="0.15">
      <c r="A82" s="572" t="s">
        <v>66</v>
      </c>
      <c r="B82" s="164">
        <f>C11</f>
        <v>1040</v>
      </c>
      <c r="C82" s="407" t="e">
        <f>#REF!</f>
        <v>#REF!</v>
      </c>
      <c r="D82" s="408"/>
      <c r="E82" s="409"/>
      <c r="F82" s="371"/>
      <c r="G82" s="372"/>
      <c r="H82" s="373"/>
      <c r="I82" s="276"/>
      <c r="J82" s="255"/>
      <c r="K82" s="263">
        <v>1</v>
      </c>
      <c r="L82" s="168" t="s">
        <v>63</v>
      </c>
      <c r="M82" s="169">
        <f t="shared" si="4"/>
        <v>1040</v>
      </c>
      <c r="N82" s="171"/>
      <c r="O82" s="277"/>
      <c r="P82" s="169" t="s">
        <v>63</v>
      </c>
      <c r="Q82" s="376">
        <v>45926</v>
      </c>
      <c r="R82" s="277">
        <v>1040</v>
      </c>
      <c r="S82" s="169" t="s">
        <v>63</v>
      </c>
      <c r="T82" s="278">
        <f t="shared" si="3"/>
        <v>0</v>
      </c>
      <c r="U82" s="279"/>
      <c r="V82" s="280"/>
      <c r="W82" s="278"/>
      <c r="X82" s="278"/>
      <c r="Y82" s="374" t="s">
        <v>72</v>
      </c>
      <c r="Z82" s="374"/>
      <c r="AA82" s="374"/>
      <c r="AB82" s="566" t="s">
        <v>166</v>
      </c>
    </row>
    <row r="83" spans="1:28" s="176" customFormat="1" ht="54.95" customHeight="1" x14ac:dyDescent="0.15">
      <c r="A83" s="573"/>
      <c r="B83" s="164">
        <f>D11</f>
        <v>1260</v>
      </c>
      <c r="C83" s="410"/>
      <c r="D83" s="411"/>
      <c r="E83" s="412"/>
      <c r="F83" s="371"/>
      <c r="G83" s="372"/>
      <c r="H83" s="373"/>
      <c r="I83" s="276"/>
      <c r="J83" s="255"/>
      <c r="K83" s="167">
        <v>1</v>
      </c>
      <c r="L83" s="168" t="s">
        <v>63</v>
      </c>
      <c r="M83" s="169">
        <f t="shared" si="4"/>
        <v>1260</v>
      </c>
      <c r="N83" s="171"/>
      <c r="O83" s="277"/>
      <c r="P83" s="169" t="s">
        <v>63</v>
      </c>
      <c r="Q83" s="377"/>
      <c r="R83" s="277">
        <v>1260</v>
      </c>
      <c r="S83" s="169" t="s">
        <v>63</v>
      </c>
      <c r="T83" s="278">
        <f t="shared" si="3"/>
        <v>0</v>
      </c>
      <c r="U83" s="279"/>
      <c r="V83" s="280"/>
      <c r="W83" s="278"/>
      <c r="X83" s="278"/>
      <c r="Y83" s="375"/>
      <c r="Z83" s="375"/>
      <c r="AA83" s="375"/>
      <c r="AB83" s="361"/>
    </row>
    <row r="84" spans="1:28" s="176" customFormat="1" ht="54.95" customHeight="1" x14ac:dyDescent="0.15">
      <c r="A84" s="573"/>
      <c r="B84" s="164">
        <f>E11</f>
        <v>662</v>
      </c>
      <c r="C84" s="410"/>
      <c r="D84" s="411"/>
      <c r="E84" s="412"/>
      <c r="F84" s="371"/>
      <c r="G84" s="372"/>
      <c r="H84" s="373"/>
      <c r="I84" s="276"/>
      <c r="J84" s="255"/>
      <c r="K84" s="167">
        <v>1</v>
      </c>
      <c r="L84" s="168" t="s">
        <v>63</v>
      </c>
      <c r="M84" s="169">
        <f t="shared" si="4"/>
        <v>662</v>
      </c>
      <c r="N84" s="171"/>
      <c r="O84" s="277"/>
      <c r="P84" s="169" t="s">
        <v>63</v>
      </c>
      <c r="Q84" s="377"/>
      <c r="R84" s="277">
        <v>662</v>
      </c>
      <c r="S84" s="169" t="s">
        <v>63</v>
      </c>
      <c r="T84" s="278">
        <f t="shared" si="3"/>
        <v>0</v>
      </c>
      <c r="U84" s="279"/>
      <c r="V84" s="280"/>
      <c r="W84" s="278"/>
      <c r="X84" s="278"/>
      <c r="Y84" s="375"/>
      <c r="Z84" s="375"/>
      <c r="AA84" s="375"/>
      <c r="AB84" s="361"/>
    </row>
    <row r="85" spans="1:28" s="176" customFormat="1" ht="54.95" customHeight="1" x14ac:dyDescent="0.15">
      <c r="A85" s="574"/>
      <c r="B85" s="164">
        <f>F11</f>
        <v>0</v>
      </c>
      <c r="C85" s="413"/>
      <c r="D85" s="414"/>
      <c r="E85" s="415"/>
      <c r="F85" s="371"/>
      <c r="G85" s="372"/>
      <c r="H85" s="373"/>
      <c r="I85" s="276"/>
      <c r="J85" s="255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8"/>
      <c r="R85" s="277"/>
      <c r="S85" s="169" t="s">
        <v>63</v>
      </c>
      <c r="T85" s="278">
        <f t="shared" si="3"/>
        <v>0</v>
      </c>
      <c r="U85" s="279"/>
      <c r="V85" s="280"/>
      <c r="W85" s="278"/>
      <c r="X85" s="278"/>
      <c r="Y85" s="379"/>
      <c r="Z85" s="379"/>
      <c r="AA85" s="379"/>
      <c r="AB85" s="362"/>
    </row>
    <row r="86" spans="1:28" s="176" customFormat="1" ht="54.95" customHeight="1" x14ac:dyDescent="0.15">
      <c r="A86" s="572" t="s">
        <v>68</v>
      </c>
      <c r="B86" s="164">
        <f>C5+C8</f>
        <v>290</v>
      </c>
      <c r="C86" s="456" t="str">
        <f>A5</f>
        <v>DN</v>
      </c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290</v>
      </c>
      <c r="N86" s="171"/>
      <c r="O86" s="277"/>
      <c r="P86" s="169" t="s">
        <v>63</v>
      </c>
      <c r="Q86" s="376">
        <v>45926</v>
      </c>
      <c r="R86" s="277">
        <v>290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4" t="s">
        <v>72</v>
      </c>
      <c r="Z86" s="374"/>
      <c r="AA86" s="374"/>
      <c r="AB86" s="404" t="s">
        <v>166</v>
      </c>
    </row>
    <row r="87" spans="1:28" s="176" customFormat="1" ht="54.95" customHeight="1" x14ac:dyDescent="0.15">
      <c r="A87" s="573"/>
      <c r="B87" s="164">
        <f>D5+D8</f>
        <v>330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330</v>
      </c>
      <c r="N87" s="171"/>
      <c r="O87" s="277"/>
      <c r="P87" s="169" t="s">
        <v>63</v>
      </c>
      <c r="Q87" s="377"/>
      <c r="R87" s="277">
        <v>330</v>
      </c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405"/>
    </row>
    <row r="88" spans="1:28" s="176" customFormat="1" ht="54.95" customHeight="1" x14ac:dyDescent="0.15">
      <c r="A88" s="573"/>
      <c r="B88" s="164">
        <f>E5+E8</f>
        <v>175</v>
      </c>
      <c r="C88" s="456"/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175</v>
      </c>
      <c r="N88" s="171"/>
      <c r="O88" s="277"/>
      <c r="P88" s="169" t="s">
        <v>63</v>
      </c>
      <c r="Q88" s="377"/>
      <c r="R88" s="277">
        <v>175</v>
      </c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405"/>
    </row>
    <row r="89" spans="1:28" s="176" customFormat="1" ht="54.95" customHeight="1" x14ac:dyDescent="0.15">
      <c r="A89" s="573"/>
      <c r="B89" s="164">
        <f>C6+C9</f>
        <v>360</v>
      </c>
      <c r="C89" s="456" t="str">
        <f>A6</f>
        <v>CO</v>
      </c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4"/>
        <v>360</v>
      </c>
      <c r="N89" s="171"/>
      <c r="O89" s="277"/>
      <c r="P89" s="169" t="s">
        <v>63</v>
      </c>
      <c r="Q89" s="377"/>
      <c r="R89" s="168">
        <v>360</v>
      </c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405"/>
    </row>
    <row r="90" spans="1:28" s="176" customFormat="1" ht="54.95" customHeight="1" x14ac:dyDescent="0.15">
      <c r="A90" s="573"/>
      <c r="B90" s="164">
        <f>D6+D9</f>
        <v>440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4"/>
        <v>440</v>
      </c>
      <c r="N90" s="171"/>
      <c r="O90" s="277"/>
      <c r="P90" s="169" t="s">
        <v>63</v>
      </c>
      <c r="Q90" s="377"/>
      <c r="R90" s="168">
        <v>440</v>
      </c>
      <c r="S90" s="169" t="s">
        <v>63</v>
      </c>
      <c r="T90" s="278">
        <f t="shared" si="3"/>
        <v>0</v>
      </c>
      <c r="U90" s="281"/>
      <c r="V90" s="282"/>
      <c r="W90" s="278"/>
      <c r="X90" s="278"/>
      <c r="Y90" s="375"/>
      <c r="Z90" s="375"/>
      <c r="AA90" s="375"/>
      <c r="AB90" s="405"/>
    </row>
    <row r="91" spans="1:28" s="176" customFormat="1" ht="54.95" customHeight="1" x14ac:dyDescent="0.15">
      <c r="A91" s="573"/>
      <c r="B91" s="164">
        <f>E6+E9</f>
        <v>191</v>
      </c>
      <c r="C91" s="456"/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4"/>
        <v>191</v>
      </c>
      <c r="N91" s="171"/>
      <c r="O91" s="277"/>
      <c r="P91" s="169" t="s">
        <v>63</v>
      </c>
      <c r="Q91" s="377"/>
      <c r="R91" s="277">
        <v>191</v>
      </c>
      <c r="S91" s="169" t="s">
        <v>63</v>
      </c>
      <c r="T91" s="278">
        <f>R91-M91</f>
        <v>0</v>
      </c>
      <c r="U91" s="281"/>
      <c r="V91" s="282"/>
      <c r="W91" s="278"/>
      <c r="X91" s="278"/>
      <c r="Y91" s="375"/>
      <c r="Z91" s="375"/>
      <c r="AA91" s="375"/>
      <c r="AB91" s="405"/>
    </row>
    <row r="92" spans="1:28" s="176" customFormat="1" ht="54.95" customHeight="1" x14ac:dyDescent="0.15">
      <c r="A92" s="573"/>
      <c r="B92" s="164">
        <f>C7+C10</f>
        <v>390</v>
      </c>
      <c r="C92" s="456" t="str">
        <f>A7</f>
        <v>BK</v>
      </c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ref="M92:M110" si="39">K92*B92</f>
        <v>390</v>
      </c>
      <c r="N92" s="171"/>
      <c r="O92" s="277"/>
      <c r="P92" s="169" t="s">
        <v>63</v>
      </c>
      <c r="Q92" s="377"/>
      <c r="R92" s="277">
        <v>390</v>
      </c>
      <c r="S92" s="169" t="s">
        <v>63</v>
      </c>
      <c r="T92" s="278">
        <f>R92-M92</f>
        <v>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573"/>
      <c r="B93" s="164">
        <f>D7+D10</f>
        <v>490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39"/>
        <v>490</v>
      </c>
      <c r="N93" s="171"/>
      <c r="O93" s="277"/>
      <c r="P93" s="169" t="s">
        <v>63</v>
      </c>
      <c r="Q93" s="377"/>
      <c r="R93" s="277">
        <v>490</v>
      </c>
      <c r="S93" s="169" t="s">
        <v>63</v>
      </c>
      <c r="T93" s="278">
        <f>R93-M93</f>
        <v>0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573"/>
      <c r="B94" s="164">
        <f>E7+E10</f>
        <v>296</v>
      </c>
      <c r="C94" s="456"/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39"/>
        <v>296</v>
      </c>
      <c r="N94" s="171"/>
      <c r="O94" s="277"/>
      <c r="P94" s="169" t="s">
        <v>63</v>
      </c>
      <c r="Q94" s="378"/>
      <c r="R94" s="168">
        <v>296</v>
      </c>
      <c r="S94" s="169" t="s">
        <v>63</v>
      </c>
      <c r="T94" s="278">
        <f>R94-M94</f>
        <v>0</v>
      </c>
      <c r="U94" s="281"/>
      <c r="V94" s="282"/>
      <c r="W94" s="278"/>
      <c r="X94" s="278"/>
      <c r="Y94" s="379"/>
      <c r="Z94" s="379"/>
      <c r="AA94" s="379"/>
      <c r="AB94" s="406"/>
    </row>
    <row r="95" spans="1:28" s="176" customFormat="1" ht="54.95" customHeight="1" x14ac:dyDescent="0.15">
      <c r="A95" s="572" t="s">
        <v>69</v>
      </c>
      <c r="B95" s="164">
        <f>C5</f>
        <v>290</v>
      </c>
      <c r="C95" s="456" t="str">
        <f>A5</f>
        <v>DN</v>
      </c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39"/>
        <v>290</v>
      </c>
      <c r="N95" s="171"/>
      <c r="O95" s="277"/>
      <c r="P95" s="169" t="s">
        <v>63</v>
      </c>
      <c r="Q95" s="376">
        <v>45996</v>
      </c>
      <c r="R95" s="277">
        <v>290</v>
      </c>
      <c r="S95" s="169" t="s">
        <v>63</v>
      </c>
      <c r="T95" s="278">
        <f t="shared" si="3"/>
        <v>0</v>
      </c>
      <c r="U95" s="281"/>
      <c r="V95" s="282"/>
      <c r="W95" s="278"/>
      <c r="X95" s="278"/>
      <c r="Y95" s="374" t="s">
        <v>67</v>
      </c>
      <c r="Z95" s="374"/>
      <c r="AA95" s="374"/>
      <c r="AB95" s="360" t="s">
        <v>212</v>
      </c>
    </row>
    <row r="96" spans="1:28" s="176" customFormat="1" ht="54.95" customHeight="1" x14ac:dyDescent="0.15">
      <c r="A96" s="573"/>
      <c r="B96" s="164">
        <f>D5</f>
        <v>330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39"/>
        <v>330</v>
      </c>
      <c r="N96" s="171"/>
      <c r="O96" s="277"/>
      <c r="P96" s="169" t="s">
        <v>63</v>
      </c>
      <c r="Q96" s="377"/>
      <c r="R96" s="277">
        <v>330</v>
      </c>
      <c r="S96" s="169" t="s">
        <v>63</v>
      </c>
      <c r="T96" s="278">
        <f t="shared" si="3"/>
        <v>0</v>
      </c>
      <c r="U96" s="281"/>
      <c r="V96" s="282"/>
      <c r="W96" s="278"/>
      <c r="X96" s="278"/>
      <c r="Y96" s="375"/>
      <c r="Z96" s="375"/>
      <c r="AA96" s="375"/>
      <c r="AB96" s="361"/>
    </row>
    <row r="97" spans="1:28" s="176" customFormat="1" ht="54.95" customHeight="1" x14ac:dyDescent="0.15">
      <c r="A97" s="573"/>
      <c r="B97" s="164">
        <f>E5</f>
        <v>175</v>
      </c>
      <c r="C97" s="456"/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39"/>
        <v>175</v>
      </c>
      <c r="N97" s="171"/>
      <c r="O97" s="277"/>
      <c r="P97" s="169" t="s">
        <v>63</v>
      </c>
      <c r="Q97" s="377"/>
      <c r="R97" s="277">
        <v>175</v>
      </c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361"/>
    </row>
    <row r="98" spans="1:28" s="176" customFormat="1" ht="54.95" customHeight="1" x14ac:dyDescent="0.15">
      <c r="A98" s="573"/>
      <c r="B98" s="164">
        <f>C6</f>
        <v>360</v>
      </c>
      <c r="C98" s="456" t="str">
        <f>A6</f>
        <v>CO</v>
      </c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39"/>
        <v>360</v>
      </c>
      <c r="N98" s="171"/>
      <c r="O98" s="277"/>
      <c r="P98" s="169" t="s">
        <v>63</v>
      </c>
      <c r="Q98" s="377"/>
      <c r="R98" s="168">
        <v>360</v>
      </c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361"/>
    </row>
    <row r="99" spans="1:28" s="176" customFormat="1" ht="54.95" customHeight="1" x14ac:dyDescent="0.15">
      <c r="A99" s="573"/>
      <c r="B99" s="164">
        <f>D6</f>
        <v>440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39"/>
        <v>440</v>
      </c>
      <c r="N99" s="171"/>
      <c r="O99" s="277"/>
      <c r="P99" s="169" t="s">
        <v>63</v>
      </c>
      <c r="Q99" s="377"/>
      <c r="R99" s="168">
        <v>440</v>
      </c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9"/>
      <c r="AA99" s="379"/>
      <c r="AB99" s="361"/>
    </row>
    <row r="100" spans="1:28" s="55" customFormat="1" ht="54.95" customHeight="1" x14ac:dyDescent="0.15">
      <c r="A100" s="573"/>
      <c r="B100" s="164">
        <f>E6</f>
        <v>191</v>
      </c>
      <c r="C100" s="456"/>
      <c r="D100" s="456"/>
      <c r="E100" s="456"/>
      <c r="F100" s="371"/>
      <c r="G100" s="372"/>
      <c r="H100" s="373"/>
      <c r="I100" s="276"/>
      <c r="J100" s="276"/>
      <c r="K100" s="167">
        <v>1</v>
      </c>
      <c r="L100" s="168" t="s">
        <v>63</v>
      </c>
      <c r="M100" s="169">
        <f t="shared" si="39"/>
        <v>191</v>
      </c>
      <c r="N100" s="171"/>
      <c r="O100" s="277"/>
      <c r="P100" s="169" t="s">
        <v>63</v>
      </c>
      <c r="Q100" s="377"/>
      <c r="R100" s="277">
        <v>191</v>
      </c>
      <c r="S100" s="169" t="s">
        <v>63</v>
      </c>
      <c r="T100" s="278">
        <f t="shared" si="3"/>
        <v>0</v>
      </c>
      <c r="U100" s="281"/>
      <c r="V100" s="282"/>
      <c r="W100" s="278"/>
      <c r="X100" s="278"/>
      <c r="Y100" s="375"/>
      <c r="Z100" s="374"/>
      <c r="AA100" s="374"/>
      <c r="AB100" s="361"/>
    </row>
    <row r="101" spans="1:28" s="55" customFormat="1" ht="54.95" customHeight="1" x14ac:dyDescent="0.15">
      <c r="A101" s="573"/>
      <c r="B101" s="164">
        <f>C7</f>
        <v>390</v>
      </c>
      <c r="C101" s="456" t="str">
        <f>A7</f>
        <v>BK</v>
      </c>
      <c r="D101" s="456"/>
      <c r="E101" s="456"/>
      <c r="F101" s="371"/>
      <c r="G101" s="372"/>
      <c r="H101" s="373"/>
      <c r="I101" s="276"/>
      <c r="J101" s="276"/>
      <c r="K101" s="167">
        <v>1</v>
      </c>
      <c r="L101" s="168" t="s">
        <v>63</v>
      </c>
      <c r="M101" s="169">
        <f t="shared" si="39"/>
        <v>390</v>
      </c>
      <c r="N101" s="171"/>
      <c r="O101" s="277"/>
      <c r="P101" s="169" t="s">
        <v>63</v>
      </c>
      <c r="Q101" s="377"/>
      <c r="R101" s="277">
        <v>390</v>
      </c>
      <c r="S101" s="169" t="s">
        <v>63</v>
      </c>
      <c r="T101" s="278">
        <f t="shared" si="3"/>
        <v>0</v>
      </c>
      <c r="U101" s="281"/>
      <c r="V101" s="282"/>
      <c r="W101" s="278"/>
      <c r="X101" s="278"/>
      <c r="Y101" s="375"/>
      <c r="Z101" s="375"/>
      <c r="AA101" s="375"/>
      <c r="AB101" s="361"/>
    </row>
    <row r="102" spans="1:28" s="55" customFormat="1" ht="54.95" customHeight="1" x14ac:dyDescent="0.15">
      <c r="A102" s="573"/>
      <c r="B102" s="164">
        <f>D7</f>
        <v>490</v>
      </c>
      <c r="C102" s="456"/>
      <c r="D102" s="456"/>
      <c r="E102" s="456"/>
      <c r="F102" s="371"/>
      <c r="G102" s="372"/>
      <c r="H102" s="373"/>
      <c r="I102" s="276"/>
      <c r="J102" s="276"/>
      <c r="K102" s="167">
        <v>1</v>
      </c>
      <c r="L102" s="168" t="s">
        <v>63</v>
      </c>
      <c r="M102" s="169">
        <f t="shared" si="39"/>
        <v>490</v>
      </c>
      <c r="N102" s="171"/>
      <c r="O102" s="277"/>
      <c r="P102" s="169" t="s">
        <v>63</v>
      </c>
      <c r="Q102" s="377"/>
      <c r="R102" s="277">
        <v>490</v>
      </c>
      <c r="S102" s="169" t="s">
        <v>63</v>
      </c>
      <c r="T102" s="278">
        <f t="shared" si="3"/>
        <v>0</v>
      </c>
      <c r="U102" s="281"/>
      <c r="V102" s="282"/>
      <c r="W102" s="278"/>
      <c r="X102" s="278"/>
      <c r="Y102" s="375"/>
      <c r="Z102" s="375"/>
      <c r="AA102" s="375"/>
      <c r="AB102" s="361"/>
    </row>
    <row r="103" spans="1:28" s="176" customFormat="1" ht="54.95" customHeight="1" x14ac:dyDescent="0.15">
      <c r="A103" s="573"/>
      <c r="B103" s="164">
        <f>E7</f>
        <v>296</v>
      </c>
      <c r="C103" s="456"/>
      <c r="D103" s="456"/>
      <c r="E103" s="456"/>
      <c r="F103" s="371"/>
      <c r="G103" s="372"/>
      <c r="H103" s="373"/>
      <c r="I103" s="276"/>
      <c r="J103" s="276"/>
      <c r="K103" s="167">
        <v>1</v>
      </c>
      <c r="L103" s="168" t="s">
        <v>63</v>
      </c>
      <c r="M103" s="169">
        <f t="shared" si="39"/>
        <v>296</v>
      </c>
      <c r="N103" s="171"/>
      <c r="O103" s="277"/>
      <c r="P103" s="169" t="s">
        <v>63</v>
      </c>
      <c r="Q103" s="378"/>
      <c r="R103" s="168">
        <v>296</v>
      </c>
      <c r="S103" s="169" t="s">
        <v>63</v>
      </c>
      <c r="T103" s="278">
        <f t="shared" si="3"/>
        <v>0</v>
      </c>
      <c r="U103" s="281"/>
      <c r="V103" s="282"/>
      <c r="W103" s="278"/>
      <c r="X103" s="278"/>
      <c r="Y103" s="379"/>
      <c r="Z103" s="375"/>
      <c r="AA103" s="375"/>
      <c r="AB103" s="362"/>
    </row>
    <row r="104" spans="1:28" s="55" customFormat="1" ht="54.95" customHeight="1" x14ac:dyDescent="0.15">
      <c r="A104" s="572" t="s">
        <v>70</v>
      </c>
      <c r="B104" s="87">
        <f>C11</f>
        <v>1040</v>
      </c>
      <c r="C104" s="389" t="s">
        <v>71</v>
      </c>
      <c r="D104" s="390"/>
      <c r="E104" s="391"/>
      <c r="F104" s="368"/>
      <c r="G104" s="369"/>
      <c r="H104" s="370"/>
      <c r="I104" s="152"/>
      <c r="J104" s="90"/>
      <c r="K104" s="156">
        <v>1</v>
      </c>
      <c r="L104" s="77" t="s">
        <v>63</v>
      </c>
      <c r="M104" s="88">
        <f t="shared" si="39"/>
        <v>1040</v>
      </c>
      <c r="N104" s="89"/>
      <c r="O104" s="153"/>
      <c r="P104" s="88" t="s">
        <v>63</v>
      </c>
      <c r="Q104" s="398">
        <v>45926</v>
      </c>
      <c r="R104" s="93">
        <v>1040</v>
      </c>
      <c r="S104" s="88" t="s">
        <v>63</v>
      </c>
      <c r="T104" s="154">
        <f t="shared" si="3"/>
        <v>0</v>
      </c>
      <c r="U104" s="91"/>
      <c r="V104" s="159"/>
      <c r="W104" s="159"/>
      <c r="X104" s="159"/>
      <c r="Y104" s="401" t="s">
        <v>94</v>
      </c>
      <c r="Z104" s="416"/>
      <c r="AA104" s="416"/>
      <c r="AB104" s="419" t="s">
        <v>170</v>
      </c>
    </row>
    <row r="105" spans="1:28" s="55" customFormat="1" ht="54.95" customHeight="1" x14ac:dyDescent="0.15">
      <c r="A105" s="573"/>
      <c r="B105" s="87">
        <f>D11</f>
        <v>1260</v>
      </c>
      <c r="C105" s="392"/>
      <c r="D105" s="393"/>
      <c r="E105" s="394"/>
      <c r="F105" s="368"/>
      <c r="G105" s="369"/>
      <c r="H105" s="370"/>
      <c r="I105" s="152"/>
      <c r="J105" s="90"/>
      <c r="K105" s="156">
        <v>1</v>
      </c>
      <c r="L105" s="77" t="s">
        <v>63</v>
      </c>
      <c r="M105" s="88">
        <f t="shared" si="39"/>
        <v>1260</v>
      </c>
      <c r="N105" s="89"/>
      <c r="O105" s="153"/>
      <c r="P105" s="88" t="s">
        <v>63</v>
      </c>
      <c r="Q105" s="399"/>
      <c r="R105" s="93">
        <v>1260</v>
      </c>
      <c r="S105" s="88" t="s">
        <v>63</v>
      </c>
      <c r="T105" s="154">
        <f t="shared" si="3"/>
        <v>0</v>
      </c>
      <c r="U105" s="91"/>
      <c r="V105" s="159"/>
      <c r="W105" s="159"/>
      <c r="X105" s="159"/>
      <c r="Y105" s="402"/>
      <c r="Z105" s="417"/>
      <c r="AA105" s="417"/>
      <c r="AB105" s="420"/>
    </row>
    <row r="106" spans="1:28" ht="54.95" customHeight="1" x14ac:dyDescent="0.15">
      <c r="A106" s="573"/>
      <c r="B106" s="87">
        <f>E11</f>
        <v>662</v>
      </c>
      <c r="C106" s="392"/>
      <c r="D106" s="393"/>
      <c r="E106" s="394"/>
      <c r="F106" s="368"/>
      <c r="G106" s="369"/>
      <c r="H106" s="370"/>
      <c r="I106" s="152"/>
      <c r="J106" s="90"/>
      <c r="K106" s="156">
        <v>1</v>
      </c>
      <c r="L106" s="77" t="s">
        <v>63</v>
      </c>
      <c r="M106" s="88">
        <f t="shared" si="39"/>
        <v>662</v>
      </c>
      <c r="N106" s="89"/>
      <c r="O106" s="153"/>
      <c r="P106" s="88" t="s">
        <v>63</v>
      </c>
      <c r="Q106" s="399"/>
      <c r="R106" s="93">
        <v>669</v>
      </c>
      <c r="S106" s="88" t="s">
        <v>63</v>
      </c>
      <c r="T106" s="154">
        <f t="shared" si="3"/>
        <v>7</v>
      </c>
      <c r="U106" s="91"/>
      <c r="V106" s="159"/>
      <c r="W106" s="159"/>
      <c r="X106" s="159"/>
      <c r="Y106" s="402"/>
      <c r="Z106" s="417"/>
      <c r="AA106" s="417"/>
      <c r="AB106" s="420"/>
    </row>
    <row r="107" spans="1:28" ht="54.95" customHeight="1" x14ac:dyDescent="0.15">
      <c r="A107" s="574"/>
      <c r="B107" s="87">
        <f>F11</f>
        <v>0</v>
      </c>
      <c r="C107" s="395"/>
      <c r="D107" s="396"/>
      <c r="E107" s="397"/>
      <c r="F107" s="368"/>
      <c r="G107" s="369"/>
      <c r="H107" s="370"/>
      <c r="I107" s="152"/>
      <c r="J107" s="90"/>
      <c r="K107" s="156">
        <v>1</v>
      </c>
      <c r="L107" s="77" t="s">
        <v>63</v>
      </c>
      <c r="M107" s="88">
        <f t="shared" si="39"/>
        <v>0</v>
      </c>
      <c r="N107" s="89"/>
      <c r="O107" s="153"/>
      <c r="P107" s="88" t="s">
        <v>63</v>
      </c>
      <c r="Q107" s="400"/>
      <c r="R107" s="162"/>
      <c r="S107" s="88" t="s">
        <v>63</v>
      </c>
      <c r="T107" s="154">
        <f t="shared" si="3"/>
        <v>0</v>
      </c>
      <c r="U107" s="91"/>
      <c r="V107" s="159"/>
      <c r="W107" s="159"/>
      <c r="X107" s="159"/>
      <c r="Y107" s="403"/>
      <c r="Z107" s="418"/>
      <c r="AA107" s="418"/>
      <c r="AB107" s="421"/>
    </row>
    <row r="108" spans="1:28" ht="37.5" x14ac:dyDescent="0.15">
      <c r="A108" s="163" t="s">
        <v>73</v>
      </c>
      <c r="B108" s="164">
        <f>I11</f>
        <v>2962</v>
      </c>
      <c r="C108" s="371" t="s">
        <v>71</v>
      </c>
      <c r="D108" s="372"/>
      <c r="E108" s="373"/>
      <c r="F108" s="371"/>
      <c r="G108" s="372"/>
      <c r="H108" s="373"/>
      <c r="I108" s="165"/>
      <c r="J108" s="166"/>
      <c r="K108" s="167">
        <v>1</v>
      </c>
      <c r="L108" s="168" t="s">
        <v>63</v>
      </c>
      <c r="M108" s="88">
        <f t="shared" si="39"/>
        <v>2962</v>
      </c>
      <c r="N108" s="170"/>
      <c r="O108" s="170"/>
      <c r="P108" s="169" t="s">
        <v>63</v>
      </c>
      <c r="Q108" s="363">
        <v>45926</v>
      </c>
      <c r="R108" s="165">
        <v>2962</v>
      </c>
      <c r="S108" s="169" t="s">
        <v>63</v>
      </c>
      <c r="T108" s="154">
        <f t="shared" si="3"/>
        <v>0</v>
      </c>
      <c r="U108" s="170"/>
      <c r="V108" s="172"/>
      <c r="W108" s="172"/>
      <c r="X108" s="172"/>
      <c r="Y108" s="173" t="s">
        <v>72</v>
      </c>
      <c r="Z108" s="97"/>
      <c r="AA108" s="98"/>
      <c r="AB108" s="575" t="s">
        <v>170</v>
      </c>
    </row>
    <row r="109" spans="1:28" ht="38.25" customHeight="1" x14ac:dyDescent="0.15">
      <c r="A109" s="163" t="s">
        <v>81</v>
      </c>
      <c r="B109" s="87">
        <f>I11</f>
        <v>2962</v>
      </c>
      <c r="C109" s="368" t="s">
        <v>71</v>
      </c>
      <c r="D109" s="369"/>
      <c r="E109" s="370"/>
      <c r="F109" s="368"/>
      <c r="G109" s="369"/>
      <c r="H109" s="370"/>
      <c r="I109" s="93"/>
      <c r="J109" s="90"/>
      <c r="K109" s="156">
        <v>1</v>
      </c>
      <c r="L109" s="77" t="s">
        <v>63</v>
      </c>
      <c r="M109" s="88">
        <f>K109*B109</f>
        <v>2962</v>
      </c>
      <c r="N109" s="91"/>
      <c r="O109" s="91"/>
      <c r="P109" s="169" t="s">
        <v>63</v>
      </c>
      <c r="Q109" s="365"/>
      <c r="R109" s="165">
        <v>2962</v>
      </c>
      <c r="S109" s="169" t="s">
        <v>63</v>
      </c>
      <c r="T109" s="154">
        <f t="shared" si="3"/>
        <v>0</v>
      </c>
      <c r="U109" s="91"/>
      <c r="V109" s="91"/>
      <c r="W109" s="91"/>
      <c r="X109" s="91"/>
      <c r="Y109" s="160" t="s">
        <v>72</v>
      </c>
      <c r="Z109" s="289"/>
      <c r="AA109" s="289"/>
      <c r="AB109" s="576"/>
    </row>
    <row r="110" spans="1:28" ht="37.5" x14ac:dyDescent="0.15">
      <c r="A110" s="284" t="s">
        <v>74</v>
      </c>
      <c r="B110" s="87">
        <f>I11</f>
        <v>2962</v>
      </c>
      <c r="C110" s="368" t="s">
        <v>71</v>
      </c>
      <c r="D110" s="369"/>
      <c r="E110" s="370"/>
      <c r="F110" s="368"/>
      <c r="G110" s="369"/>
      <c r="H110" s="370"/>
      <c r="I110" s="93"/>
      <c r="J110" s="93"/>
      <c r="K110" s="156">
        <v>1</v>
      </c>
      <c r="L110" s="77" t="s">
        <v>63</v>
      </c>
      <c r="M110" s="88">
        <f t="shared" si="39"/>
        <v>2962</v>
      </c>
      <c r="N110" s="91"/>
      <c r="O110" s="91"/>
      <c r="P110" s="89" t="s">
        <v>63</v>
      </c>
      <c r="Q110" s="306">
        <v>45959</v>
      </c>
      <c r="R110" s="93">
        <v>3000</v>
      </c>
      <c r="S110" s="89" t="s">
        <v>63</v>
      </c>
      <c r="T110" s="154">
        <f t="shared" si="3"/>
        <v>38</v>
      </c>
      <c r="U110" s="91"/>
      <c r="V110" s="91"/>
      <c r="W110" s="91"/>
      <c r="X110" s="91"/>
      <c r="Y110" s="160" t="s">
        <v>72</v>
      </c>
      <c r="Z110" s="289"/>
      <c r="AA110" s="289"/>
      <c r="AB110" s="99" t="s">
        <v>189</v>
      </c>
    </row>
    <row r="111" spans="1:28" x14ac:dyDescent="0.15">
      <c r="A111" s="285"/>
      <c r="B111" s="366"/>
      <c r="C111" s="366"/>
      <c r="D111" s="177"/>
      <c r="E111" s="177"/>
      <c r="F111" s="100"/>
      <c r="G111" s="100"/>
      <c r="H111" s="100"/>
      <c r="I111" s="177"/>
      <c r="J111" s="177"/>
      <c r="K111" s="101"/>
      <c r="L111" s="102"/>
      <c r="M111" s="103"/>
      <c r="N111" s="104"/>
      <c r="O111" s="104"/>
      <c r="P111" s="177"/>
      <c r="Q111" s="105"/>
      <c r="R111" s="105"/>
      <c r="S111" s="106"/>
      <c r="T111" s="107"/>
      <c r="U111" s="108"/>
      <c r="V111" s="108"/>
      <c r="W111" s="109"/>
      <c r="X111" s="107"/>
      <c r="Y111" s="110"/>
    </row>
    <row r="112" spans="1:28" x14ac:dyDescent="0.15">
      <c r="A112" s="285"/>
      <c r="B112" s="366"/>
      <c r="C112" s="366"/>
      <c r="D112" s="177"/>
      <c r="E112" s="177"/>
      <c r="F112" s="367"/>
      <c r="G112" s="367"/>
      <c r="H112" s="367"/>
      <c r="I112" s="177"/>
      <c r="J112" s="177"/>
      <c r="K112" s="101"/>
      <c r="L112" s="102"/>
      <c r="M112" s="103"/>
      <c r="N112" s="104"/>
      <c r="O112" s="104"/>
      <c r="P112" s="177"/>
      <c r="Q112" s="105"/>
      <c r="R112" s="105"/>
      <c r="S112" s="106"/>
      <c r="T112" s="107"/>
      <c r="U112" s="108"/>
      <c r="V112" s="108"/>
      <c r="W112" s="109"/>
      <c r="X112" s="107"/>
      <c r="Y112" s="112"/>
    </row>
    <row r="113" spans="1:29" x14ac:dyDescent="0.15">
      <c r="J113" s="177"/>
    </row>
    <row r="114" spans="1:29" x14ac:dyDescent="0.15">
      <c r="J114" s="177"/>
    </row>
    <row r="116" spans="1:29" s="114" customFormat="1" x14ac:dyDescent="0.15">
      <c r="A116" s="286"/>
      <c r="B116" s="113"/>
      <c r="C116" s="1"/>
      <c r="D116" s="1"/>
      <c r="E116" s="1"/>
      <c r="F116" s="1"/>
      <c r="G116" s="1"/>
      <c r="H116" s="1"/>
      <c r="I116" s="1"/>
      <c r="J116" s="1"/>
      <c r="L116" s="115"/>
      <c r="M116" s="116"/>
      <c r="N116" s="117"/>
      <c r="O116" s="117"/>
      <c r="P116" s="1"/>
      <c r="Q116" s="118"/>
      <c r="R116" s="118"/>
      <c r="S116" s="115"/>
      <c r="T116" s="119"/>
      <c r="U116" s="1"/>
      <c r="V116" s="1"/>
      <c r="W116" s="120"/>
      <c r="X116" s="121"/>
      <c r="Y116" s="1"/>
      <c r="Z116" s="1"/>
      <c r="AA116" s="1"/>
      <c r="AB116" s="1"/>
      <c r="AC116" s="1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</sheetData>
  <mergeCells count="391">
    <mergeCell ref="AB38:AB39"/>
    <mergeCell ref="AB41:AB42"/>
    <mergeCell ref="A44:A46"/>
    <mergeCell ref="C44:E44"/>
    <mergeCell ref="F44:H44"/>
    <mergeCell ref="I44:I46"/>
    <mergeCell ref="Q44:Q46"/>
    <mergeCell ref="F45:H45"/>
    <mergeCell ref="Q54:Q56"/>
    <mergeCell ref="AB54:AB56"/>
    <mergeCell ref="A38:A40"/>
    <mergeCell ref="C38:E38"/>
    <mergeCell ref="F38:H38"/>
    <mergeCell ref="I38:I40"/>
    <mergeCell ref="C53:E53"/>
    <mergeCell ref="F53:H53"/>
    <mergeCell ref="A54:A56"/>
    <mergeCell ref="C54:E54"/>
    <mergeCell ref="F54:H54"/>
    <mergeCell ref="Y54:Y56"/>
    <mergeCell ref="C56:E56"/>
    <mergeCell ref="F56:H56"/>
    <mergeCell ref="A51:A53"/>
    <mergeCell ref="C51:E51"/>
    <mergeCell ref="AB57:AB62"/>
    <mergeCell ref="Y57:Y59"/>
    <mergeCell ref="C58:E58"/>
    <mergeCell ref="F58:H58"/>
    <mergeCell ref="A49:A50"/>
    <mergeCell ref="A47:A48"/>
    <mergeCell ref="C47:E47"/>
    <mergeCell ref="F47:H47"/>
    <mergeCell ref="I47:I48"/>
    <mergeCell ref="Q47:Q48"/>
    <mergeCell ref="Y47:Y48"/>
    <mergeCell ref="C59:E59"/>
    <mergeCell ref="F59:H59"/>
    <mergeCell ref="C62:E62"/>
    <mergeCell ref="F62:H62"/>
    <mergeCell ref="F50:H50"/>
    <mergeCell ref="C48:E48"/>
    <mergeCell ref="A60:A62"/>
    <mergeCell ref="C60:E60"/>
    <mergeCell ref="F60:H60"/>
    <mergeCell ref="I60:I62"/>
    <mergeCell ref="Y60:Y62"/>
    <mergeCell ref="Y51:Y53"/>
    <mergeCell ref="F51:H51"/>
    <mergeCell ref="C89:E91"/>
    <mergeCell ref="C92:E94"/>
    <mergeCell ref="C69:E69"/>
    <mergeCell ref="F69:H69"/>
    <mergeCell ref="C70:E70"/>
    <mergeCell ref="F70:H70"/>
    <mergeCell ref="C67:E67"/>
    <mergeCell ref="F67:H67"/>
    <mergeCell ref="AC29:AF29"/>
    <mergeCell ref="C61:E61"/>
    <mergeCell ref="F61:H61"/>
    <mergeCell ref="C66:E66"/>
    <mergeCell ref="F66:H66"/>
    <mergeCell ref="C52:E52"/>
    <mergeCell ref="F52:H52"/>
    <mergeCell ref="C55:E55"/>
    <mergeCell ref="F55:H55"/>
    <mergeCell ref="C45:E45"/>
    <mergeCell ref="AB65:AB67"/>
    <mergeCell ref="AB47:AB48"/>
    <mergeCell ref="F48:H48"/>
    <mergeCell ref="C49:E49"/>
    <mergeCell ref="F49:H49"/>
    <mergeCell ref="Q49:Q50"/>
    <mergeCell ref="F105:H105"/>
    <mergeCell ref="C57:E57"/>
    <mergeCell ref="F57:H57"/>
    <mergeCell ref="Q108:Q109"/>
    <mergeCell ref="AB108:AB109"/>
    <mergeCell ref="B111:C111"/>
    <mergeCell ref="B112:C112"/>
    <mergeCell ref="F112:H112"/>
    <mergeCell ref="AA104:AA107"/>
    <mergeCell ref="AB104:AB107"/>
    <mergeCell ref="AB95:AB103"/>
    <mergeCell ref="F96:H96"/>
    <mergeCell ref="F97:H97"/>
    <mergeCell ref="F98:H98"/>
    <mergeCell ref="F99:H99"/>
    <mergeCell ref="F100:H100"/>
    <mergeCell ref="Z100:Z103"/>
    <mergeCell ref="F106:H106"/>
    <mergeCell ref="F107:H107"/>
    <mergeCell ref="F93:H93"/>
    <mergeCell ref="F94:H94"/>
    <mergeCell ref="F95:H95"/>
    <mergeCell ref="C108:E108"/>
    <mergeCell ref="F108:H108"/>
    <mergeCell ref="A86:A94"/>
    <mergeCell ref="C86:E88"/>
    <mergeCell ref="F86:H86"/>
    <mergeCell ref="Q86:Q94"/>
    <mergeCell ref="Y86:Y94"/>
    <mergeCell ref="Z86:Z94"/>
    <mergeCell ref="C109:E109"/>
    <mergeCell ref="F109:H109"/>
    <mergeCell ref="C110:E110"/>
    <mergeCell ref="F110:H110"/>
    <mergeCell ref="Z104:Z107"/>
    <mergeCell ref="C101:E103"/>
    <mergeCell ref="F101:H101"/>
    <mergeCell ref="F102:H102"/>
    <mergeCell ref="F103:H103"/>
    <mergeCell ref="A104:A107"/>
    <mergeCell ref="C104:E107"/>
    <mergeCell ref="F104:H104"/>
    <mergeCell ref="Q104:Q107"/>
    <mergeCell ref="Y104:Y107"/>
    <mergeCell ref="Y95:Y103"/>
    <mergeCell ref="A95:A103"/>
    <mergeCell ref="C95:E97"/>
    <mergeCell ref="C98:E100"/>
    <mergeCell ref="Q95:Q103"/>
    <mergeCell ref="AA86:AA94"/>
    <mergeCell ref="AB86:AB94"/>
    <mergeCell ref="F87:H87"/>
    <mergeCell ref="F88:H88"/>
    <mergeCell ref="F89:H89"/>
    <mergeCell ref="F90:H90"/>
    <mergeCell ref="F91:H91"/>
    <mergeCell ref="F92:H92"/>
    <mergeCell ref="AA100:AA103"/>
    <mergeCell ref="Z95:Z99"/>
    <mergeCell ref="AA95:AA99"/>
    <mergeCell ref="AB80:AB81"/>
    <mergeCell ref="C81:E81"/>
    <mergeCell ref="F81:H81"/>
    <mergeCell ref="A82:A85"/>
    <mergeCell ref="C82:E85"/>
    <mergeCell ref="F82:H82"/>
    <mergeCell ref="Q82:Q85"/>
    <mergeCell ref="Y82:Y85"/>
    <mergeCell ref="Z82:Z85"/>
    <mergeCell ref="AA82:AA85"/>
    <mergeCell ref="A80:A81"/>
    <mergeCell ref="C80:E80"/>
    <mergeCell ref="F80:H80"/>
    <mergeCell ref="I80:I81"/>
    <mergeCell ref="Q80:Q81"/>
    <mergeCell ref="Y80:Y81"/>
    <mergeCell ref="AB82:AB85"/>
    <mergeCell ref="F83:H83"/>
    <mergeCell ref="F84:H84"/>
    <mergeCell ref="F85:H85"/>
    <mergeCell ref="Y77:Y79"/>
    <mergeCell ref="AB77:AB79"/>
    <mergeCell ref="C78:E78"/>
    <mergeCell ref="F78:H78"/>
    <mergeCell ref="C79:E79"/>
    <mergeCell ref="F79:H79"/>
    <mergeCell ref="AB74:AB76"/>
    <mergeCell ref="C75:E75"/>
    <mergeCell ref="F75:H75"/>
    <mergeCell ref="C76:E76"/>
    <mergeCell ref="F76:H76"/>
    <mergeCell ref="Y74:Y76"/>
    <mergeCell ref="A77:A79"/>
    <mergeCell ref="C77:E77"/>
    <mergeCell ref="F77:H77"/>
    <mergeCell ref="I77:I79"/>
    <mergeCell ref="Q77:Q79"/>
    <mergeCell ref="A74:A76"/>
    <mergeCell ref="C74:E74"/>
    <mergeCell ref="F74:H74"/>
    <mergeCell ref="I74:I76"/>
    <mergeCell ref="Q74:Q76"/>
    <mergeCell ref="A71:A73"/>
    <mergeCell ref="C71:E71"/>
    <mergeCell ref="F71:H71"/>
    <mergeCell ref="Q71:Q73"/>
    <mergeCell ref="Y71:Y73"/>
    <mergeCell ref="AB71:AB73"/>
    <mergeCell ref="C72:E72"/>
    <mergeCell ref="F72:H72"/>
    <mergeCell ref="C73:E73"/>
    <mergeCell ref="F73:H73"/>
    <mergeCell ref="A68:A70"/>
    <mergeCell ref="C68:E68"/>
    <mergeCell ref="F68:H68"/>
    <mergeCell ref="I68:I70"/>
    <mergeCell ref="Q68:Q70"/>
    <mergeCell ref="Y68:Y70"/>
    <mergeCell ref="AB68:AB70"/>
    <mergeCell ref="F64:H64"/>
    <mergeCell ref="A65:A67"/>
    <mergeCell ref="C65:E65"/>
    <mergeCell ref="F65:H65"/>
    <mergeCell ref="Q65:Q67"/>
    <mergeCell ref="Y65:Y67"/>
    <mergeCell ref="A63:A64"/>
    <mergeCell ref="C63:E63"/>
    <mergeCell ref="F63:H63"/>
    <mergeCell ref="Q63:Q64"/>
    <mergeCell ref="Y63:Y64"/>
    <mergeCell ref="AB63:AB64"/>
    <mergeCell ref="C64:E64"/>
    <mergeCell ref="I51:I53"/>
    <mergeCell ref="Q51:Q52"/>
    <mergeCell ref="A57:A59"/>
    <mergeCell ref="I57:I59"/>
    <mergeCell ref="Y49:Y50"/>
    <mergeCell ref="C50:E50"/>
    <mergeCell ref="C46:E46"/>
    <mergeCell ref="A41:A43"/>
    <mergeCell ref="C41:E41"/>
    <mergeCell ref="F41:H41"/>
    <mergeCell ref="I41:I43"/>
    <mergeCell ref="Y41:Y43"/>
    <mergeCell ref="C42:E42"/>
    <mergeCell ref="F42:H42"/>
    <mergeCell ref="C43:E43"/>
    <mergeCell ref="F43:H43"/>
    <mergeCell ref="Q41:Q42"/>
    <mergeCell ref="Q57:Q62"/>
    <mergeCell ref="AC46:AF46"/>
    <mergeCell ref="Y44:Y46"/>
    <mergeCell ref="AB51:AB52"/>
    <mergeCell ref="AC45:AF45"/>
    <mergeCell ref="C39:E39"/>
    <mergeCell ref="F39:H39"/>
    <mergeCell ref="AC34:AF34"/>
    <mergeCell ref="C35:E35"/>
    <mergeCell ref="F35:H35"/>
    <mergeCell ref="AC35:AF35"/>
    <mergeCell ref="AC37:AF37"/>
    <mergeCell ref="AC39:AF39"/>
    <mergeCell ref="C40:E40"/>
    <mergeCell ref="F40:H40"/>
    <mergeCell ref="AC40:AF40"/>
    <mergeCell ref="AC42:AF42"/>
    <mergeCell ref="AC43:AF43"/>
    <mergeCell ref="C34:E34"/>
    <mergeCell ref="F34:H34"/>
    <mergeCell ref="AB49:AB50"/>
    <mergeCell ref="AB44:AB46"/>
    <mergeCell ref="F46:H46"/>
    <mergeCell ref="Y38:Y39"/>
    <mergeCell ref="Q38:Q39"/>
    <mergeCell ref="A36:A37"/>
    <mergeCell ref="C36:E36"/>
    <mergeCell ref="F36:H36"/>
    <mergeCell ref="I36:I37"/>
    <mergeCell ref="Q36:Q37"/>
    <mergeCell ref="Y36:Y37"/>
    <mergeCell ref="AB36:AB37"/>
    <mergeCell ref="C37:E37"/>
    <mergeCell ref="F37:H37"/>
    <mergeCell ref="A33:A35"/>
    <mergeCell ref="C33:E33"/>
    <mergeCell ref="F33:H33"/>
    <mergeCell ref="I33:I35"/>
    <mergeCell ref="Q33:Q35"/>
    <mergeCell ref="Y33:Y35"/>
    <mergeCell ref="AB33:AB35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B25:AB30"/>
    <mergeCell ref="C26:E26"/>
    <mergeCell ref="F26:H26"/>
    <mergeCell ref="C27:E27"/>
    <mergeCell ref="F27:H27"/>
    <mergeCell ref="C28:E28"/>
    <mergeCell ref="F28:H28"/>
    <mergeCell ref="I28:I30"/>
    <mergeCell ref="Y28:Y30"/>
    <mergeCell ref="A25:A27"/>
    <mergeCell ref="C25:E25"/>
    <mergeCell ref="F25:H25"/>
    <mergeCell ref="Q25:Q30"/>
    <mergeCell ref="A28:A30"/>
    <mergeCell ref="C30:E30"/>
    <mergeCell ref="F30:H30"/>
    <mergeCell ref="I25:I27"/>
    <mergeCell ref="Y25:Y27"/>
    <mergeCell ref="C29:E29"/>
    <mergeCell ref="F29:H29"/>
    <mergeCell ref="A23:A24"/>
    <mergeCell ref="C23:E23"/>
    <mergeCell ref="F23:H23"/>
    <mergeCell ref="I23:I24"/>
    <mergeCell ref="Q23:Q24"/>
    <mergeCell ref="Y23:Y24"/>
    <mergeCell ref="AB23:AB24"/>
    <mergeCell ref="A20:A22"/>
    <mergeCell ref="C20:E20"/>
    <mergeCell ref="F20:H20"/>
    <mergeCell ref="I20:I22"/>
    <mergeCell ref="Q20:Q22"/>
    <mergeCell ref="Y20:Y22"/>
    <mergeCell ref="C24:E24"/>
    <mergeCell ref="F24:H24"/>
    <mergeCell ref="A18:A19"/>
    <mergeCell ref="C18:E18"/>
    <mergeCell ref="F18:H18"/>
    <mergeCell ref="Q18:Q19"/>
    <mergeCell ref="Y18:Y19"/>
    <mergeCell ref="AB18:AB19"/>
    <mergeCell ref="C19:E19"/>
    <mergeCell ref="F19:H19"/>
    <mergeCell ref="C21:E21"/>
    <mergeCell ref="F21:H21"/>
    <mergeCell ref="AB20:AB22"/>
    <mergeCell ref="C22:E22"/>
    <mergeCell ref="F22:H22"/>
    <mergeCell ref="AB15:AB17"/>
    <mergeCell ref="AA13:AA14"/>
    <mergeCell ref="AC15:AF15"/>
    <mergeCell ref="C16:E16"/>
    <mergeCell ref="F16:H16"/>
    <mergeCell ref="C17:E17"/>
    <mergeCell ref="F17:H17"/>
    <mergeCell ref="A15:A17"/>
    <mergeCell ref="C15:E15"/>
    <mergeCell ref="F15:H15"/>
    <mergeCell ref="I15:I17"/>
    <mergeCell ref="Q15:Q17"/>
    <mergeCell ref="Y15:Y17"/>
    <mergeCell ref="A13:A14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Z8:AB8"/>
    <mergeCell ref="A9:B9"/>
    <mergeCell ref="I9:J9"/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colBreaks count="1" manualBreakCount="1">
    <brk id="2" max="8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490F-2A69-4B97-AE86-1989FDE3CEE5}">
  <sheetPr>
    <tabColor rgb="FFFF0000"/>
  </sheetPr>
  <dimension ref="A1"/>
  <sheetViews>
    <sheetView workbookViewId="0">
      <selection activeCell="O40" sqref="O40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811E-5C0B-46C2-8118-84464DB632BB}">
  <sheetPr>
    <pageSetUpPr fitToPage="1"/>
  </sheetPr>
  <dimension ref="A1:AF90"/>
  <sheetViews>
    <sheetView view="pageBreakPreview" zoomScale="75" zoomScaleNormal="100" zoomScaleSheetLayoutView="75" workbookViewId="0">
      <selection activeCell="F16" sqref="F16:H16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171</v>
      </c>
      <c r="C2" s="548"/>
      <c r="D2" s="548"/>
      <c r="E2" s="548"/>
      <c r="F2" s="548"/>
      <c r="G2" s="549"/>
      <c r="H2" s="180" t="s">
        <v>1</v>
      </c>
      <c r="I2" s="550">
        <f>I11</f>
        <v>1114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112</v>
      </c>
      <c r="B5" s="480"/>
      <c r="C5" s="182">
        <v>300</v>
      </c>
      <c r="D5" s="182">
        <v>250</v>
      </c>
      <c r="E5" s="182">
        <v>32</v>
      </c>
      <c r="F5" s="182"/>
      <c r="G5" s="182"/>
      <c r="H5" s="542" t="s">
        <v>24</v>
      </c>
      <c r="I5" s="524">
        <f t="shared" ref="I5:I11" si="0">SUM(C5:G5)</f>
        <v>582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111</v>
      </c>
      <c r="B6" s="523"/>
      <c r="C6" s="182">
        <v>270</v>
      </c>
      <c r="D6" s="182">
        <v>230</v>
      </c>
      <c r="E6" s="182">
        <v>32</v>
      </c>
      <c r="F6" s="182"/>
      <c r="G6" s="182"/>
      <c r="H6" s="537"/>
      <c r="I6" s="524">
        <f t="shared" si="0"/>
        <v>532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45944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92"/>
      <c r="L9" s="291"/>
      <c r="M9" s="295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570</v>
      </c>
      <c r="D11" s="181">
        <f>SUM(D5:D10)</f>
        <v>480</v>
      </c>
      <c r="E11" s="181">
        <f>SUM(E5:E10)</f>
        <v>64</v>
      </c>
      <c r="F11" s="181">
        <f>SUM(F5:F10)</f>
        <v>0</v>
      </c>
      <c r="G11" s="181">
        <f>SUM(G5:G10)</f>
        <v>0</v>
      </c>
      <c r="H11" s="182"/>
      <c r="I11" s="481">
        <f t="shared" si="0"/>
        <v>1114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46055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581.4</v>
      </c>
      <c r="D12" s="43">
        <f>D11*1.02</f>
        <v>489.6</v>
      </c>
      <c r="E12" s="43">
        <f>E11*1.02</f>
        <v>65.28</v>
      </c>
      <c r="F12" s="43">
        <f>F11*1.02</f>
        <v>0</v>
      </c>
      <c r="G12" s="43">
        <f>G11*1.02</f>
        <v>0</v>
      </c>
      <c r="H12" s="44"/>
      <c r="I12" s="486">
        <f>I11*1.02</f>
        <v>1136.28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5" si="1">$I$5</f>
        <v>582</v>
      </c>
      <c r="C15" s="474" t="str">
        <f t="shared" ref="C15:C25" si="2">$A$5</f>
        <v>WH</v>
      </c>
      <c r="D15" s="475"/>
      <c r="E15" s="476"/>
      <c r="F15" s="474"/>
      <c r="G15" s="475"/>
      <c r="H15" s="476"/>
      <c r="I15" s="477" t="s">
        <v>92</v>
      </c>
      <c r="J15" s="65" t="s">
        <v>6</v>
      </c>
      <c r="K15" s="66">
        <v>1.4</v>
      </c>
      <c r="L15" s="67" t="s">
        <v>7</v>
      </c>
      <c r="M15" s="68">
        <f>K15*B15</f>
        <v>814.8</v>
      </c>
      <c r="N15" s="69"/>
      <c r="O15" s="70"/>
      <c r="P15" s="67" t="s">
        <v>7</v>
      </c>
      <c r="Q15" s="478">
        <v>45959</v>
      </c>
      <c r="R15" s="122">
        <v>821</v>
      </c>
      <c r="S15" s="71" t="s">
        <v>7</v>
      </c>
      <c r="T15" s="123">
        <f t="shared" ref="T15:T78" si="3">R15-M15</f>
        <v>6.2000000000000455</v>
      </c>
      <c r="U15" s="72"/>
      <c r="V15" s="72"/>
      <c r="W15" s="73"/>
      <c r="X15" s="74"/>
      <c r="Y15" s="479" t="s">
        <v>172</v>
      </c>
      <c r="Z15" s="63"/>
      <c r="AA15" s="64"/>
      <c r="AB15" s="566" t="s">
        <v>188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532</v>
      </c>
      <c r="C16" s="368" t="str">
        <f>$A$6</f>
        <v>YE</v>
      </c>
      <c r="D16" s="369"/>
      <c r="E16" s="370"/>
      <c r="F16" s="368"/>
      <c r="G16" s="369"/>
      <c r="H16" s="370"/>
      <c r="I16" s="442"/>
      <c r="J16" s="76" t="s">
        <v>6</v>
      </c>
      <c r="K16" s="83">
        <v>1.4</v>
      </c>
      <c r="L16" s="77" t="s">
        <v>7</v>
      </c>
      <c r="M16" s="78">
        <f t="shared" ref="M16:M78" si="4">K16*B16</f>
        <v>744.8</v>
      </c>
      <c r="N16" s="79"/>
      <c r="O16" s="128"/>
      <c r="P16" s="77" t="s">
        <v>7</v>
      </c>
      <c r="Q16" s="444"/>
      <c r="R16" s="130">
        <v>749</v>
      </c>
      <c r="S16" s="75" t="s">
        <v>7</v>
      </c>
      <c r="T16" s="81">
        <f t="shared" si="3"/>
        <v>4.2000000000000455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582</v>
      </c>
      <c r="C17" s="461" t="str">
        <f t="shared" si="2"/>
        <v>WH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532</v>
      </c>
      <c r="C18" s="461" t="str">
        <f>$A$6</f>
        <v>YE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206" customFormat="1" ht="69.95" customHeight="1" x14ac:dyDescent="0.15">
      <c r="A19" s="431" t="s">
        <v>132</v>
      </c>
      <c r="B19" s="191">
        <f t="shared" ref="B19" si="5">$I$5</f>
        <v>582</v>
      </c>
      <c r="C19" s="465" t="str">
        <f t="shared" ref="C19" si="6">$A$5</f>
        <v>WH</v>
      </c>
      <c r="D19" s="465"/>
      <c r="E19" s="465"/>
      <c r="F19" s="465"/>
      <c r="G19" s="465"/>
      <c r="H19" s="465"/>
      <c r="I19" s="433" t="s">
        <v>58</v>
      </c>
      <c r="J19" s="192" t="s">
        <v>6</v>
      </c>
      <c r="K19" s="209">
        <v>0.17</v>
      </c>
      <c r="L19" s="194" t="s">
        <v>7</v>
      </c>
      <c r="M19" s="195">
        <f t="shared" si="4"/>
        <v>98.940000000000012</v>
      </c>
      <c r="N19" s="196"/>
      <c r="O19" s="195"/>
      <c r="P19" s="197" t="s">
        <v>7</v>
      </c>
      <c r="Q19" s="299"/>
      <c r="R19" s="195"/>
      <c r="S19" s="197" t="s">
        <v>7</v>
      </c>
      <c r="T19" s="198">
        <f t="shared" si="3"/>
        <v>-98.940000000000012</v>
      </c>
      <c r="U19" s="199"/>
      <c r="V19" s="200"/>
      <c r="W19" s="195"/>
      <c r="X19" s="195"/>
      <c r="Y19" s="437" t="s">
        <v>93</v>
      </c>
      <c r="Z19" s="235"/>
      <c r="AA19" s="202"/>
      <c r="AB19" s="300"/>
      <c r="AC19" s="229"/>
      <c r="AD19" s="230"/>
      <c r="AE19" s="230"/>
      <c r="AF19" s="230"/>
    </row>
    <row r="20" spans="1:32" s="206" customFormat="1" ht="69.95" customHeight="1" x14ac:dyDescent="0.15">
      <c r="A20" s="432"/>
      <c r="B20" s="191">
        <f>$I$6</f>
        <v>532</v>
      </c>
      <c r="C20" s="465" t="str">
        <f>$A$6</f>
        <v>YE</v>
      </c>
      <c r="D20" s="465"/>
      <c r="E20" s="465"/>
      <c r="F20" s="465"/>
      <c r="G20" s="465"/>
      <c r="H20" s="465"/>
      <c r="I20" s="434"/>
      <c r="J20" s="192" t="s">
        <v>6</v>
      </c>
      <c r="K20" s="209">
        <v>0.17</v>
      </c>
      <c r="L20" s="194" t="s">
        <v>7</v>
      </c>
      <c r="M20" s="195">
        <f t="shared" si="4"/>
        <v>90.440000000000012</v>
      </c>
      <c r="N20" s="196"/>
      <c r="O20" s="210"/>
      <c r="P20" s="194" t="s">
        <v>7</v>
      </c>
      <c r="Q20" s="299"/>
      <c r="R20" s="236"/>
      <c r="S20" s="207" t="s">
        <v>7</v>
      </c>
      <c r="T20" s="198">
        <f t="shared" si="3"/>
        <v>-90.440000000000012</v>
      </c>
      <c r="U20" s="211"/>
      <c r="V20" s="211"/>
      <c r="W20" s="212"/>
      <c r="X20" s="213"/>
      <c r="Y20" s="438"/>
      <c r="Z20" s="214"/>
      <c r="AA20" s="202"/>
      <c r="AB20" s="300"/>
      <c r="AC20" s="229"/>
      <c r="AD20" s="230"/>
      <c r="AE20" s="230"/>
      <c r="AF20" s="230"/>
    </row>
    <row r="21" spans="1:32" s="55" customFormat="1" ht="69.95" customHeight="1" x14ac:dyDescent="0.15">
      <c r="A21" s="431" t="s">
        <v>85</v>
      </c>
      <c r="B21" s="182">
        <f t="shared" si="1"/>
        <v>582</v>
      </c>
      <c r="C21" s="461" t="str">
        <f t="shared" si="2"/>
        <v>WH</v>
      </c>
      <c r="D21" s="461"/>
      <c r="E21" s="461"/>
      <c r="F21" s="461"/>
      <c r="G21" s="461"/>
      <c r="H21" s="461"/>
      <c r="I21" s="441" t="s">
        <v>8</v>
      </c>
      <c r="J21" s="76" t="s">
        <v>6</v>
      </c>
      <c r="K21" s="136">
        <v>0.73</v>
      </c>
      <c r="L21" s="77" t="s">
        <v>7</v>
      </c>
      <c r="M21" s="78">
        <f t="shared" si="4"/>
        <v>424.86</v>
      </c>
      <c r="N21" s="79"/>
      <c r="O21" s="78"/>
      <c r="P21" s="80" t="s">
        <v>7</v>
      </c>
      <c r="Q21" s="443">
        <v>45959</v>
      </c>
      <c r="R21" s="78">
        <v>425</v>
      </c>
      <c r="S21" s="80" t="s">
        <v>7</v>
      </c>
      <c r="T21" s="81">
        <f t="shared" si="3"/>
        <v>0.13999999999998636</v>
      </c>
      <c r="U21" s="82"/>
      <c r="V21" s="137"/>
      <c r="W21" s="78"/>
      <c r="X21" s="78"/>
      <c r="Y21" s="445" t="s">
        <v>93</v>
      </c>
      <c r="Z21" s="138"/>
      <c r="AA21" s="135"/>
      <c r="AB21" s="360" t="s">
        <v>188</v>
      </c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$I$6</f>
        <v>532</v>
      </c>
      <c r="C22" s="461" t="str">
        <f>$A$6</f>
        <v>YE</v>
      </c>
      <c r="D22" s="461"/>
      <c r="E22" s="461"/>
      <c r="F22" s="461"/>
      <c r="G22" s="461"/>
      <c r="H22" s="461"/>
      <c r="I22" s="442"/>
      <c r="J22" s="76" t="s">
        <v>6</v>
      </c>
      <c r="K22" s="136">
        <v>0.73</v>
      </c>
      <c r="L22" s="77" t="s">
        <v>7</v>
      </c>
      <c r="M22" s="78">
        <f t="shared" si="4"/>
        <v>388.36</v>
      </c>
      <c r="N22" s="79"/>
      <c r="O22" s="128"/>
      <c r="P22" s="77" t="s">
        <v>7</v>
      </c>
      <c r="Q22" s="447"/>
      <c r="R22" s="130">
        <v>389</v>
      </c>
      <c r="S22" s="75" t="s">
        <v>7</v>
      </c>
      <c r="T22" s="81">
        <f t="shared" si="3"/>
        <v>0.63999999999998636</v>
      </c>
      <c r="U22" s="131"/>
      <c r="V22" s="131"/>
      <c r="W22" s="132"/>
      <c r="X22" s="133"/>
      <c r="Y22" s="446"/>
      <c r="Z22" s="228"/>
      <c r="AA22" s="228"/>
      <c r="AB22" s="361"/>
      <c r="AC22" s="178"/>
      <c r="AD22" s="179"/>
      <c r="AE22" s="179"/>
      <c r="AF22" s="179"/>
    </row>
    <row r="23" spans="1:32" s="55" customFormat="1" ht="69.95" customHeight="1" x14ac:dyDescent="0.15">
      <c r="A23" s="431" t="s">
        <v>96</v>
      </c>
      <c r="B23" s="182">
        <f t="shared" si="1"/>
        <v>582</v>
      </c>
      <c r="C23" s="461" t="str">
        <f t="shared" si="2"/>
        <v>WH</v>
      </c>
      <c r="D23" s="461"/>
      <c r="E23" s="461"/>
      <c r="F23" s="461"/>
      <c r="G23" s="461"/>
      <c r="H23" s="461"/>
      <c r="I23" s="441" t="s">
        <v>144</v>
      </c>
      <c r="J23" s="76" t="s">
        <v>6</v>
      </c>
      <c r="K23" s="136">
        <v>0.51</v>
      </c>
      <c r="L23" s="77" t="s">
        <v>7</v>
      </c>
      <c r="M23" s="78">
        <f t="shared" si="4"/>
        <v>296.82</v>
      </c>
      <c r="N23" s="79"/>
      <c r="O23" s="78"/>
      <c r="P23" s="80" t="s">
        <v>7</v>
      </c>
      <c r="Q23" s="447"/>
      <c r="R23" s="78">
        <v>297</v>
      </c>
      <c r="S23" s="80" t="s">
        <v>7</v>
      </c>
      <c r="T23" s="81">
        <f t="shared" si="3"/>
        <v>0.18000000000000682</v>
      </c>
      <c r="U23" s="82"/>
      <c r="V23" s="137"/>
      <c r="W23" s="78"/>
      <c r="X23" s="78"/>
      <c r="Y23" s="445" t="s">
        <v>93</v>
      </c>
      <c r="Z23" s="138"/>
      <c r="AA23" s="135"/>
      <c r="AB23" s="361"/>
      <c r="AC23" s="178"/>
      <c r="AD23" s="179"/>
      <c r="AE23" s="179"/>
      <c r="AF23" s="179"/>
    </row>
    <row r="24" spans="1:32" s="55" customFormat="1" ht="69.95" customHeight="1" x14ac:dyDescent="0.15">
      <c r="A24" s="432"/>
      <c r="B24" s="182">
        <f>$I$6</f>
        <v>532</v>
      </c>
      <c r="C24" s="461" t="str">
        <f>$A$6</f>
        <v>YE</v>
      </c>
      <c r="D24" s="461"/>
      <c r="E24" s="461"/>
      <c r="F24" s="461"/>
      <c r="G24" s="461"/>
      <c r="H24" s="461"/>
      <c r="I24" s="442"/>
      <c r="J24" s="76" t="s">
        <v>6</v>
      </c>
      <c r="K24" s="136">
        <v>0.51</v>
      </c>
      <c r="L24" s="77" t="s">
        <v>7</v>
      </c>
      <c r="M24" s="78">
        <f t="shared" si="4"/>
        <v>271.32</v>
      </c>
      <c r="N24" s="79"/>
      <c r="O24" s="128"/>
      <c r="P24" s="77" t="s">
        <v>7</v>
      </c>
      <c r="Q24" s="444"/>
      <c r="R24" s="130">
        <v>272</v>
      </c>
      <c r="S24" s="75" t="s">
        <v>7</v>
      </c>
      <c r="T24" s="81">
        <f t="shared" si="3"/>
        <v>0.68000000000000682</v>
      </c>
      <c r="U24" s="131"/>
      <c r="V24" s="131"/>
      <c r="W24" s="132"/>
      <c r="X24" s="133"/>
      <c r="Y24" s="446"/>
      <c r="Z24" s="228"/>
      <c r="AA24" s="228"/>
      <c r="AB24" s="362"/>
      <c r="AC24" s="178"/>
      <c r="AD24" s="179"/>
      <c r="AE24" s="179"/>
      <c r="AF24" s="179"/>
    </row>
    <row r="25" spans="1:32" s="55" customFormat="1" ht="69.95" customHeight="1" x14ac:dyDescent="0.15">
      <c r="A25" s="431" t="s">
        <v>107</v>
      </c>
      <c r="B25" s="182">
        <f t="shared" si="1"/>
        <v>582</v>
      </c>
      <c r="C25" s="461" t="str">
        <f t="shared" si="2"/>
        <v>WH</v>
      </c>
      <c r="D25" s="461"/>
      <c r="E25" s="461"/>
      <c r="F25" s="461" t="s">
        <v>112</v>
      </c>
      <c r="G25" s="461"/>
      <c r="H25" s="461"/>
      <c r="I25" s="441" t="s">
        <v>58</v>
      </c>
      <c r="J25" s="76" t="s">
        <v>6</v>
      </c>
      <c r="K25" s="136">
        <v>0.25</v>
      </c>
      <c r="L25" s="77" t="s">
        <v>7</v>
      </c>
      <c r="M25" s="81">
        <f t="shared" si="4"/>
        <v>145.5</v>
      </c>
      <c r="N25" s="79"/>
      <c r="O25" s="78"/>
      <c r="P25" s="80" t="s">
        <v>7</v>
      </c>
      <c r="Q25" s="443">
        <v>45959</v>
      </c>
      <c r="R25" s="81">
        <v>146</v>
      </c>
      <c r="S25" s="80" t="s">
        <v>7</v>
      </c>
      <c r="T25" s="81">
        <f t="shared" si="3"/>
        <v>0.5</v>
      </c>
      <c r="U25" s="82"/>
      <c r="V25" s="137"/>
      <c r="W25" s="78"/>
      <c r="X25" s="78"/>
      <c r="Y25" s="445" t="s">
        <v>59</v>
      </c>
      <c r="Z25" s="138"/>
      <c r="AA25" s="135"/>
      <c r="AB25" s="360" t="s">
        <v>189</v>
      </c>
      <c r="AC25" s="178"/>
      <c r="AD25" s="179"/>
      <c r="AE25" s="179"/>
      <c r="AF25" s="179"/>
    </row>
    <row r="26" spans="1:32" s="55" customFormat="1" ht="69.95" customHeight="1" x14ac:dyDescent="0.15">
      <c r="A26" s="432"/>
      <c r="B26" s="182">
        <f>$I$6</f>
        <v>532</v>
      </c>
      <c r="C26" s="461" t="str">
        <f>$A$6</f>
        <v>YE</v>
      </c>
      <c r="D26" s="461"/>
      <c r="E26" s="461"/>
      <c r="F26" s="461" t="s">
        <v>112</v>
      </c>
      <c r="G26" s="461"/>
      <c r="H26" s="461"/>
      <c r="I26" s="442"/>
      <c r="J26" s="76" t="s">
        <v>6</v>
      </c>
      <c r="K26" s="136">
        <v>0.25</v>
      </c>
      <c r="L26" s="77" t="s">
        <v>7</v>
      </c>
      <c r="M26" s="78">
        <f t="shared" si="4"/>
        <v>133</v>
      </c>
      <c r="N26" s="79"/>
      <c r="O26" s="128"/>
      <c r="P26" s="77" t="s">
        <v>7</v>
      </c>
      <c r="Q26" s="444"/>
      <c r="R26" s="294">
        <v>133</v>
      </c>
      <c r="S26" s="75" t="s">
        <v>7</v>
      </c>
      <c r="T26" s="81">
        <f t="shared" si="3"/>
        <v>0</v>
      </c>
      <c r="U26" s="131"/>
      <c r="V26" s="131"/>
      <c r="W26" s="132"/>
      <c r="X26" s="133"/>
      <c r="Y26" s="446"/>
      <c r="Z26" s="134"/>
      <c r="AA26" s="135"/>
      <c r="AB26" s="362"/>
      <c r="AC26" s="178"/>
      <c r="AD26" s="179"/>
      <c r="AE26" s="179"/>
      <c r="AF26" s="179"/>
    </row>
    <row r="27" spans="1:32" s="203" customFormat="1" ht="69.95" customHeight="1" x14ac:dyDescent="0.15">
      <c r="A27" s="431" t="s">
        <v>97</v>
      </c>
      <c r="B27" s="182">
        <f>$I$5</f>
        <v>582</v>
      </c>
      <c r="C27" s="461" t="str">
        <f>$A$5</f>
        <v>WH</v>
      </c>
      <c r="D27" s="461"/>
      <c r="E27" s="461"/>
      <c r="F27" s="461"/>
      <c r="G27" s="461"/>
      <c r="H27" s="461"/>
      <c r="I27" s="441" t="s">
        <v>58</v>
      </c>
      <c r="J27" s="76" t="s">
        <v>6</v>
      </c>
      <c r="K27" s="136">
        <v>0.8</v>
      </c>
      <c r="L27" s="77" t="s">
        <v>7</v>
      </c>
      <c r="M27" s="78">
        <f>K27*B27</f>
        <v>465.6</v>
      </c>
      <c r="N27" s="79"/>
      <c r="O27" s="78"/>
      <c r="P27" s="80" t="s">
        <v>7</v>
      </c>
      <c r="Q27" s="443">
        <v>45959</v>
      </c>
      <c r="R27" s="78">
        <v>466</v>
      </c>
      <c r="S27" s="80" t="s">
        <v>9</v>
      </c>
      <c r="T27" s="81">
        <f t="shared" si="3"/>
        <v>0.39999999999997726</v>
      </c>
      <c r="U27" s="82"/>
      <c r="V27" s="137"/>
      <c r="W27" s="78"/>
      <c r="X27" s="78"/>
      <c r="Y27" s="445" t="s">
        <v>59</v>
      </c>
      <c r="Z27" s="141"/>
      <c r="AA27" s="135"/>
      <c r="AB27" s="360" t="s">
        <v>189</v>
      </c>
    </row>
    <row r="28" spans="1:32" s="203" customFormat="1" ht="69.95" customHeight="1" x14ac:dyDescent="0.15">
      <c r="A28" s="432"/>
      <c r="B28" s="182">
        <f>$I$6</f>
        <v>532</v>
      </c>
      <c r="C28" s="461" t="str">
        <f>$A$6</f>
        <v>YE</v>
      </c>
      <c r="D28" s="461"/>
      <c r="E28" s="461"/>
      <c r="F28" s="461"/>
      <c r="G28" s="461"/>
      <c r="H28" s="461"/>
      <c r="I28" s="442"/>
      <c r="J28" s="76" t="s">
        <v>6</v>
      </c>
      <c r="K28" s="83">
        <v>0.8</v>
      </c>
      <c r="L28" s="77" t="s">
        <v>7</v>
      </c>
      <c r="M28" s="78">
        <f>K28*B28</f>
        <v>425.6</v>
      </c>
      <c r="N28" s="79"/>
      <c r="O28" s="128"/>
      <c r="P28" s="77" t="s">
        <v>7</v>
      </c>
      <c r="Q28" s="444"/>
      <c r="R28" s="137">
        <v>426</v>
      </c>
      <c r="S28" s="75" t="s">
        <v>9</v>
      </c>
      <c r="T28" s="81">
        <f t="shared" si="3"/>
        <v>0.39999999999997726</v>
      </c>
      <c r="U28" s="131"/>
      <c r="V28" s="131"/>
      <c r="W28" s="132"/>
      <c r="X28" s="133"/>
      <c r="Y28" s="446"/>
      <c r="Z28" s="134"/>
      <c r="AA28" s="135"/>
      <c r="AB28" s="362"/>
      <c r="AC28" s="466"/>
      <c r="AD28" s="467"/>
      <c r="AE28" s="467"/>
      <c r="AF28" s="467"/>
    </row>
    <row r="29" spans="1:32" s="143" customFormat="1" ht="69.95" customHeight="1" x14ac:dyDescent="0.15">
      <c r="A29" s="464" t="s">
        <v>77</v>
      </c>
      <c r="B29" s="182">
        <f>$I$5</f>
        <v>582</v>
      </c>
      <c r="C29" s="461" t="str">
        <f>$A$5</f>
        <v>WH</v>
      </c>
      <c r="D29" s="461"/>
      <c r="E29" s="461"/>
      <c r="F29" s="461"/>
      <c r="G29" s="461"/>
      <c r="H29" s="461"/>
      <c r="I29" s="441" t="s">
        <v>76</v>
      </c>
      <c r="J29" s="76"/>
      <c r="K29" s="136">
        <v>1.65</v>
      </c>
      <c r="L29" s="77" t="s">
        <v>7</v>
      </c>
      <c r="M29" s="78">
        <f>K29*B29/100</f>
        <v>9.6029999999999998</v>
      </c>
      <c r="N29" s="79"/>
      <c r="O29" s="78"/>
      <c r="P29" s="80" t="s">
        <v>7</v>
      </c>
      <c r="Q29" s="443">
        <v>45959</v>
      </c>
      <c r="R29" s="78">
        <v>10</v>
      </c>
      <c r="S29" s="80" t="s">
        <v>9</v>
      </c>
      <c r="T29" s="81">
        <f t="shared" si="3"/>
        <v>0.39700000000000024</v>
      </c>
      <c r="U29" s="82"/>
      <c r="V29" s="137"/>
      <c r="W29" s="78"/>
      <c r="X29" s="78"/>
      <c r="Y29" s="445" t="s">
        <v>94</v>
      </c>
      <c r="Z29" s="141"/>
      <c r="AA29" s="135"/>
      <c r="AB29" s="360" t="s">
        <v>188</v>
      </c>
    </row>
    <row r="30" spans="1:32" s="143" customFormat="1" ht="69.95" customHeight="1" x14ac:dyDescent="0.15">
      <c r="A30" s="464"/>
      <c r="B30" s="182">
        <f>$I$6</f>
        <v>532</v>
      </c>
      <c r="C30" s="461" t="str">
        <f>$A$6</f>
        <v>YE</v>
      </c>
      <c r="D30" s="461"/>
      <c r="E30" s="461"/>
      <c r="F30" s="461"/>
      <c r="G30" s="461"/>
      <c r="H30" s="461"/>
      <c r="I30" s="442"/>
      <c r="J30" s="76"/>
      <c r="K30" s="136">
        <v>1.65</v>
      </c>
      <c r="L30" s="77" t="s">
        <v>7</v>
      </c>
      <c r="M30" s="78">
        <f>K30*B30/100</f>
        <v>8.7779999999999987</v>
      </c>
      <c r="N30" s="79"/>
      <c r="O30" s="128"/>
      <c r="P30" s="77" t="s">
        <v>7</v>
      </c>
      <c r="Q30" s="447"/>
      <c r="R30" s="137">
        <v>9</v>
      </c>
      <c r="S30" s="75" t="s">
        <v>9</v>
      </c>
      <c r="T30" s="81">
        <f t="shared" si="3"/>
        <v>0.22200000000000131</v>
      </c>
      <c r="U30" s="131"/>
      <c r="V30" s="131"/>
      <c r="W30" s="132"/>
      <c r="X30" s="133"/>
      <c r="Y30" s="446"/>
      <c r="Z30" s="134"/>
      <c r="AA30" s="135"/>
      <c r="AB30" s="361"/>
      <c r="AC30" s="577"/>
      <c r="AD30" s="578"/>
      <c r="AE30" s="578"/>
      <c r="AF30" s="578"/>
    </row>
    <row r="31" spans="1:32" s="143" customFormat="1" ht="69.95" customHeight="1" x14ac:dyDescent="0.15">
      <c r="A31" s="464" t="s">
        <v>145</v>
      </c>
      <c r="B31" s="182">
        <f>$I$5</f>
        <v>582</v>
      </c>
      <c r="C31" s="461" t="str">
        <f>$A$5</f>
        <v>WH</v>
      </c>
      <c r="D31" s="461"/>
      <c r="E31" s="461"/>
      <c r="F31" s="461"/>
      <c r="G31" s="461"/>
      <c r="H31" s="461"/>
      <c r="I31" s="441" t="s">
        <v>76</v>
      </c>
      <c r="J31" s="76"/>
      <c r="K31" s="136">
        <v>2.19</v>
      </c>
      <c r="L31" s="77" t="s">
        <v>7</v>
      </c>
      <c r="M31" s="78">
        <f>K31*B31/50</f>
        <v>25.491599999999998</v>
      </c>
      <c r="N31" s="79"/>
      <c r="O31" s="78"/>
      <c r="P31" s="80" t="s">
        <v>7</v>
      </c>
      <c r="Q31" s="447"/>
      <c r="R31" s="78">
        <v>26</v>
      </c>
      <c r="S31" s="80" t="s">
        <v>9</v>
      </c>
      <c r="T31" s="81">
        <f t="shared" si="3"/>
        <v>0.50840000000000174</v>
      </c>
      <c r="U31" s="82"/>
      <c r="V31" s="137"/>
      <c r="W31" s="78"/>
      <c r="X31" s="78"/>
      <c r="Y31" s="445" t="s">
        <v>94</v>
      </c>
      <c r="Z31" s="141"/>
      <c r="AA31" s="135"/>
      <c r="AB31" s="361"/>
    </row>
    <row r="32" spans="1:32" s="143" customFormat="1" ht="69.95" customHeight="1" x14ac:dyDescent="0.15">
      <c r="A32" s="464"/>
      <c r="B32" s="182">
        <f>$I$6</f>
        <v>532</v>
      </c>
      <c r="C32" s="461" t="str">
        <f>$A$6</f>
        <v>YE</v>
      </c>
      <c r="D32" s="461"/>
      <c r="E32" s="461"/>
      <c r="F32" s="461"/>
      <c r="G32" s="461"/>
      <c r="H32" s="461"/>
      <c r="I32" s="442"/>
      <c r="J32" s="76"/>
      <c r="K32" s="136">
        <v>2.19</v>
      </c>
      <c r="L32" s="77" t="s">
        <v>7</v>
      </c>
      <c r="M32" s="78">
        <f>K32*B32/50</f>
        <v>23.301599999999997</v>
      </c>
      <c r="N32" s="79"/>
      <c r="O32" s="128"/>
      <c r="P32" s="77" t="s">
        <v>7</v>
      </c>
      <c r="Q32" s="444"/>
      <c r="R32" s="137">
        <v>24</v>
      </c>
      <c r="S32" s="75" t="s">
        <v>9</v>
      </c>
      <c r="T32" s="81">
        <f t="shared" si="3"/>
        <v>0.69840000000000302</v>
      </c>
      <c r="U32" s="131"/>
      <c r="V32" s="131"/>
      <c r="W32" s="132"/>
      <c r="X32" s="133"/>
      <c r="Y32" s="446"/>
      <c r="Z32" s="134"/>
      <c r="AA32" s="135"/>
      <c r="AB32" s="362"/>
      <c r="AC32" s="577"/>
      <c r="AD32" s="578"/>
      <c r="AE32" s="578"/>
      <c r="AF32" s="578"/>
    </row>
    <row r="33" spans="1:32" s="203" customFormat="1" ht="69.95" customHeight="1" x14ac:dyDescent="0.15">
      <c r="A33" s="464" t="s">
        <v>116</v>
      </c>
      <c r="B33" s="191">
        <f>$I$5</f>
        <v>582</v>
      </c>
      <c r="C33" s="465" t="str">
        <f>$A$5</f>
        <v>WH</v>
      </c>
      <c r="D33" s="465"/>
      <c r="E33" s="465"/>
      <c r="F33" s="465"/>
      <c r="G33" s="465"/>
      <c r="H33" s="465"/>
      <c r="I33" s="433" t="s">
        <v>76</v>
      </c>
      <c r="J33" s="192"/>
      <c r="K33" s="209">
        <v>2.4</v>
      </c>
      <c r="L33" s="194" t="s">
        <v>7</v>
      </c>
      <c r="M33" s="195">
        <f>K33*B33/50</f>
        <v>27.936</v>
      </c>
      <c r="N33" s="196"/>
      <c r="O33" s="195"/>
      <c r="P33" s="197" t="s">
        <v>7</v>
      </c>
      <c r="Q33" s="435"/>
      <c r="R33" s="195"/>
      <c r="S33" s="197" t="s">
        <v>9</v>
      </c>
      <c r="T33" s="198">
        <f t="shared" si="3"/>
        <v>-27.936</v>
      </c>
      <c r="U33" s="199"/>
      <c r="V33" s="200"/>
      <c r="W33" s="195"/>
      <c r="X33" s="195"/>
      <c r="Y33" s="437" t="s">
        <v>94</v>
      </c>
      <c r="Z33" s="201"/>
      <c r="AA33" s="202"/>
      <c r="AB33" s="439"/>
    </row>
    <row r="34" spans="1:32" s="203" customFormat="1" ht="69.95" customHeight="1" x14ac:dyDescent="0.15">
      <c r="A34" s="464"/>
      <c r="B34" s="191">
        <f>$I$6</f>
        <v>532</v>
      </c>
      <c r="C34" s="465" t="str">
        <f>$A$6</f>
        <v>YE</v>
      </c>
      <c r="D34" s="465"/>
      <c r="E34" s="465"/>
      <c r="F34" s="465"/>
      <c r="G34" s="465"/>
      <c r="H34" s="465"/>
      <c r="I34" s="434"/>
      <c r="J34" s="192"/>
      <c r="K34" s="208">
        <v>2.4</v>
      </c>
      <c r="L34" s="194" t="s">
        <v>7</v>
      </c>
      <c r="M34" s="195">
        <f>K34*B34/50</f>
        <v>25.535999999999998</v>
      </c>
      <c r="N34" s="196"/>
      <c r="O34" s="210"/>
      <c r="P34" s="194" t="s">
        <v>7</v>
      </c>
      <c r="Q34" s="436"/>
      <c r="R34" s="200"/>
      <c r="S34" s="207" t="s">
        <v>9</v>
      </c>
      <c r="T34" s="198">
        <f t="shared" si="3"/>
        <v>-25.535999999999998</v>
      </c>
      <c r="U34" s="211"/>
      <c r="V34" s="211"/>
      <c r="W34" s="212"/>
      <c r="X34" s="213"/>
      <c r="Y34" s="438"/>
      <c r="Z34" s="214"/>
      <c r="AA34" s="202"/>
      <c r="AB34" s="440"/>
      <c r="AC34" s="466"/>
      <c r="AD34" s="467"/>
      <c r="AE34" s="467"/>
      <c r="AF34" s="467"/>
    </row>
    <row r="35" spans="1:32" s="143" customFormat="1" ht="69.95" customHeight="1" x14ac:dyDescent="0.15">
      <c r="A35" s="431" t="s">
        <v>88</v>
      </c>
      <c r="B35" s="182">
        <f>$I$5</f>
        <v>582</v>
      </c>
      <c r="C35" s="461" t="str">
        <f>$A$5</f>
        <v>WH</v>
      </c>
      <c r="D35" s="461"/>
      <c r="E35" s="461"/>
      <c r="F35" s="461" t="str">
        <f>$A$5</f>
        <v>WH</v>
      </c>
      <c r="G35" s="461"/>
      <c r="H35" s="461"/>
      <c r="I35" s="441" t="s">
        <v>62</v>
      </c>
      <c r="J35" s="76"/>
      <c r="K35" s="139">
        <v>230</v>
      </c>
      <c r="L35" s="77" t="s">
        <v>61</v>
      </c>
      <c r="M35" s="78">
        <f t="shared" ref="M35:M36" si="7">K35*B35/2500</f>
        <v>53.543999999999997</v>
      </c>
      <c r="N35" s="79"/>
      <c r="O35" s="78"/>
      <c r="P35" s="80" t="s">
        <v>10</v>
      </c>
      <c r="Q35" s="443">
        <v>45959</v>
      </c>
      <c r="R35" s="78">
        <v>54</v>
      </c>
      <c r="S35" s="80" t="s">
        <v>10</v>
      </c>
      <c r="T35" s="81">
        <f>R35-M35</f>
        <v>0.45600000000000307</v>
      </c>
      <c r="U35" s="82"/>
      <c r="V35" s="137"/>
      <c r="W35" s="78"/>
      <c r="X35" s="78"/>
      <c r="Y35" s="445" t="s">
        <v>94</v>
      </c>
      <c r="Z35" s="141"/>
      <c r="AA35" s="135"/>
      <c r="AB35" s="360" t="s">
        <v>188</v>
      </c>
    </row>
    <row r="36" spans="1:32" s="55" customFormat="1" ht="69.95" customHeight="1" x14ac:dyDescent="0.15">
      <c r="A36" s="432"/>
      <c r="B36" s="186">
        <f>$I$6</f>
        <v>532</v>
      </c>
      <c r="C36" s="395" t="str">
        <f>$A$6</f>
        <v>YE</v>
      </c>
      <c r="D36" s="396"/>
      <c r="E36" s="397"/>
      <c r="F36" s="395" t="str">
        <f>$A$6</f>
        <v>YE</v>
      </c>
      <c r="G36" s="396"/>
      <c r="H36" s="397"/>
      <c r="I36" s="442"/>
      <c r="J36" s="144"/>
      <c r="K36" s="139">
        <v>230</v>
      </c>
      <c r="L36" s="145" t="s">
        <v>61</v>
      </c>
      <c r="M36" s="78">
        <f t="shared" si="7"/>
        <v>48.944000000000003</v>
      </c>
      <c r="N36" s="146"/>
      <c r="O36" s="147"/>
      <c r="P36" s="145" t="s">
        <v>10</v>
      </c>
      <c r="Q36" s="447"/>
      <c r="R36" s="161">
        <v>49</v>
      </c>
      <c r="S36" s="148" t="s">
        <v>10</v>
      </c>
      <c r="T36" s="84">
        <f>R36-M36</f>
        <v>5.5999999999997385E-2</v>
      </c>
      <c r="U36" s="149"/>
      <c r="V36" s="149"/>
      <c r="W36" s="150"/>
      <c r="X36" s="151"/>
      <c r="Y36" s="446"/>
      <c r="Z36" s="216"/>
      <c r="AA36" s="217"/>
      <c r="AB36" s="361"/>
      <c r="AC36" s="471"/>
      <c r="AD36" s="472"/>
      <c r="AE36" s="472"/>
      <c r="AF36" s="472"/>
    </row>
    <row r="37" spans="1:32" s="143" customFormat="1" ht="69.95" customHeight="1" x14ac:dyDescent="0.15">
      <c r="A37" s="431" t="s">
        <v>87</v>
      </c>
      <c r="B37" s="182">
        <f>$I$5</f>
        <v>582</v>
      </c>
      <c r="C37" s="461" t="str">
        <f>$A$5</f>
        <v>WH</v>
      </c>
      <c r="D37" s="461"/>
      <c r="E37" s="461"/>
      <c r="F37" s="461" t="str">
        <f>$A$5</f>
        <v>WH</v>
      </c>
      <c r="G37" s="461"/>
      <c r="H37" s="461"/>
      <c r="I37" s="441" t="s">
        <v>60</v>
      </c>
      <c r="J37" s="76"/>
      <c r="K37" s="139">
        <v>470</v>
      </c>
      <c r="L37" s="77" t="s">
        <v>61</v>
      </c>
      <c r="M37" s="78">
        <f>K37*B37/4000</f>
        <v>68.385000000000005</v>
      </c>
      <c r="N37" s="79"/>
      <c r="O37" s="78"/>
      <c r="P37" s="80" t="s">
        <v>10</v>
      </c>
      <c r="Q37" s="447"/>
      <c r="R37" s="78">
        <v>69</v>
      </c>
      <c r="S37" s="80" t="s">
        <v>10</v>
      </c>
      <c r="T37" s="81">
        <f t="shared" si="3"/>
        <v>0.61499999999999488</v>
      </c>
      <c r="U37" s="82"/>
      <c r="V37" s="137"/>
      <c r="W37" s="78"/>
      <c r="X37" s="78"/>
      <c r="Y37" s="445" t="s">
        <v>94</v>
      </c>
      <c r="Z37" s="141"/>
      <c r="AA37" s="135"/>
      <c r="AB37" s="361"/>
    </row>
    <row r="38" spans="1:32" s="55" customFormat="1" ht="69.95" customHeight="1" x14ac:dyDescent="0.15">
      <c r="A38" s="432"/>
      <c r="B38" s="186">
        <f>$I$6</f>
        <v>532</v>
      </c>
      <c r="C38" s="395" t="str">
        <f>$A$6</f>
        <v>YE</v>
      </c>
      <c r="D38" s="396"/>
      <c r="E38" s="397"/>
      <c r="F38" s="395" t="str">
        <f>$A$6</f>
        <v>YE</v>
      </c>
      <c r="G38" s="396"/>
      <c r="H38" s="397"/>
      <c r="I38" s="442"/>
      <c r="J38" s="144"/>
      <c r="K38" s="139">
        <v>470</v>
      </c>
      <c r="L38" s="145" t="s">
        <v>61</v>
      </c>
      <c r="M38" s="78">
        <f>K38*B38/4000</f>
        <v>62.51</v>
      </c>
      <c r="N38" s="146"/>
      <c r="O38" s="147"/>
      <c r="P38" s="145" t="s">
        <v>10</v>
      </c>
      <c r="Q38" s="447"/>
      <c r="R38" s="161">
        <v>63</v>
      </c>
      <c r="S38" s="148" t="s">
        <v>10</v>
      </c>
      <c r="T38" s="84">
        <f t="shared" si="3"/>
        <v>0.49000000000000199</v>
      </c>
      <c r="U38" s="149"/>
      <c r="V38" s="149"/>
      <c r="W38" s="150"/>
      <c r="X38" s="151"/>
      <c r="Y38" s="446"/>
      <c r="Z38" s="216"/>
      <c r="AA38" s="217"/>
      <c r="AB38" s="361"/>
      <c r="AC38" s="471"/>
      <c r="AD38" s="472"/>
      <c r="AE38" s="472"/>
      <c r="AF38" s="472"/>
    </row>
    <row r="39" spans="1:32" s="143" customFormat="1" ht="69.95" customHeight="1" x14ac:dyDescent="0.15">
      <c r="A39" s="431" t="s">
        <v>177</v>
      </c>
      <c r="B39" s="182">
        <f>$I$5</f>
        <v>582</v>
      </c>
      <c r="C39" s="461" t="str">
        <f>$A$5</f>
        <v>WH</v>
      </c>
      <c r="D39" s="461"/>
      <c r="E39" s="461"/>
      <c r="F39" s="461" t="str">
        <f>$A$5</f>
        <v>WH</v>
      </c>
      <c r="G39" s="461"/>
      <c r="H39" s="461"/>
      <c r="I39" s="441" t="s">
        <v>60</v>
      </c>
      <c r="J39" s="76"/>
      <c r="K39" s="139">
        <v>10</v>
      </c>
      <c r="L39" s="77" t="s">
        <v>61</v>
      </c>
      <c r="M39" s="78">
        <f>K39*B39/4000</f>
        <v>1.4550000000000001</v>
      </c>
      <c r="N39" s="79"/>
      <c r="O39" s="78"/>
      <c r="P39" s="80" t="s">
        <v>10</v>
      </c>
      <c r="Q39" s="447"/>
      <c r="R39" s="78">
        <v>3</v>
      </c>
      <c r="S39" s="80" t="s">
        <v>10</v>
      </c>
      <c r="T39" s="81">
        <f t="shared" ref="T39:T40" si="8">R39-M39</f>
        <v>1.5449999999999999</v>
      </c>
      <c r="U39" s="82"/>
      <c r="V39" s="137"/>
      <c r="W39" s="78"/>
      <c r="X39" s="78"/>
      <c r="Y39" s="445" t="s">
        <v>94</v>
      </c>
      <c r="Z39" s="141"/>
      <c r="AA39" s="135"/>
      <c r="AB39" s="361"/>
    </row>
    <row r="40" spans="1:32" s="55" customFormat="1" ht="69.95" customHeight="1" x14ac:dyDescent="0.15">
      <c r="A40" s="432"/>
      <c r="B40" s="186">
        <f>$I$6</f>
        <v>532</v>
      </c>
      <c r="C40" s="395" t="str">
        <f>$A$6</f>
        <v>YE</v>
      </c>
      <c r="D40" s="396"/>
      <c r="E40" s="397"/>
      <c r="F40" s="395" t="str">
        <f>$A$6</f>
        <v>YE</v>
      </c>
      <c r="G40" s="396"/>
      <c r="H40" s="397"/>
      <c r="I40" s="442"/>
      <c r="J40" s="144"/>
      <c r="K40" s="139">
        <v>10</v>
      </c>
      <c r="L40" s="145" t="s">
        <v>61</v>
      </c>
      <c r="M40" s="78">
        <f>K40*B40/4000</f>
        <v>1.33</v>
      </c>
      <c r="N40" s="146"/>
      <c r="O40" s="147"/>
      <c r="P40" s="145" t="s">
        <v>10</v>
      </c>
      <c r="Q40" s="444"/>
      <c r="R40" s="161">
        <v>3</v>
      </c>
      <c r="S40" s="148" t="s">
        <v>10</v>
      </c>
      <c r="T40" s="84">
        <f t="shared" si="8"/>
        <v>1.67</v>
      </c>
      <c r="U40" s="149"/>
      <c r="V40" s="149"/>
      <c r="W40" s="150"/>
      <c r="X40" s="151"/>
      <c r="Y40" s="446"/>
      <c r="Z40" s="216"/>
      <c r="AA40" s="217"/>
      <c r="AB40" s="362"/>
      <c r="AC40" s="471"/>
      <c r="AD40" s="472"/>
      <c r="AE40" s="472"/>
      <c r="AF40" s="472"/>
    </row>
    <row r="41" spans="1:32" s="203" customFormat="1" ht="69.95" customHeight="1" x14ac:dyDescent="0.15">
      <c r="A41" s="431" t="s">
        <v>89</v>
      </c>
      <c r="B41" s="191">
        <f>$I$5</f>
        <v>582</v>
      </c>
      <c r="C41" s="465" t="str">
        <f>$A$5</f>
        <v>WH</v>
      </c>
      <c r="D41" s="465"/>
      <c r="E41" s="465"/>
      <c r="F41" s="465" t="str">
        <f>$A$5</f>
        <v>WH</v>
      </c>
      <c r="G41" s="465"/>
      <c r="H41" s="465"/>
      <c r="I41" s="433" t="s">
        <v>118</v>
      </c>
      <c r="J41" s="192"/>
      <c r="K41" s="193">
        <v>25</v>
      </c>
      <c r="L41" s="194" t="s">
        <v>61</v>
      </c>
      <c r="M41" s="195">
        <f>K41*B41/500</f>
        <v>29.1</v>
      </c>
      <c r="N41" s="196"/>
      <c r="O41" s="195"/>
      <c r="P41" s="197" t="s">
        <v>10</v>
      </c>
      <c r="Q41" s="435"/>
      <c r="R41" s="195"/>
      <c r="S41" s="197" t="s">
        <v>10</v>
      </c>
      <c r="T41" s="198">
        <f t="shared" si="3"/>
        <v>-29.1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6" customFormat="1" ht="69.95" customHeight="1" x14ac:dyDescent="0.15">
      <c r="A42" s="432"/>
      <c r="B42" s="204">
        <f>$I$6</f>
        <v>532</v>
      </c>
      <c r="C42" s="453" t="str">
        <f>$A$6</f>
        <v>YE</v>
      </c>
      <c r="D42" s="454"/>
      <c r="E42" s="455"/>
      <c r="F42" s="453" t="str">
        <f>$A$6</f>
        <v>YE</v>
      </c>
      <c r="G42" s="454"/>
      <c r="H42" s="455"/>
      <c r="I42" s="434"/>
      <c r="J42" s="218"/>
      <c r="K42" s="193">
        <v>25</v>
      </c>
      <c r="L42" s="219" t="s">
        <v>61</v>
      </c>
      <c r="M42" s="195">
        <f>K42*B42/500</f>
        <v>26.6</v>
      </c>
      <c r="N42" s="220"/>
      <c r="O42" s="221"/>
      <c r="P42" s="219" t="s">
        <v>10</v>
      </c>
      <c r="Q42" s="436"/>
      <c r="R42" s="222"/>
      <c r="S42" s="215" t="s">
        <v>10</v>
      </c>
      <c r="T42" s="205">
        <f t="shared" si="3"/>
        <v>-26.6</v>
      </c>
      <c r="U42" s="223"/>
      <c r="V42" s="223"/>
      <c r="W42" s="224"/>
      <c r="X42" s="225"/>
      <c r="Y42" s="438"/>
      <c r="Z42" s="226"/>
      <c r="AA42" s="227"/>
      <c r="AB42" s="440"/>
      <c r="AC42" s="567"/>
      <c r="AD42" s="568"/>
      <c r="AE42" s="568"/>
      <c r="AF42" s="568"/>
    </row>
    <row r="43" spans="1:32" s="55" customFormat="1" ht="69.95" customHeight="1" x14ac:dyDescent="0.15">
      <c r="A43" s="431" t="s">
        <v>173</v>
      </c>
      <c r="B43" s="182">
        <f t="shared" ref="B43" si="9">$I$5</f>
        <v>582</v>
      </c>
      <c r="C43" s="368" t="str">
        <f t="shared" ref="C43" si="10">$A$5</f>
        <v>WH</v>
      </c>
      <c r="D43" s="369"/>
      <c r="E43" s="370"/>
      <c r="F43" s="428"/>
      <c r="G43" s="369"/>
      <c r="H43" s="370"/>
      <c r="I43" s="441" t="s">
        <v>174</v>
      </c>
      <c r="J43" s="76"/>
      <c r="K43" s="139">
        <v>1</v>
      </c>
      <c r="L43" s="77" t="s">
        <v>65</v>
      </c>
      <c r="M43" s="78">
        <f t="shared" ref="M43:M44" si="11">K43*B43</f>
        <v>582</v>
      </c>
      <c r="N43" s="79"/>
      <c r="O43" s="78"/>
      <c r="P43" s="77" t="s">
        <v>65</v>
      </c>
      <c r="Q43" s="443">
        <v>45959</v>
      </c>
      <c r="R43" s="78">
        <v>582</v>
      </c>
      <c r="S43" s="77" t="s">
        <v>65</v>
      </c>
      <c r="T43" s="84">
        <f t="shared" si="3"/>
        <v>0</v>
      </c>
      <c r="U43" s="82"/>
      <c r="V43" s="82"/>
      <c r="W43" s="83"/>
      <c r="X43" s="81"/>
      <c r="Y43" s="445" t="s">
        <v>57</v>
      </c>
      <c r="Z43" s="86"/>
      <c r="AA43" s="85"/>
      <c r="AB43" s="360" t="s">
        <v>188</v>
      </c>
    </row>
    <row r="44" spans="1:32" s="55" customFormat="1" ht="69.95" customHeight="1" x14ac:dyDescent="0.15">
      <c r="A44" s="432"/>
      <c r="B44" s="186">
        <f>$I$6</f>
        <v>532</v>
      </c>
      <c r="C44" s="395" t="str">
        <f>$A$6</f>
        <v>YE</v>
      </c>
      <c r="D44" s="396"/>
      <c r="E44" s="397"/>
      <c r="F44" s="428"/>
      <c r="G44" s="369"/>
      <c r="H44" s="370"/>
      <c r="I44" s="442"/>
      <c r="J44" s="76"/>
      <c r="K44" s="139">
        <v>1</v>
      </c>
      <c r="L44" s="77" t="s">
        <v>65</v>
      </c>
      <c r="M44" s="78">
        <f t="shared" si="11"/>
        <v>532</v>
      </c>
      <c r="N44" s="140"/>
      <c r="O44" s="78"/>
      <c r="P44" s="77" t="s">
        <v>65</v>
      </c>
      <c r="Q44" s="447"/>
      <c r="R44" s="78">
        <v>532</v>
      </c>
      <c r="S44" s="77" t="s">
        <v>65</v>
      </c>
      <c r="T44" s="81">
        <f t="shared" si="3"/>
        <v>0</v>
      </c>
      <c r="U44" s="82"/>
      <c r="V44" s="137"/>
      <c r="W44" s="78"/>
      <c r="X44" s="78"/>
      <c r="Y44" s="446"/>
      <c r="Z44" s="141"/>
      <c r="AA44" s="135"/>
      <c r="AB44" s="361"/>
      <c r="AC44" s="142"/>
      <c r="AD44" s="179"/>
      <c r="AE44" s="179"/>
      <c r="AF44" s="179"/>
    </row>
    <row r="45" spans="1:32" s="55" customFormat="1" ht="69.95" customHeight="1" x14ac:dyDescent="0.15">
      <c r="A45" s="431" t="s">
        <v>175</v>
      </c>
      <c r="B45" s="182">
        <f t="shared" ref="B45:B47" si="12">$I$5</f>
        <v>582</v>
      </c>
      <c r="C45" s="368" t="str">
        <f t="shared" ref="C45:C47" si="13">$A$5</f>
        <v>WH</v>
      </c>
      <c r="D45" s="369"/>
      <c r="E45" s="370"/>
      <c r="F45" s="428"/>
      <c r="G45" s="429"/>
      <c r="H45" s="430"/>
      <c r="I45" s="441" t="s">
        <v>79</v>
      </c>
      <c r="J45" s="76"/>
      <c r="K45" s="139">
        <v>4</v>
      </c>
      <c r="L45" s="77" t="s">
        <v>63</v>
      </c>
      <c r="M45" s="78">
        <f t="shared" si="4"/>
        <v>2328</v>
      </c>
      <c r="N45" s="79"/>
      <c r="O45" s="78"/>
      <c r="P45" s="80" t="s">
        <v>63</v>
      </c>
      <c r="Q45" s="443">
        <v>45959</v>
      </c>
      <c r="R45" s="78">
        <v>2328</v>
      </c>
      <c r="S45" s="80" t="s">
        <v>63</v>
      </c>
      <c r="T45" s="84">
        <f t="shared" si="3"/>
        <v>0</v>
      </c>
      <c r="U45" s="82"/>
      <c r="V45" s="82"/>
      <c r="W45" s="83"/>
      <c r="X45" s="81"/>
      <c r="Y45" s="445" t="s">
        <v>64</v>
      </c>
      <c r="Z45" s="86"/>
      <c r="AA45" s="85"/>
      <c r="AB45" s="360" t="s">
        <v>188</v>
      </c>
    </row>
    <row r="46" spans="1:32" s="55" customFormat="1" ht="69.95" customHeight="1" x14ac:dyDescent="0.15">
      <c r="A46" s="432"/>
      <c r="B46" s="186">
        <f>$I$6</f>
        <v>532</v>
      </c>
      <c r="C46" s="368" t="str">
        <f>$A$6</f>
        <v>YE</v>
      </c>
      <c r="D46" s="369"/>
      <c r="E46" s="370"/>
      <c r="F46" s="428"/>
      <c r="G46" s="429"/>
      <c r="H46" s="430"/>
      <c r="I46" s="442"/>
      <c r="J46" s="76"/>
      <c r="K46" s="139">
        <v>4</v>
      </c>
      <c r="L46" s="77" t="s">
        <v>63</v>
      </c>
      <c r="M46" s="78">
        <f t="shared" si="4"/>
        <v>2128</v>
      </c>
      <c r="N46" s="140"/>
      <c r="O46" s="78"/>
      <c r="P46" s="80" t="s">
        <v>63</v>
      </c>
      <c r="Q46" s="447"/>
      <c r="R46" s="78">
        <v>2128</v>
      </c>
      <c r="S46" s="80" t="s">
        <v>63</v>
      </c>
      <c r="T46" s="81">
        <f t="shared" si="3"/>
        <v>0</v>
      </c>
      <c r="U46" s="82"/>
      <c r="V46" s="137"/>
      <c r="W46" s="78"/>
      <c r="X46" s="78"/>
      <c r="Y46" s="446"/>
      <c r="Z46" s="141"/>
      <c r="AA46" s="135"/>
      <c r="AB46" s="361"/>
      <c r="AC46" s="142"/>
      <c r="AD46" s="179"/>
      <c r="AE46" s="179"/>
      <c r="AF46" s="179"/>
    </row>
    <row r="47" spans="1:32" s="55" customFormat="1" ht="69.95" customHeight="1" x14ac:dyDescent="0.15">
      <c r="A47" s="431" t="s">
        <v>176</v>
      </c>
      <c r="B47" s="182">
        <f t="shared" si="12"/>
        <v>582</v>
      </c>
      <c r="C47" s="368" t="str">
        <f t="shared" si="13"/>
        <v>WH</v>
      </c>
      <c r="D47" s="369"/>
      <c r="E47" s="370"/>
      <c r="F47" s="428"/>
      <c r="G47" s="429"/>
      <c r="H47" s="430"/>
      <c r="I47" s="441" t="s">
        <v>75</v>
      </c>
      <c r="J47" s="76"/>
      <c r="K47" s="139">
        <v>2</v>
      </c>
      <c r="L47" s="77" t="s">
        <v>63</v>
      </c>
      <c r="M47" s="78">
        <f t="shared" si="4"/>
        <v>1164</v>
      </c>
      <c r="N47" s="79"/>
      <c r="O47" s="78"/>
      <c r="P47" s="80" t="s">
        <v>63</v>
      </c>
      <c r="Q47" s="447"/>
      <c r="R47" s="78">
        <v>1164</v>
      </c>
      <c r="S47" s="80" t="s">
        <v>63</v>
      </c>
      <c r="T47" s="84">
        <f t="shared" si="3"/>
        <v>0</v>
      </c>
      <c r="U47" s="82"/>
      <c r="V47" s="82"/>
      <c r="W47" s="83"/>
      <c r="X47" s="81"/>
      <c r="Y47" s="445" t="s">
        <v>64</v>
      </c>
      <c r="Z47" s="86"/>
      <c r="AA47" s="85"/>
      <c r="AB47" s="361"/>
    </row>
    <row r="48" spans="1:32" s="55" customFormat="1" ht="69.95" customHeight="1" x14ac:dyDescent="0.15">
      <c r="A48" s="432"/>
      <c r="B48" s="186">
        <f>$I$6</f>
        <v>532</v>
      </c>
      <c r="C48" s="368" t="str">
        <f>$A$6</f>
        <v>YE</v>
      </c>
      <c r="D48" s="369"/>
      <c r="E48" s="370"/>
      <c r="F48" s="428"/>
      <c r="G48" s="429"/>
      <c r="H48" s="430"/>
      <c r="I48" s="442"/>
      <c r="J48" s="76"/>
      <c r="K48" s="139">
        <v>2</v>
      </c>
      <c r="L48" s="77" t="s">
        <v>63</v>
      </c>
      <c r="M48" s="78">
        <f t="shared" si="4"/>
        <v>1064</v>
      </c>
      <c r="N48" s="140"/>
      <c r="O48" s="78"/>
      <c r="P48" s="80" t="s">
        <v>63</v>
      </c>
      <c r="Q48" s="444"/>
      <c r="R48" s="78">
        <v>1064</v>
      </c>
      <c r="S48" s="80" t="s">
        <v>63</v>
      </c>
      <c r="T48" s="81">
        <f t="shared" si="3"/>
        <v>0</v>
      </c>
      <c r="U48" s="82"/>
      <c r="V48" s="137"/>
      <c r="W48" s="78"/>
      <c r="X48" s="78"/>
      <c r="Y48" s="446"/>
      <c r="Z48" s="141"/>
      <c r="AA48" s="135"/>
      <c r="AB48" s="362"/>
      <c r="AC48" s="142"/>
      <c r="AD48" s="179"/>
      <c r="AE48" s="179"/>
      <c r="AF48" s="179"/>
    </row>
    <row r="49" spans="1:28" s="55" customFormat="1" ht="54.95" customHeight="1" x14ac:dyDescent="0.15">
      <c r="A49" s="386" t="s">
        <v>66</v>
      </c>
      <c r="B49" s="87">
        <f>C11</f>
        <v>570</v>
      </c>
      <c r="C49" s="389" t="e">
        <f>#REF!</f>
        <v>#REF!</v>
      </c>
      <c r="D49" s="390"/>
      <c r="E49" s="391"/>
      <c r="F49" s="368"/>
      <c r="G49" s="369"/>
      <c r="H49" s="370"/>
      <c r="I49" s="152"/>
      <c r="J49" s="75"/>
      <c r="K49" s="139">
        <v>1</v>
      </c>
      <c r="L49" s="77" t="s">
        <v>63</v>
      </c>
      <c r="M49" s="88">
        <f t="shared" si="4"/>
        <v>570</v>
      </c>
      <c r="N49" s="89"/>
      <c r="O49" s="153"/>
      <c r="P49" s="88" t="s">
        <v>63</v>
      </c>
      <c r="Q49" s="443">
        <v>45959</v>
      </c>
      <c r="R49" s="153">
        <v>570</v>
      </c>
      <c r="S49" s="88" t="s">
        <v>63</v>
      </c>
      <c r="T49" s="154">
        <f t="shared" si="3"/>
        <v>0</v>
      </c>
      <c r="U49" s="129"/>
      <c r="V49" s="155"/>
      <c r="W49" s="154"/>
      <c r="X49" s="154"/>
      <c r="Y49" s="401" t="s">
        <v>72</v>
      </c>
      <c r="Z49" s="401"/>
      <c r="AA49" s="401"/>
      <c r="AB49" s="579" t="s">
        <v>188</v>
      </c>
    </row>
    <row r="50" spans="1:28" s="55" customFormat="1" ht="54.95" customHeight="1" x14ac:dyDescent="0.15">
      <c r="A50" s="387"/>
      <c r="B50" s="87">
        <f>D11</f>
        <v>480</v>
      </c>
      <c r="C50" s="392"/>
      <c r="D50" s="393"/>
      <c r="E50" s="394"/>
      <c r="F50" s="368"/>
      <c r="G50" s="369"/>
      <c r="H50" s="370"/>
      <c r="I50" s="152"/>
      <c r="J50" s="75"/>
      <c r="K50" s="156">
        <v>1</v>
      </c>
      <c r="L50" s="77" t="s">
        <v>63</v>
      </c>
      <c r="M50" s="88">
        <f t="shared" si="4"/>
        <v>480</v>
      </c>
      <c r="N50" s="89"/>
      <c r="O50" s="153"/>
      <c r="P50" s="88" t="s">
        <v>63</v>
      </c>
      <c r="Q50" s="447"/>
      <c r="R50" s="153">
        <v>480</v>
      </c>
      <c r="S50" s="88" t="s">
        <v>63</v>
      </c>
      <c r="T50" s="154">
        <f t="shared" si="3"/>
        <v>0</v>
      </c>
      <c r="U50" s="129"/>
      <c r="V50" s="155"/>
      <c r="W50" s="154"/>
      <c r="X50" s="154"/>
      <c r="Y50" s="402"/>
      <c r="Z50" s="402"/>
      <c r="AA50" s="402"/>
      <c r="AB50" s="580"/>
    </row>
    <row r="51" spans="1:28" s="55" customFormat="1" ht="54.95" customHeight="1" x14ac:dyDescent="0.15">
      <c r="A51" s="387"/>
      <c r="B51" s="87">
        <f>E11</f>
        <v>64</v>
      </c>
      <c r="C51" s="392"/>
      <c r="D51" s="393"/>
      <c r="E51" s="394"/>
      <c r="F51" s="368"/>
      <c r="G51" s="369"/>
      <c r="H51" s="370"/>
      <c r="I51" s="152"/>
      <c r="J51" s="75"/>
      <c r="K51" s="156">
        <v>1</v>
      </c>
      <c r="L51" s="77" t="s">
        <v>63</v>
      </c>
      <c r="M51" s="88">
        <f t="shared" si="4"/>
        <v>64</v>
      </c>
      <c r="N51" s="89"/>
      <c r="O51" s="153"/>
      <c r="P51" s="88" t="s">
        <v>63</v>
      </c>
      <c r="Q51" s="447"/>
      <c r="R51" s="153">
        <v>64</v>
      </c>
      <c r="S51" s="88" t="s">
        <v>63</v>
      </c>
      <c r="T51" s="154">
        <f t="shared" si="3"/>
        <v>0</v>
      </c>
      <c r="U51" s="129"/>
      <c r="V51" s="155"/>
      <c r="W51" s="154"/>
      <c r="X51" s="154"/>
      <c r="Y51" s="402"/>
      <c r="Z51" s="402"/>
      <c r="AA51" s="402"/>
      <c r="AB51" s="580"/>
    </row>
    <row r="52" spans="1:28" s="55" customFormat="1" ht="54.95" customHeight="1" x14ac:dyDescent="0.15">
      <c r="A52" s="387"/>
      <c r="B52" s="87">
        <f>F11</f>
        <v>0</v>
      </c>
      <c r="C52" s="392"/>
      <c r="D52" s="393"/>
      <c r="E52" s="394"/>
      <c r="F52" s="368"/>
      <c r="G52" s="369"/>
      <c r="H52" s="370"/>
      <c r="I52" s="152"/>
      <c r="J52" s="75"/>
      <c r="K52" s="156">
        <v>1</v>
      </c>
      <c r="L52" s="77" t="s">
        <v>63</v>
      </c>
      <c r="M52" s="88">
        <f t="shared" si="4"/>
        <v>0</v>
      </c>
      <c r="N52" s="89"/>
      <c r="O52" s="153"/>
      <c r="P52" s="88" t="s">
        <v>63</v>
      </c>
      <c r="Q52" s="447"/>
      <c r="R52" s="153"/>
      <c r="S52" s="88" t="s">
        <v>63</v>
      </c>
      <c r="T52" s="154">
        <f t="shared" si="3"/>
        <v>0</v>
      </c>
      <c r="U52" s="129"/>
      <c r="V52" s="155"/>
      <c r="W52" s="154"/>
      <c r="X52" s="154"/>
      <c r="Y52" s="402"/>
      <c r="Z52" s="402"/>
      <c r="AA52" s="402"/>
      <c r="AB52" s="580"/>
    </row>
    <row r="53" spans="1:28" s="55" customFormat="1" ht="54.95" customHeight="1" x14ac:dyDescent="0.15">
      <c r="A53" s="388"/>
      <c r="B53" s="87">
        <f>G11</f>
        <v>0</v>
      </c>
      <c r="C53" s="395"/>
      <c r="D53" s="396"/>
      <c r="E53" s="397"/>
      <c r="F53" s="368"/>
      <c r="G53" s="369"/>
      <c r="H53" s="370"/>
      <c r="I53" s="152"/>
      <c r="J53" s="75"/>
      <c r="K53" s="156">
        <v>1</v>
      </c>
      <c r="L53" s="77" t="s">
        <v>63</v>
      </c>
      <c r="M53" s="88">
        <f t="shared" si="4"/>
        <v>0</v>
      </c>
      <c r="N53" s="89"/>
      <c r="O53" s="153"/>
      <c r="P53" s="88" t="s">
        <v>63</v>
      </c>
      <c r="Q53" s="444"/>
      <c r="R53" s="153"/>
      <c r="S53" s="88" t="s">
        <v>63</v>
      </c>
      <c r="T53" s="154">
        <f t="shared" si="3"/>
        <v>0</v>
      </c>
      <c r="U53" s="129"/>
      <c r="V53" s="155"/>
      <c r="W53" s="154"/>
      <c r="X53" s="154"/>
      <c r="Y53" s="403"/>
      <c r="Z53" s="403"/>
      <c r="AA53" s="403"/>
      <c r="AB53" s="581"/>
    </row>
    <row r="54" spans="1:28" s="55" customFormat="1" ht="54.95" customHeight="1" x14ac:dyDescent="0.15">
      <c r="A54" s="386" t="s">
        <v>68</v>
      </c>
      <c r="B54" s="87">
        <f>C5</f>
        <v>300</v>
      </c>
      <c r="C54" s="461" t="str">
        <f>A5</f>
        <v>WH</v>
      </c>
      <c r="D54" s="461"/>
      <c r="E54" s="461"/>
      <c r="F54" s="368"/>
      <c r="G54" s="369"/>
      <c r="H54" s="370"/>
      <c r="I54" s="152"/>
      <c r="J54" s="152"/>
      <c r="K54" s="156">
        <v>1</v>
      </c>
      <c r="L54" s="77" t="s">
        <v>63</v>
      </c>
      <c r="M54" s="88">
        <f t="shared" si="4"/>
        <v>300</v>
      </c>
      <c r="N54" s="89"/>
      <c r="O54" s="153"/>
      <c r="P54" s="88" t="s">
        <v>63</v>
      </c>
      <c r="Q54" s="443">
        <v>45959</v>
      </c>
      <c r="R54" s="153">
        <v>300</v>
      </c>
      <c r="S54" s="88" t="s">
        <v>63</v>
      </c>
      <c r="T54" s="154">
        <f t="shared" si="3"/>
        <v>0</v>
      </c>
      <c r="U54" s="157"/>
      <c r="V54" s="158"/>
      <c r="W54" s="154"/>
      <c r="X54" s="154"/>
      <c r="Y54" s="582" t="s">
        <v>72</v>
      </c>
      <c r="Z54" s="582"/>
      <c r="AA54" s="582"/>
      <c r="AB54" s="579" t="s">
        <v>188</v>
      </c>
    </row>
    <row r="55" spans="1:28" s="55" customFormat="1" ht="54.95" customHeight="1" x14ac:dyDescent="0.15">
      <c r="A55" s="387"/>
      <c r="B55" s="87">
        <f>D5</f>
        <v>250</v>
      </c>
      <c r="C55" s="461"/>
      <c r="D55" s="461"/>
      <c r="E55" s="461"/>
      <c r="F55" s="368"/>
      <c r="G55" s="369"/>
      <c r="H55" s="370"/>
      <c r="I55" s="152"/>
      <c r="J55" s="152"/>
      <c r="K55" s="156">
        <v>1</v>
      </c>
      <c r="L55" s="77" t="s">
        <v>63</v>
      </c>
      <c r="M55" s="88">
        <f t="shared" si="4"/>
        <v>250</v>
      </c>
      <c r="N55" s="89"/>
      <c r="O55" s="153"/>
      <c r="P55" s="88" t="s">
        <v>63</v>
      </c>
      <c r="Q55" s="447"/>
      <c r="R55" s="153">
        <v>250</v>
      </c>
      <c r="S55" s="88" t="s">
        <v>63</v>
      </c>
      <c r="T55" s="154">
        <f t="shared" si="3"/>
        <v>0</v>
      </c>
      <c r="U55" s="157"/>
      <c r="V55" s="158"/>
      <c r="W55" s="154"/>
      <c r="X55" s="154"/>
      <c r="Y55" s="582"/>
      <c r="Z55" s="582"/>
      <c r="AA55" s="582"/>
      <c r="AB55" s="580"/>
    </row>
    <row r="56" spans="1:28" s="55" customFormat="1" ht="54.95" customHeight="1" x14ac:dyDescent="0.15">
      <c r="A56" s="387"/>
      <c r="B56" s="87">
        <f>E5</f>
        <v>32</v>
      </c>
      <c r="C56" s="461"/>
      <c r="D56" s="461"/>
      <c r="E56" s="461"/>
      <c r="F56" s="368"/>
      <c r="G56" s="369"/>
      <c r="H56" s="370"/>
      <c r="I56" s="152"/>
      <c r="J56" s="152"/>
      <c r="K56" s="156">
        <v>1</v>
      </c>
      <c r="L56" s="77" t="s">
        <v>63</v>
      </c>
      <c r="M56" s="88">
        <f t="shared" si="4"/>
        <v>32</v>
      </c>
      <c r="N56" s="89"/>
      <c r="O56" s="153"/>
      <c r="P56" s="88" t="s">
        <v>63</v>
      </c>
      <c r="Q56" s="447"/>
      <c r="R56" s="153">
        <v>32</v>
      </c>
      <c r="S56" s="88" t="s">
        <v>63</v>
      </c>
      <c r="T56" s="154">
        <f t="shared" si="3"/>
        <v>0</v>
      </c>
      <c r="U56" s="157"/>
      <c r="V56" s="158"/>
      <c r="W56" s="154"/>
      <c r="X56" s="154"/>
      <c r="Y56" s="582"/>
      <c r="Z56" s="582"/>
      <c r="AA56" s="582"/>
      <c r="AB56" s="580"/>
    </row>
    <row r="57" spans="1:28" s="55" customFormat="1" ht="54.95" customHeight="1" x14ac:dyDescent="0.15">
      <c r="A57" s="387"/>
      <c r="B57" s="87">
        <f>C6</f>
        <v>270</v>
      </c>
      <c r="C57" s="461" t="str">
        <f>A6</f>
        <v>YE</v>
      </c>
      <c r="D57" s="461"/>
      <c r="E57" s="461"/>
      <c r="F57" s="368"/>
      <c r="G57" s="369"/>
      <c r="H57" s="370"/>
      <c r="I57" s="152"/>
      <c r="J57" s="152"/>
      <c r="K57" s="156">
        <v>1</v>
      </c>
      <c r="L57" s="77" t="s">
        <v>63</v>
      </c>
      <c r="M57" s="88">
        <f t="shared" si="4"/>
        <v>270</v>
      </c>
      <c r="N57" s="89"/>
      <c r="O57" s="153"/>
      <c r="P57" s="88" t="s">
        <v>63</v>
      </c>
      <c r="Q57" s="447"/>
      <c r="R57" s="77">
        <v>270</v>
      </c>
      <c r="S57" s="88" t="s">
        <v>63</v>
      </c>
      <c r="T57" s="154">
        <f t="shared" si="3"/>
        <v>0</v>
      </c>
      <c r="U57" s="157"/>
      <c r="V57" s="158"/>
      <c r="W57" s="154"/>
      <c r="X57" s="154"/>
      <c r="Y57" s="582" t="s">
        <v>72</v>
      </c>
      <c r="Z57" s="582"/>
      <c r="AA57" s="582"/>
      <c r="AB57" s="580"/>
    </row>
    <row r="58" spans="1:28" s="55" customFormat="1" ht="54.95" customHeight="1" x14ac:dyDescent="0.15">
      <c r="A58" s="387"/>
      <c r="B58" s="87">
        <f>D6</f>
        <v>230</v>
      </c>
      <c r="C58" s="461"/>
      <c r="D58" s="461"/>
      <c r="E58" s="461"/>
      <c r="F58" s="368"/>
      <c r="G58" s="369"/>
      <c r="H58" s="370"/>
      <c r="I58" s="152"/>
      <c r="J58" s="152"/>
      <c r="K58" s="156">
        <v>1</v>
      </c>
      <c r="L58" s="77" t="s">
        <v>63</v>
      </c>
      <c r="M58" s="88">
        <f t="shared" si="4"/>
        <v>230</v>
      </c>
      <c r="N58" s="89"/>
      <c r="O58" s="153"/>
      <c r="P58" s="88" t="s">
        <v>63</v>
      </c>
      <c r="Q58" s="447"/>
      <c r="R58" s="77">
        <v>230</v>
      </c>
      <c r="S58" s="88" t="s">
        <v>63</v>
      </c>
      <c r="T58" s="154">
        <f t="shared" si="3"/>
        <v>0</v>
      </c>
      <c r="U58" s="157"/>
      <c r="V58" s="158"/>
      <c r="W58" s="154"/>
      <c r="X58" s="154"/>
      <c r="Y58" s="582"/>
      <c r="Z58" s="582"/>
      <c r="AA58" s="582"/>
      <c r="AB58" s="580"/>
    </row>
    <row r="59" spans="1:28" s="55" customFormat="1" ht="54.95" customHeight="1" x14ac:dyDescent="0.15">
      <c r="A59" s="387"/>
      <c r="B59" s="87">
        <f>E6</f>
        <v>32</v>
      </c>
      <c r="C59" s="461"/>
      <c r="D59" s="461"/>
      <c r="E59" s="461"/>
      <c r="F59" s="368"/>
      <c r="G59" s="369"/>
      <c r="H59" s="370"/>
      <c r="I59" s="152"/>
      <c r="J59" s="152"/>
      <c r="K59" s="156">
        <v>1</v>
      </c>
      <c r="L59" s="77" t="s">
        <v>63</v>
      </c>
      <c r="M59" s="88">
        <f t="shared" si="4"/>
        <v>32</v>
      </c>
      <c r="N59" s="89"/>
      <c r="O59" s="153"/>
      <c r="P59" s="88" t="s">
        <v>63</v>
      </c>
      <c r="Q59" s="447"/>
      <c r="R59" s="153">
        <v>32</v>
      </c>
      <c r="S59" s="88" t="s">
        <v>63</v>
      </c>
      <c r="T59" s="154">
        <f>R59-M59</f>
        <v>0</v>
      </c>
      <c r="U59" s="157"/>
      <c r="V59" s="158"/>
      <c r="W59" s="154"/>
      <c r="X59" s="154"/>
      <c r="Y59" s="582"/>
      <c r="Z59" s="582"/>
      <c r="AA59" s="582"/>
      <c r="AB59" s="580"/>
    </row>
    <row r="60" spans="1:28" s="55" customFormat="1" ht="54.95" customHeight="1" x14ac:dyDescent="0.15">
      <c r="A60" s="387"/>
      <c r="B60" s="87">
        <f>C7</f>
        <v>0</v>
      </c>
      <c r="C60" s="392">
        <f>A7</f>
        <v>0</v>
      </c>
      <c r="D60" s="393"/>
      <c r="E60" s="394"/>
      <c r="F60" s="368"/>
      <c r="G60" s="369"/>
      <c r="H60" s="370"/>
      <c r="I60" s="152"/>
      <c r="J60" s="152"/>
      <c r="K60" s="156">
        <v>1</v>
      </c>
      <c r="L60" s="77" t="s">
        <v>63</v>
      </c>
      <c r="M60" s="88">
        <f t="shared" si="4"/>
        <v>0</v>
      </c>
      <c r="N60" s="89"/>
      <c r="O60" s="153"/>
      <c r="P60" s="88" t="s">
        <v>63</v>
      </c>
      <c r="Q60" s="447"/>
      <c r="R60" s="153"/>
      <c r="S60" s="88" t="s">
        <v>63</v>
      </c>
      <c r="T60" s="154">
        <f>R60-M60</f>
        <v>0</v>
      </c>
      <c r="U60" s="157"/>
      <c r="V60" s="158"/>
      <c r="W60" s="154"/>
      <c r="X60" s="154"/>
      <c r="Y60" s="582" t="s">
        <v>72</v>
      </c>
      <c r="Z60" s="582"/>
      <c r="AA60" s="582"/>
      <c r="AB60" s="580"/>
    </row>
    <row r="61" spans="1:28" s="55" customFormat="1" ht="54.95" customHeight="1" x14ac:dyDescent="0.15">
      <c r="A61" s="387"/>
      <c r="B61" s="87">
        <f>D7</f>
        <v>0</v>
      </c>
      <c r="C61" s="392"/>
      <c r="D61" s="393"/>
      <c r="E61" s="394"/>
      <c r="F61" s="368"/>
      <c r="G61" s="369"/>
      <c r="H61" s="370"/>
      <c r="I61" s="152"/>
      <c r="J61" s="152"/>
      <c r="K61" s="156">
        <v>1</v>
      </c>
      <c r="L61" s="77" t="s">
        <v>63</v>
      </c>
      <c r="M61" s="88">
        <f t="shared" si="4"/>
        <v>0</v>
      </c>
      <c r="N61" s="89"/>
      <c r="O61" s="153"/>
      <c r="P61" s="88" t="s">
        <v>63</v>
      </c>
      <c r="Q61" s="447"/>
      <c r="R61" s="153"/>
      <c r="S61" s="88" t="s">
        <v>63</v>
      </c>
      <c r="T61" s="154">
        <f>R61-M61</f>
        <v>0</v>
      </c>
      <c r="U61" s="157"/>
      <c r="V61" s="158"/>
      <c r="W61" s="154"/>
      <c r="X61" s="154"/>
      <c r="Y61" s="582"/>
      <c r="Z61" s="582"/>
      <c r="AA61" s="582"/>
      <c r="AB61" s="580"/>
    </row>
    <row r="62" spans="1:28" s="55" customFormat="1" ht="54.95" customHeight="1" x14ac:dyDescent="0.15">
      <c r="A62" s="387"/>
      <c r="B62" s="87">
        <f>E7</f>
        <v>0</v>
      </c>
      <c r="C62" s="392"/>
      <c r="D62" s="393"/>
      <c r="E62" s="394"/>
      <c r="F62" s="368"/>
      <c r="G62" s="369"/>
      <c r="H62" s="370"/>
      <c r="I62" s="152"/>
      <c r="J62" s="152"/>
      <c r="K62" s="156">
        <v>1</v>
      </c>
      <c r="L62" s="77" t="s">
        <v>63</v>
      </c>
      <c r="M62" s="88">
        <f t="shared" si="4"/>
        <v>0</v>
      </c>
      <c r="N62" s="89"/>
      <c r="O62" s="153"/>
      <c r="P62" s="88" t="s">
        <v>63</v>
      </c>
      <c r="Q62" s="444"/>
      <c r="R62" s="77"/>
      <c r="S62" s="88" t="s">
        <v>63</v>
      </c>
      <c r="T62" s="154">
        <f>R62-M62</f>
        <v>0</v>
      </c>
      <c r="U62" s="157"/>
      <c r="V62" s="158"/>
      <c r="W62" s="154"/>
      <c r="X62" s="154"/>
      <c r="Y62" s="582"/>
      <c r="Z62" s="582"/>
      <c r="AA62" s="582"/>
      <c r="AB62" s="581"/>
    </row>
    <row r="63" spans="1:28" s="55" customFormat="1" ht="54.95" customHeight="1" x14ac:dyDescent="0.15">
      <c r="A63" s="386" t="s">
        <v>69</v>
      </c>
      <c r="B63" s="87">
        <f>C5</f>
        <v>300</v>
      </c>
      <c r="C63" s="461" t="str">
        <f>A5</f>
        <v>WH</v>
      </c>
      <c r="D63" s="461"/>
      <c r="E63" s="461"/>
      <c r="F63" s="368"/>
      <c r="G63" s="369"/>
      <c r="H63" s="370"/>
      <c r="I63" s="152"/>
      <c r="J63" s="152"/>
      <c r="K63" s="156">
        <v>1</v>
      </c>
      <c r="L63" s="77" t="s">
        <v>63</v>
      </c>
      <c r="M63" s="88">
        <f t="shared" si="4"/>
        <v>300</v>
      </c>
      <c r="N63" s="89"/>
      <c r="O63" s="153"/>
      <c r="P63" s="88" t="s">
        <v>63</v>
      </c>
      <c r="Q63" s="443">
        <v>45977</v>
      </c>
      <c r="R63" s="153">
        <v>300</v>
      </c>
      <c r="S63" s="88" t="s">
        <v>63</v>
      </c>
      <c r="T63" s="154">
        <f t="shared" si="3"/>
        <v>0</v>
      </c>
      <c r="U63" s="583"/>
      <c r="V63" s="158"/>
      <c r="W63" s="154"/>
      <c r="X63" s="154"/>
      <c r="Y63" s="401" t="s">
        <v>67</v>
      </c>
      <c r="Z63" s="401"/>
      <c r="AA63" s="401"/>
      <c r="AB63" s="579" t="s">
        <v>193</v>
      </c>
    </row>
    <row r="64" spans="1:28" s="55" customFormat="1" ht="54.95" customHeight="1" x14ac:dyDescent="0.15">
      <c r="A64" s="387"/>
      <c r="B64" s="87">
        <f>D5</f>
        <v>250</v>
      </c>
      <c r="C64" s="461"/>
      <c r="D64" s="461"/>
      <c r="E64" s="461"/>
      <c r="F64" s="368"/>
      <c r="G64" s="369"/>
      <c r="H64" s="370"/>
      <c r="I64" s="152"/>
      <c r="J64" s="152"/>
      <c r="K64" s="156">
        <v>1</v>
      </c>
      <c r="L64" s="77" t="s">
        <v>63</v>
      </c>
      <c r="M64" s="88">
        <f t="shared" si="4"/>
        <v>250</v>
      </c>
      <c r="N64" s="89"/>
      <c r="O64" s="153"/>
      <c r="P64" s="88" t="s">
        <v>63</v>
      </c>
      <c r="Q64" s="447"/>
      <c r="R64" s="153">
        <v>250</v>
      </c>
      <c r="S64" s="88" t="s">
        <v>63</v>
      </c>
      <c r="T64" s="154">
        <f t="shared" si="3"/>
        <v>0</v>
      </c>
      <c r="U64" s="584"/>
      <c r="V64" s="158"/>
      <c r="W64" s="154"/>
      <c r="X64" s="154"/>
      <c r="Y64" s="402"/>
      <c r="Z64" s="402"/>
      <c r="AA64" s="402"/>
      <c r="AB64" s="580"/>
    </row>
    <row r="65" spans="1:28" s="55" customFormat="1" ht="54.95" customHeight="1" x14ac:dyDescent="0.15">
      <c r="A65" s="387"/>
      <c r="B65" s="87">
        <f>E5</f>
        <v>32</v>
      </c>
      <c r="C65" s="461"/>
      <c r="D65" s="461"/>
      <c r="E65" s="461"/>
      <c r="F65" s="368"/>
      <c r="G65" s="369"/>
      <c r="H65" s="370"/>
      <c r="I65" s="152"/>
      <c r="J65" s="152"/>
      <c r="K65" s="156">
        <v>1</v>
      </c>
      <c r="L65" s="77" t="s">
        <v>63</v>
      </c>
      <c r="M65" s="88">
        <f t="shared" si="4"/>
        <v>32</v>
      </c>
      <c r="N65" s="89"/>
      <c r="O65" s="153"/>
      <c r="P65" s="88" t="s">
        <v>63</v>
      </c>
      <c r="Q65" s="447"/>
      <c r="R65" s="153">
        <v>32</v>
      </c>
      <c r="S65" s="88" t="s">
        <v>63</v>
      </c>
      <c r="T65" s="154">
        <f t="shared" si="3"/>
        <v>0</v>
      </c>
      <c r="U65" s="584"/>
      <c r="V65" s="158"/>
      <c r="W65" s="154"/>
      <c r="X65" s="154"/>
      <c r="Y65" s="402"/>
      <c r="Z65" s="402"/>
      <c r="AA65" s="402"/>
      <c r="AB65" s="580"/>
    </row>
    <row r="66" spans="1:28" s="55" customFormat="1" ht="54.95" customHeight="1" x14ac:dyDescent="0.15">
      <c r="A66" s="387"/>
      <c r="B66" s="87">
        <f>C6</f>
        <v>270</v>
      </c>
      <c r="C66" s="461" t="str">
        <f>A6</f>
        <v>YE</v>
      </c>
      <c r="D66" s="461"/>
      <c r="E66" s="461"/>
      <c r="F66" s="368"/>
      <c r="G66" s="369"/>
      <c r="H66" s="370"/>
      <c r="I66" s="152"/>
      <c r="J66" s="152"/>
      <c r="K66" s="156">
        <v>1</v>
      </c>
      <c r="L66" s="77" t="s">
        <v>63</v>
      </c>
      <c r="M66" s="88">
        <f t="shared" si="4"/>
        <v>270</v>
      </c>
      <c r="N66" s="89"/>
      <c r="O66" s="153"/>
      <c r="P66" s="88" t="s">
        <v>63</v>
      </c>
      <c r="Q66" s="447"/>
      <c r="R66" s="77">
        <v>270</v>
      </c>
      <c r="S66" s="88" t="s">
        <v>63</v>
      </c>
      <c r="T66" s="154">
        <f t="shared" si="3"/>
        <v>0</v>
      </c>
      <c r="U66" s="584"/>
      <c r="V66" s="158"/>
      <c r="W66" s="154"/>
      <c r="X66" s="154"/>
      <c r="Y66" s="402"/>
      <c r="Z66" s="401"/>
      <c r="AA66" s="401"/>
      <c r="AB66" s="580"/>
    </row>
    <row r="67" spans="1:28" s="55" customFormat="1" ht="54.95" customHeight="1" x14ac:dyDescent="0.15">
      <c r="A67" s="387"/>
      <c r="B67" s="87">
        <f>D6</f>
        <v>230</v>
      </c>
      <c r="C67" s="461"/>
      <c r="D67" s="461"/>
      <c r="E67" s="461"/>
      <c r="F67" s="368"/>
      <c r="G67" s="369"/>
      <c r="H67" s="370"/>
      <c r="I67" s="152"/>
      <c r="J67" s="152"/>
      <c r="K67" s="156">
        <v>1</v>
      </c>
      <c r="L67" s="77" t="s">
        <v>63</v>
      </c>
      <c r="M67" s="88">
        <f t="shared" si="4"/>
        <v>230</v>
      </c>
      <c r="N67" s="89"/>
      <c r="O67" s="153"/>
      <c r="P67" s="88" t="s">
        <v>63</v>
      </c>
      <c r="Q67" s="447"/>
      <c r="R67" s="77">
        <v>230</v>
      </c>
      <c r="S67" s="88" t="s">
        <v>63</v>
      </c>
      <c r="T67" s="154">
        <f t="shared" si="3"/>
        <v>0</v>
      </c>
      <c r="U67" s="585"/>
      <c r="V67" s="158"/>
      <c r="W67" s="154"/>
      <c r="X67" s="154"/>
      <c r="Y67" s="402"/>
      <c r="Z67" s="402"/>
      <c r="AA67" s="402"/>
      <c r="AB67" s="580"/>
    </row>
    <row r="68" spans="1:28" s="55" customFormat="1" ht="54.95" customHeight="1" x14ac:dyDescent="0.15">
      <c r="A68" s="387"/>
      <c r="B68" s="87">
        <f>E6</f>
        <v>32</v>
      </c>
      <c r="C68" s="461"/>
      <c r="D68" s="461"/>
      <c r="E68" s="461"/>
      <c r="F68" s="368"/>
      <c r="G68" s="369"/>
      <c r="H68" s="370"/>
      <c r="I68" s="152"/>
      <c r="J68" s="152"/>
      <c r="K68" s="156">
        <v>1</v>
      </c>
      <c r="L68" s="77" t="s">
        <v>63</v>
      </c>
      <c r="M68" s="88">
        <f t="shared" si="4"/>
        <v>32</v>
      </c>
      <c r="N68" s="89"/>
      <c r="O68" s="153"/>
      <c r="P68" s="88" t="s">
        <v>63</v>
      </c>
      <c r="Q68" s="447"/>
      <c r="R68" s="153">
        <v>32</v>
      </c>
      <c r="S68" s="88" t="s">
        <v>63</v>
      </c>
      <c r="T68" s="154">
        <f t="shared" si="3"/>
        <v>0</v>
      </c>
      <c r="U68" s="157"/>
      <c r="V68" s="158"/>
      <c r="W68" s="154"/>
      <c r="X68" s="154"/>
      <c r="Y68" s="402"/>
      <c r="Z68" s="402"/>
      <c r="AA68" s="402"/>
      <c r="AB68" s="580"/>
    </row>
    <row r="69" spans="1:28" s="55" customFormat="1" ht="54.95" customHeight="1" x14ac:dyDescent="0.15">
      <c r="A69" s="387"/>
      <c r="B69" s="87">
        <f>C7</f>
        <v>0</v>
      </c>
      <c r="C69" s="461">
        <f>A7</f>
        <v>0</v>
      </c>
      <c r="D69" s="461"/>
      <c r="E69" s="461"/>
      <c r="F69" s="368"/>
      <c r="G69" s="369"/>
      <c r="H69" s="370"/>
      <c r="I69" s="152"/>
      <c r="J69" s="152"/>
      <c r="K69" s="156">
        <v>1</v>
      </c>
      <c r="L69" s="77" t="s">
        <v>63</v>
      </c>
      <c r="M69" s="88">
        <f t="shared" si="4"/>
        <v>0</v>
      </c>
      <c r="N69" s="89"/>
      <c r="O69" s="153"/>
      <c r="P69" s="88" t="s">
        <v>63</v>
      </c>
      <c r="Q69" s="447"/>
      <c r="R69" s="153"/>
      <c r="S69" s="88" t="s">
        <v>63</v>
      </c>
      <c r="T69" s="154">
        <f t="shared" si="3"/>
        <v>0</v>
      </c>
      <c r="U69" s="157"/>
      <c r="V69" s="158"/>
      <c r="W69" s="154"/>
      <c r="X69" s="154"/>
      <c r="Y69" s="402"/>
      <c r="Z69" s="401"/>
      <c r="AA69" s="401"/>
      <c r="AB69" s="580"/>
    </row>
    <row r="70" spans="1:28" s="55" customFormat="1" ht="54.95" customHeight="1" x14ac:dyDescent="0.15">
      <c r="A70" s="387"/>
      <c r="B70" s="87">
        <f>D7</f>
        <v>0</v>
      </c>
      <c r="C70" s="461"/>
      <c r="D70" s="461"/>
      <c r="E70" s="461"/>
      <c r="F70" s="368"/>
      <c r="G70" s="369"/>
      <c r="H70" s="370"/>
      <c r="I70" s="152"/>
      <c r="J70" s="152"/>
      <c r="K70" s="156">
        <v>1</v>
      </c>
      <c r="L70" s="77" t="s">
        <v>63</v>
      </c>
      <c r="M70" s="88">
        <f t="shared" si="4"/>
        <v>0</v>
      </c>
      <c r="N70" s="89"/>
      <c r="O70" s="153"/>
      <c r="P70" s="88" t="s">
        <v>63</v>
      </c>
      <c r="Q70" s="447"/>
      <c r="R70" s="153"/>
      <c r="S70" s="88" t="s">
        <v>63</v>
      </c>
      <c r="T70" s="154">
        <f t="shared" si="3"/>
        <v>0</v>
      </c>
      <c r="U70" s="157"/>
      <c r="V70" s="158"/>
      <c r="W70" s="154"/>
      <c r="X70" s="154"/>
      <c r="Y70" s="402"/>
      <c r="Z70" s="402"/>
      <c r="AA70" s="402"/>
      <c r="AB70" s="580"/>
    </row>
    <row r="71" spans="1:28" s="55" customFormat="1" ht="54.95" customHeight="1" x14ac:dyDescent="0.15">
      <c r="A71" s="387"/>
      <c r="B71" s="87">
        <f>E7</f>
        <v>0</v>
      </c>
      <c r="C71" s="461"/>
      <c r="D71" s="461"/>
      <c r="E71" s="461"/>
      <c r="F71" s="368"/>
      <c r="G71" s="369"/>
      <c r="H71" s="370"/>
      <c r="I71" s="152"/>
      <c r="J71" s="152"/>
      <c r="K71" s="156">
        <v>1</v>
      </c>
      <c r="L71" s="77" t="s">
        <v>63</v>
      </c>
      <c r="M71" s="88">
        <f t="shared" si="4"/>
        <v>0</v>
      </c>
      <c r="N71" s="89"/>
      <c r="O71" s="153"/>
      <c r="P71" s="88" t="s">
        <v>63</v>
      </c>
      <c r="Q71" s="444"/>
      <c r="R71" s="77"/>
      <c r="S71" s="88" t="s">
        <v>63</v>
      </c>
      <c r="T71" s="154">
        <f t="shared" si="3"/>
        <v>0</v>
      </c>
      <c r="U71" s="157"/>
      <c r="V71" s="158"/>
      <c r="W71" s="154"/>
      <c r="X71" s="154"/>
      <c r="Y71" s="403"/>
      <c r="Z71" s="402"/>
      <c r="AA71" s="403"/>
      <c r="AB71" s="581"/>
    </row>
    <row r="72" spans="1:28" s="55" customFormat="1" ht="54.95" customHeight="1" x14ac:dyDescent="0.15">
      <c r="A72" s="386" t="s">
        <v>70</v>
      </c>
      <c r="B72" s="87">
        <f>C11</f>
        <v>570</v>
      </c>
      <c r="C72" s="389" t="s">
        <v>71</v>
      </c>
      <c r="D72" s="390"/>
      <c r="E72" s="391"/>
      <c r="F72" s="368"/>
      <c r="G72" s="369"/>
      <c r="H72" s="370"/>
      <c r="I72" s="152"/>
      <c r="J72" s="90"/>
      <c r="K72" s="156">
        <v>1</v>
      </c>
      <c r="L72" s="77" t="s">
        <v>63</v>
      </c>
      <c r="M72" s="88">
        <f t="shared" si="4"/>
        <v>570</v>
      </c>
      <c r="N72" s="89"/>
      <c r="O72" s="153"/>
      <c r="P72" s="88" t="s">
        <v>63</v>
      </c>
      <c r="Q72" s="443">
        <v>45959</v>
      </c>
      <c r="R72" s="93">
        <v>570</v>
      </c>
      <c r="S72" s="88" t="s">
        <v>63</v>
      </c>
      <c r="T72" s="154">
        <f t="shared" si="3"/>
        <v>0</v>
      </c>
      <c r="U72" s="91"/>
      <c r="V72" s="159"/>
      <c r="W72" s="159"/>
      <c r="X72" s="159"/>
      <c r="Y72" s="401" t="s">
        <v>94</v>
      </c>
      <c r="Z72" s="416"/>
      <c r="AA72" s="416"/>
      <c r="AB72" s="419" t="s">
        <v>188</v>
      </c>
    </row>
    <row r="73" spans="1:28" s="55" customFormat="1" ht="54.95" customHeight="1" x14ac:dyDescent="0.15">
      <c r="A73" s="387"/>
      <c r="B73" s="87">
        <f>D11</f>
        <v>480</v>
      </c>
      <c r="C73" s="392"/>
      <c r="D73" s="393"/>
      <c r="E73" s="394"/>
      <c r="F73" s="368"/>
      <c r="G73" s="369"/>
      <c r="H73" s="370"/>
      <c r="I73" s="152"/>
      <c r="J73" s="90"/>
      <c r="K73" s="156">
        <v>1</v>
      </c>
      <c r="L73" s="77" t="s">
        <v>63</v>
      </c>
      <c r="M73" s="88">
        <f t="shared" si="4"/>
        <v>480</v>
      </c>
      <c r="N73" s="89"/>
      <c r="O73" s="153"/>
      <c r="P73" s="88" t="s">
        <v>63</v>
      </c>
      <c r="Q73" s="447"/>
      <c r="R73" s="93">
        <v>480</v>
      </c>
      <c r="S73" s="88" t="s">
        <v>63</v>
      </c>
      <c r="T73" s="154">
        <f t="shared" si="3"/>
        <v>0</v>
      </c>
      <c r="U73" s="91"/>
      <c r="V73" s="159"/>
      <c r="W73" s="159"/>
      <c r="X73" s="159"/>
      <c r="Y73" s="402"/>
      <c r="Z73" s="417"/>
      <c r="AA73" s="417"/>
      <c r="AB73" s="420"/>
    </row>
    <row r="74" spans="1:28" s="55" customFormat="1" ht="54.95" customHeight="1" x14ac:dyDescent="0.15">
      <c r="A74" s="387"/>
      <c r="B74" s="87">
        <f>E11</f>
        <v>64</v>
      </c>
      <c r="C74" s="392"/>
      <c r="D74" s="393"/>
      <c r="E74" s="394"/>
      <c r="F74" s="368"/>
      <c r="G74" s="369"/>
      <c r="H74" s="370"/>
      <c r="I74" s="152"/>
      <c r="J74" s="90"/>
      <c r="K74" s="156">
        <v>1</v>
      </c>
      <c r="L74" s="77" t="s">
        <v>63</v>
      </c>
      <c r="M74" s="88">
        <f t="shared" si="4"/>
        <v>64</v>
      </c>
      <c r="N74" s="89"/>
      <c r="O74" s="153"/>
      <c r="P74" s="88" t="s">
        <v>63</v>
      </c>
      <c r="Q74" s="447"/>
      <c r="R74" s="93">
        <v>64</v>
      </c>
      <c r="S74" s="88" t="s">
        <v>63</v>
      </c>
      <c r="T74" s="154">
        <f t="shared" si="3"/>
        <v>0</v>
      </c>
      <c r="U74" s="91"/>
      <c r="V74" s="159"/>
      <c r="W74" s="159"/>
      <c r="X74" s="159"/>
      <c r="Y74" s="402"/>
      <c r="Z74" s="417"/>
      <c r="AA74" s="417"/>
      <c r="AB74" s="420"/>
    </row>
    <row r="75" spans="1:28" s="55" customFormat="1" ht="54.95" customHeight="1" x14ac:dyDescent="0.15">
      <c r="A75" s="388"/>
      <c r="B75" s="87">
        <f>F11</f>
        <v>0</v>
      </c>
      <c r="C75" s="395"/>
      <c r="D75" s="396"/>
      <c r="E75" s="397"/>
      <c r="F75" s="368"/>
      <c r="G75" s="369"/>
      <c r="H75" s="370"/>
      <c r="I75" s="152"/>
      <c r="J75" s="90"/>
      <c r="K75" s="156"/>
      <c r="L75" s="77" t="s">
        <v>63</v>
      </c>
      <c r="M75" s="88">
        <f t="shared" si="4"/>
        <v>0</v>
      </c>
      <c r="N75" s="89"/>
      <c r="O75" s="153"/>
      <c r="P75" s="88" t="s">
        <v>63</v>
      </c>
      <c r="Q75" s="444"/>
      <c r="R75" s="162"/>
      <c r="S75" s="88" t="s">
        <v>63</v>
      </c>
      <c r="T75" s="154">
        <f t="shared" si="3"/>
        <v>0</v>
      </c>
      <c r="U75" s="91"/>
      <c r="V75" s="159"/>
      <c r="W75" s="159"/>
      <c r="X75" s="159"/>
      <c r="Y75" s="403"/>
      <c r="Z75" s="418"/>
      <c r="AA75" s="418"/>
      <c r="AB75" s="421"/>
    </row>
    <row r="76" spans="1:28" s="176" customFormat="1" ht="54.95" customHeight="1" x14ac:dyDescent="0.15">
      <c r="A76" s="92" t="s">
        <v>73</v>
      </c>
      <c r="B76" s="164">
        <f>I11</f>
        <v>1114</v>
      </c>
      <c r="C76" s="371" t="s">
        <v>71</v>
      </c>
      <c r="D76" s="372"/>
      <c r="E76" s="373"/>
      <c r="F76" s="371"/>
      <c r="G76" s="372"/>
      <c r="H76" s="373"/>
      <c r="I76" s="165"/>
      <c r="J76" s="166"/>
      <c r="K76" s="167">
        <v>1</v>
      </c>
      <c r="L76" s="168" t="s">
        <v>63</v>
      </c>
      <c r="M76" s="88">
        <f t="shared" si="4"/>
        <v>1114</v>
      </c>
      <c r="N76" s="170"/>
      <c r="O76" s="170"/>
      <c r="P76" s="169" t="s">
        <v>63</v>
      </c>
      <c r="Q76" s="363">
        <v>45959</v>
      </c>
      <c r="R76" s="165">
        <v>1114</v>
      </c>
      <c r="S76" s="169" t="s">
        <v>63</v>
      </c>
      <c r="T76" s="154">
        <f t="shared" si="3"/>
        <v>0</v>
      </c>
      <c r="U76" s="170"/>
      <c r="V76" s="172"/>
      <c r="W76" s="172"/>
      <c r="X76" s="172"/>
      <c r="Y76" s="173" t="s">
        <v>72</v>
      </c>
      <c r="Z76" s="174"/>
      <c r="AA76" s="175"/>
      <c r="AB76" s="586" t="s">
        <v>188</v>
      </c>
    </row>
    <row r="77" spans="1:28" s="55" customFormat="1" ht="54.95" customHeight="1" x14ac:dyDescent="0.15">
      <c r="A77" s="92" t="s">
        <v>81</v>
      </c>
      <c r="B77" s="87">
        <f>I11</f>
        <v>1114</v>
      </c>
      <c r="C77" s="368" t="s">
        <v>71</v>
      </c>
      <c r="D77" s="369"/>
      <c r="E77" s="370"/>
      <c r="F77" s="368"/>
      <c r="G77" s="369"/>
      <c r="H77" s="370"/>
      <c r="I77" s="93"/>
      <c r="J77" s="90"/>
      <c r="K77" s="156">
        <v>1</v>
      </c>
      <c r="L77" s="77" t="s">
        <v>63</v>
      </c>
      <c r="M77" s="88">
        <f>K77*B77</f>
        <v>1114</v>
      </c>
      <c r="N77" s="91"/>
      <c r="O77" s="91"/>
      <c r="P77" s="169" t="s">
        <v>63</v>
      </c>
      <c r="Q77" s="364"/>
      <c r="R77" s="165">
        <v>1114</v>
      </c>
      <c r="S77" s="169" t="s">
        <v>63</v>
      </c>
      <c r="T77" s="154">
        <f t="shared" si="3"/>
        <v>0</v>
      </c>
      <c r="U77" s="91"/>
      <c r="V77" s="91"/>
      <c r="W77" s="91"/>
      <c r="X77" s="91"/>
      <c r="Y77" s="160" t="s">
        <v>72</v>
      </c>
      <c r="Z77" s="94"/>
      <c r="AA77" s="95"/>
      <c r="AB77" s="587"/>
    </row>
    <row r="78" spans="1:28" s="55" customFormat="1" ht="54.95" customHeight="1" x14ac:dyDescent="0.15">
      <c r="A78" s="96" t="s">
        <v>74</v>
      </c>
      <c r="B78" s="87">
        <f>I11</f>
        <v>1114</v>
      </c>
      <c r="C78" s="368" t="s">
        <v>71</v>
      </c>
      <c r="D78" s="369"/>
      <c r="E78" s="370"/>
      <c r="F78" s="368"/>
      <c r="G78" s="369"/>
      <c r="H78" s="370"/>
      <c r="I78" s="93"/>
      <c r="J78" s="93"/>
      <c r="K78" s="156">
        <v>1</v>
      </c>
      <c r="L78" s="77" t="s">
        <v>63</v>
      </c>
      <c r="M78" s="88">
        <f t="shared" si="4"/>
        <v>1114</v>
      </c>
      <c r="N78" s="91"/>
      <c r="O78" s="91"/>
      <c r="P78" s="89" t="s">
        <v>63</v>
      </c>
      <c r="Q78" s="365"/>
      <c r="R78" s="93">
        <v>1150</v>
      </c>
      <c r="S78" s="89" t="s">
        <v>63</v>
      </c>
      <c r="T78" s="154">
        <f t="shared" si="3"/>
        <v>36</v>
      </c>
      <c r="U78" s="91"/>
      <c r="V78" s="91"/>
      <c r="W78" s="91"/>
      <c r="X78" s="91"/>
      <c r="Y78" s="160" t="s">
        <v>72</v>
      </c>
      <c r="Z78" s="97"/>
      <c r="AA78" s="98"/>
      <c r="AB78" s="588"/>
    </row>
    <row r="79" spans="1:28" x14ac:dyDescent="0.15">
      <c r="A79" s="177"/>
      <c r="B79" s="366"/>
      <c r="C79" s="366"/>
      <c r="D79" s="177"/>
      <c r="E79" s="177"/>
      <c r="F79" s="100"/>
      <c r="G79" s="100"/>
      <c r="H79" s="100"/>
      <c r="I79" s="177"/>
      <c r="J79" s="177"/>
      <c r="K79" s="101"/>
      <c r="L79" s="102"/>
      <c r="M79" s="103"/>
      <c r="N79" s="104"/>
      <c r="O79" s="104"/>
      <c r="P79" s="177"/>
      <c r="Q79" s="105"/>
      <c r="R79" s="105"/>
      <c r="S79" s="106"/>
      <c r="T79" s="107"/>
      <c r="U79" s="108"/>
      <c r="V79" s="108"/>
      <c r="W79" s="109"/>
      <c r="X79" s="107"/>
      <c r="Y79" s="110"/>
      <c r="Z79" s="111"/>
      <c r="AA79" s="111"/>
    </row>
    <row r="80" spans="1:28" x14ac:dyDescent="0.15">
      <c r="A80" s="177"/>
      <c r="B80" s="366"/>
      <c r="C80" s="366"/>
      <c r="D80" s="177"/>
      <c r="E80" s="177"/>
      <c r="F80" s="367"/>
      <c r="G80" s="367"/>
      <c r="H80" s="367"/>
      <c r="I80" s="177"/>
      <c r="J80" s="177"/>
      <c r="K80" s="101"/>
      <c r="L80" s="102"/>
      <c r="M80" s="103"/>
      <c r="N80" s="104"/>
      <c r="O80" s="104"/>
      <c r="P80" s="177"/>
      <c r="Q80" s="105"/>
      <c r="R80" s="105"/>
      <c r="S80" s="106"/>
      <c r="T80" s="107"/>
      <c r="U80" s="108"/>
      <c r="V80" s="108"/>
      <c r="W80" s="109"/>
      <c r="X80" s="107"/>
      <c r="Y80" s="112"/>
      <c r="Z80" s="111"/>
      <c r="AA80" s="111"/>
    </row>
    <row r="81" spans="1:29" x14ac:dyDescent="0.15">
      <c r="J81" s="177"/>
    </row>
    <row r="82" spans="1:29" x14ac:dyDescent="0.15">
      <c r="J82" s="177"/>
    </row>
    <row r="89" spans="1:29" s="114" customFormat="1" x14ac:dyDescent="0.15">
      <c r="A89" s="1"/>
      <c r="B89" s="113"/>
      <c r="C89" s="1"/>
      <c r="D89" s="1"/>
      <c r="E89" s="1"/>
      <c r="F89" s="1"/>
      <c r="G89" s="1"/>
      <c r="H89" s="1"/>
      <c r="I89" s="1"/>
      <c r="J89" s="1"/>
      <c r="L89" s="115"/>
      <c r="M89" s="116"/>
      <c r="N89" s="117"/>
      <c r="O89" s="117"/>
      <c r="P89" s="1"/>
      <c r="Q89" s="118"/>
      <c r="R89" s="118"/>
      <c r="S89" s="115"/>
      <c r="T89" s="119"/>
      <c r="U89" s="1"/>
      <c r="V89" s="1"/>
      <c r="W89" s="120"/>
      <c r="X89" s="121"/>
      <c r="Y89" s="1"/>
      <c r="Z89" s="1"/>
      <c r="AA89" s="1"/>
      <c r="AB89" s="1"/>
      <c r="AC89" s="1"/>
    </row>
    <row r="90" spans="1:29" s="114" customFormat="1" x14ac:dyDescent="0.15">
      <c r="A90" s="1"/>
      <c r="B90" s="113"/>
      <c r="C90" s="1"/>
      <c r="D90" s="1"/>
      <c r="E90" s="1"/>
      <c r="F90" s="1"/>
      <c r="G90" s="1"/>
      <c r="H90" s="1"/>
      <c r="I90" s="1"/>
      <c r="J90" s="1"/>
      <c r="L90" s="115"/>
      <c r="M90" s="116"/>
      <c r="N90" s="117"/>
      <c r="O90" s="117"/>
      <c r="P90" s="1"/>
      <c r="Q90" s="118"/>
      <c r="R90" s="118"/>
      <c r="S90" s="115"/>
      <c r="T90" s="119"/>
      <c r="U90" s="1"/>
      <c r="V90" s="1"/>
      <c r="W90" s="120"/>
      <c r="X90" s="121"/>
      <c r="Y90" s="1"/>
      <c r="Z90" s="1"/>
      <c r="AA90" s="1"/>
      <c r="AB90" s="1"/>
      <c r="AC90" s="1"/>
    </row>
  </sheetData>
  <mergeCells count="289">
    <mergeCell ref="AC40:AF40"/>
    <mergeCell ref="A39:A40"/>
    <mergeCell ref="C39:E39"/>
    <mergeCell ref="F39:H39"/>
    <mergeCell ref="I39:I40"/>
    <mergeCell ref="Y39:Y40"/>
    <mergeCell ref="C40:E40"/>
    <mergeCell ref="F40:H40"/>
    <mergeCell ref="Q35:Q40"/>
    <mergeCell ref="AB35:AB40"/>
    <mergeCell ref="A37:A38"/>
    <mergeCell ref="C37:E37"/>
    <mergeCell ref="F37:H37"/>
    <mergeCell ref="I37:I38"/>
    <mergeCell ref="Y37:Y38"/>
    <mergeCell ref="C38:E38"/>
    <mergeCell ref="F38:H38"/>
    <mergeCell ref="AC38:AF38"/>
    <mergeCell ref="F77:H77"/>
    <mergeCell ref="C78:E78"/>
    <mergeCell ref="F78:H78"/>
    <mergeCell ref="B79:C79"/>
    <mergeCell ref="B80:C80"/>
    <mergeCell ref="F80:H80"/>
    <mergeCell ref="AA72:AA75"/>
    <mergeCell ref="AB72:AB75"/>
    <mergeCell ref="F73:H73"/>
    <mergeCell ref="F74:H74"/>
    <mergeCell ref="F75:H75"/>
    <mergeCell ref="C76:E76"/>
    <mergeCell ref="F76:H76"/>
    <mergeCell ref="Q76:Q78"/>
    <mergeCell ref="AB76:AB78"/>
    <mergeCell ref="C77:E77"/>
    <mergeCell ref="AB63:AB71"/>
    <mergeCell ref="F64:H64"/>
    <mergeCell ref="F65:H65"/>
    <mergeCell ref="C66:E68"/>
    <mergeCell ref="F66:H66"/>
    <mergeCell ref="Z66:Z68"/>
    <mergeCell ref="AA66:AA68"/>
    <mergeCell ref="F67:H67"/>
    <mergeCell ref="A72:A75"/>
    <mergeCell ref="C72:E75"/>
    <mergeCell ref="F72:H72"/>
    <mergeCell ref="Q72:Q75"/>
    <mergeCell ref="Y72:Y75"/>
    <mergeCell ref="Z72:Z75"/>
    <mergeCell ref="F68:H68"/>
    <mergeCell ref="C69:E71"/>
    <mergeCell ref="F69:H69"/>
    <mergeCell ref="Z69:Z71"/>
    <mergeCell ref="F60:H60"/>
    <mergeCell ref="Y60:Y62"/>
    <mergeCell ref="Z60:Z62"/>
    <mergeCell ref="AA60:AA62"/>
    <mergeCell ref="F61:H61"/>
    <mergeCell ref="F62:H62"/>
    <mergeCell ref="A63:A71"/>
    <mergeCell ref="C63:E65"/>
    <mergeCell ref="F63:H63"/>
    <mergeCell ref="Q63:Q71"/>
    <mergeCell ref="U63:U67"/>
    <mergeCell ref="Y63:Y71"/>
    <mergeCell ref="A54:A62"/>
    <mergeCell ref="AA69:AA71"/>
    <mergeCell ref="F70:H70"/>
    <mergeCell ref="F71:H71"/>
    <mergeCell ref="Z63:Z65"/>
    <mergeCell ref="AA63:AA65"/>
    <mergeCell ref="AB49:AB53"/>
    <mergeCell ref="F50:H50"/>
    <mergeCell ref="F51:H51"/>
    <mergeCell ref="F52:H52"/>
    <mergeCell ref="F53:H53"/>
    <mergeCell ref="C48:E48"/>
    <mergeCell ref="F48:H48"/>
    <mergeCell ref="AA54:AA56"/>
    <mergeCell ref="AB54:AB62"/>
    <mergeCell ref="F55:H55"/>
    <mergeCell ref="F56:H56"/>
    <mergeCell ref="C57:E59"/>
    <mergeCell ref="F57:H57"/>
    <mergeCell ref="Y57:Y59"/>
    <mergeCell ref="Z57:Z59"/>
    <mergeCell ref="AA57:AA59"/>
    <mergeCell ref="F58:H58"/>
    <mergeCell ref="C54:E56"/>
    <mergeCell ref="F54:H54"/>
    <mergeCell ref="Q54:Q62"/>
    <mergeCell ref="Y54:Y56"/>
    <mergeCell ref="Z54:Z56"/>
    <mergeCell ref="F59:H59"/>
    <mergeCell ref="C60:E62"/>
    <mergeCell ref="Y47:Y48"/>
    <mergeCell ref="A45:A46"/>
    <mergeCell ref="C45:E45"/>
    <mergeCell ref="F45:H45"/>
    <mergeCell ref="I45:I46"/>
    <mergeCell ref="Y45:Y46"/>
    <mergeCell ref="Y49:Y53"/>
    <mergeCell ref="Z49:Z53"/>
    <mergeCell ref="AA49:AA53"/>
    <mergeCell ref="A49:A53"/>
    <mergeCell ref="C49:E53"/>
    <mergeCell ref="F49:H49"/>
    <mergeCell ref="Q49:Q53"/>
    <mergeCell ref="C46:E46"/>
    <mergeCell ref="F46:H46"/>
    <mergeCell ref="A47:A48"/>
    <mergeCell ref="C47:E47"/>
    <mergeCell ref="F47:H47"/>
    <mergeCell ref="I47:I48"/>
    <mergeCell ref="Q45:Q48"/>
    <mergeCell ref="AC42:AF42"/>
    <mergeCell ref="A43:A44"/>
    <mergeCell ref="C43:E43"/>
    <mergeCell ref="F43:H43"/>
    <mergeCell ref="I43:I44"/>
    <mergeCell ref="Q43:Q44"/>
    <mergeCell ref="Y43:Y44"/>
    <mergeCell ref="AB43:AB44"/>
    <mergeCell ref="C44:E44"/>
    <mergeCell ref="A41:A42"/>
    <mergeCell ref="C41:E41"/>
    <mergeCell ref="F41:H41"/>
    <mergeCell ref="I41:I42"/>
    <mergeCell ref="Q41:Q42"/>
    <mergeCell ref="Y41:Y42"/>
    <mergeCell ref="AB41:AB42"/>
    <mergeCell ref="C42:E42"/>
    <mergeCell ref="F44:H44"/>
    <mergeCell ref="F42:H42"/>
    <mergeCell ref="AC34:AF34"/>
    <mergeCell ref="A35:A36"/>
    <mergeCell ref="C35:E35"/>
    <mergeCell ref="F35:H35"/>
    <mergeCell ref="I35:I36"/>
    <mergeCell ref="Y35:Y36"/>
    <mergeCell ref="C36:E36"/>
    <mergeCell ref="F36:H36"/>
    <mergeCell ref="AC36:AF36"/>
    <mergeCell ref="A33:A34"/>
    <mergeCell ref="C33:E33"/>
    <mergeCell ref="F33:H33"/>
    <mergeCell ref="I33:I34"/>
    <mergeCell ref="Q33:Q34"/>
    <mergeCell ref="Y33:Y34"/>
    <mergeCell ref="AB33:AB34"/>
    <mergeCell ref="C34:E34"/>
    <mergeCell ref="F34:H34"/>
    <mergeCell ref="AC28:AF28"/>
    <mergeCell ref="A29:A30"/>
    <mergeCell ref="C29:E29"/>
    <mergeCell ref="F29:H29"/>
    <mergeCell ref="I29:I30"/>
    <mergeCell ref="Q29:Q32"/>
    <mergeCell ref="Y29:Y30"/>
    <mergeCell ref="AB29:AB32"/>
    <mergeCell ref="C30:E30"/>
    <mergeCell ref="F30:H30"/>
    <mergeCell ref="AC30:AF30"/>
    <mergeCell ref="A31:A32"/>
    <mergeCell ref="C31:E31"/>
    <mergeCell ref="F31:H31"/>
    <mergeCell ref="I31:I32"/>
    <mergeCell ref="Y31:Y32"/>
    <mergeCell ref="C32:E32"/>
    <mergeCell ref="F32:H32"/>
    <mergeCell ref="AC32:AF32"/>
    <mergeCell ref="F26:H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25:A26"/>
    <mergeCell ref="C25:E25"/>
    <mergeCell ref="F25:H25"/>
    <mergeCell ref="I25:I26"/>
    <mergeCell ref="Q25:Q26"/>
    <mergeCell ref="Y25:Y26"/>
    <mergeCell ref="AB25:AB26"/>
    <mergeCell ref="C26:E26"/>
    <mergeCell ref="N13:P13"/>
    <mergeCell ref="C22:E22"/>
    <mergeCell ref="F22:H22"/>
    <mergeCell ref="A23:A24"/>
    <mergeCell ref="C23:E23"/>
    <mergeCell ref="F23:H23"/>
    <mergeCell ref="I23:I24"/>
    <mergeCell ref="Y23:Y24"/>
    <mergeCell ref="A21:A22"/>
    <mergeCell ref="C21:E21"/>
    <mergeCell ref="F21:H21"/>
    <mergeCell ref="I21:I22"/>
    <mergeCell ref="Y21:Y22"/>
    <mergeCell ref="A19:A20"/>
    <mergeCell ref="C19:E19"/>
    <mergeCell ref="F19:H19"/>
    <mergeCell ref="I19:I20"/>
    <mergeCell ref="Y19:Y20"/>
    <mergeCell ref="C20:E20"/>
    <mergeCell ref="F20:H20"/>
    <mergeCell ref="C24:E24"/>
    <mergeCell ref="F24:H24"/>
    <mergeCell ref="F13:H13"/>
    <mergeCell ref="K13:L13"/>
    <mergeCell ref="AB15:AB16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AB17:AB18"/>
    <mergeCell ref="C18:E18"/>
    <mergeCell ref="F18:H18"/>
    <mergeCell ref="AB21:AB24"/>
    <mergeCell ref="Q21:Q24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B45:AB48"/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6" orientation="portrait" r:id="rId1"/>
  <headerFooter alignWithMargins="0"/>
  <rowBreaks count="1" manualBreakCount="1">
    <brk id="53" max="27" man="1"/>
  </rowBreaks>
  <colBreaks count="1" manualBreakCount="1">
    <brk id="2" max="4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707F-72F0-42D4-BE70-107D1F21FF64}">
  <sheetPr>
    <pageSetUpPr fitToPage="1"/>
  </sheetPr>
  <dimension ref="A1:AF117"/>
  <sheetViews>
    <sheetView view="pageBreakPreview" zoomScale="75" zoomScaleNormal="100" zoomScaleSheetLayoutView="75" workbookViewId="0">
      <selection activeCell="T103" sqref="T103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186</v>
      </c>
      <c r="C2" s="548"/>
      <c r="D2" s="548"/>
      <c r="E2" s="548"/>
      <c r="F2" s="548"/>
      <c r="G2" s="549"/>
      <c r="H2" s="180" t="s">
        <v>1</v>
      </c>
      <c r="I2" s="550">
        <f>I11</f>
        <v>948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410</v>
      </c>
      <c r="D5" s="182">
        <v>380</v>
      </c>
      <c r="E5" s="182">
        <v>158</v>
      </c>
      <c r="F5" s="182"/>
      <c r="G5" s="182"/>
      <c r="H5" s="542" t="s">
        <v>24</v>
      </c>
      <c r="I5" s="524">
        <f t="shared" ref="I5:I11" si="0">SUM(C5:G5)</f>
        <v>948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45953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410</v>
      </c>
      <c r="D11" s="181">
        <f>SUM(D5:D10)</f>
        <v>380</v>
      </c>
      <c r="E11" s="181">
        <f>SUM(E5:E10)</f>
        <v>158</v>
      </c>
      <c r="F11" s="181">
        <f>SUM(F5:F10)</f>
        <v>0</v>
      </c>
      <c r="G11" s="181">
        <f>SUM(G5:G10)</f>
        <v>0</v>
      </c>
      <c r="H11" s="182"/>
      <c r="I11" s="481">
        <f t="shared" si="0"/>
        <v>948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45736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418.2</v>
      </c>
      <c r="D12" s="43">
        <f>D11*1.02</f>
        <v>387.6</v>
      </c>
      <c r="E12" s="43">
        <f>E11*1.02</f>
        <v>161.16</v>
      </c>
      <c r="F12" s="43">
        <f>F11*1.02</f>
        <v>0</v>
      </c>
      <c r="G12" s="43">
        <f>G11*1.02</f>
        <v>0</v>
      </c>
      <c r="H12" s="44"/>
      <c r="I12" s="486">
        <f>I11*1.02</f>
        <v>966.96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5" si="1">$I$5</f>
        <v>948</v>
      </c>
      <c r="C15" s="474" t="str">
        <f t="shared" ref="C15:C25" si="2">$A$5</f>
        <v>BK</v>
      </c>
      <c r="D15" s="475"/>
      <c r="E15" s="476"/>
      <c r="F15" s="474"/>
      <c r="G15" s="475"/>
      <c r="H15" s="476"/>
      <c r="I15" s="477" t="s">
        <v>92</v>
      </c>
      <c r="J15" s="65" t="s">
        <v>6</v>
      </c>
      <c r="K15" s="305">
        <v>1.4610000000000001</v>
      </c>
      <c r="L15" s="67" t="s">
        <v>7</v>
      </c>
      <c r="M15" s="68">
        <f>K15*B15</f>
        <v>1385.028</v>
      </c>
      <c r="N15" s="69"/>
      <c r="O15" s="70"/>
      <c r="P15" s="67" t="s">
        <v>7</v>
      </c>
      <c r="Q15" s="478">
        <v>45959</v>
      </c>
      <c r="R15" s="122">
        <v>1470</v>
      </c>
      <c r="S15" s="71" t="s">
        <v>7</v>
      </c>
      <c r="T15" s="123">
        <f t="shared" ref="T15:T110" si="3">R15-M15</f>
        <v>84.97199999999998</v>
      </c>
      <c r="U15" s="72"/>
      <c r="V15" s="72"/>
      <c r="W15" s="73"/>
      <c r="X15" s="74"/>
      <c r="Y15" s="479" t="s">
        <v>126</v>
      </c>
      <c r="Z15" s="63"/>
      <c r="AA15" s="64"/>
      <c r="AB15" s="566" t="s">
        <v>188</v>
      </c>
      <c r="AC15" s="471"/>
      <c r="AD15" s="472"/>
      <c r="AE15" s="472"/>
      <c r="AF15" s="472"/>
    </row>
    <row r="16" spans="1:32" s="176" customFormat="1" ht="69.95" customHeight="1" x14ac:dyDescent="0.15">
      <c r="A16" s="559"/>
      <c r="B16" s="239">
        <f>$I$6</f>
        <v>0</v>
      </c>
      <c r="C16" s="456">
        <f>$A$6</f>
        <v>0</v>
      </c>
      <c r="D16" s="456"/>
      <c r="E16" s="456"/>
      <c r="F16" s="456"/>
      <c r="G16" s="456"/>
      <c r="H16" s="456"/>
      <c r="I16" s="563"/>
      <c r="J16" s="240" t="s">
        <v>6</v>
      </c>
      <c r="K16" s="241"/>
      <c r="L16" s="168" t="s">
        <v>7</v>
      </c>
      <c r="M16" s="242">
        <f t="shared" ref="M16:M91" si="4">K16*B16</f>
        <v>0</v>
      </c>
      <c r="N16" s="243"/>
      <c r="O16" s="253"/>
      <c r="P16" s="168" t="s">
        <v>7</v>
      </c>
      <c r="Q16" s="447"/>
      <c r="R16" s="254"/>
      <c r="S16" s="255" t="s">
        <v>7</v>
      </c>
      <c r="T16" s="245">
        <f t="shared" si="3"/>
        <v>0</v>
      </c>
      <c r="U16" s="256"/>
      <c r="V16" s="256"/>
      <c r="W16" s="257"/>
      <c r="X16" s="258"/>
      <c r="Y16" s="557"/>
      <c r="Z16" s="259"/>
      <c r="AA16" s="249"/>
      <c r="AB16" s="361"/>
      <c r="AC16" s="250"/>
      <c r="AD16" s="251"/>
      <c r="AE16" s="251"/>
      <c r="AF16" s="251"/>
    </row>
    <row r="17" spans="1:32" s="176" customFormat="1" ht="69.95" customHeight="1" x14ac:dyDescent="0.15">
      <c r="A17" s="432"/>
      <c r="B17" s="239">
        <f>$I$7</f>
        <v>0</v>
      </c>
      <c r="C17" s="456">
        <f>$A$7</f>
        <v>0</v>
      </c>
      <c r="D17" s="456"/>
      <c r="E17" s="456"/>
      <c r="F17" s="456"/>
      <c r="G17" s="456"/>
      <c r="H17" s="456"/>
      <c r="I17" s="442"/>
      <c r="J17" s="240" t="s">
        <v>6</v>
      </c>
      <c r="K17" s="241"/>
      <c r="L17" s="168" t="s">
        <v>7</v>
      </c>
      <c r="M17" s="242">
        <f t="shared" si="4"/>
        <v>0</v>
      </c>
      <c r="N17" s="243"/>
      <c r="O17" s="253"/>
      <c r="P17" s="168" t="s">
        <v>7</v>
      </c>
      <c r="Q17" s="444"/>
      <c r="R17" s="254"/>
      <c r="S17" s="255" t="s">
        <v>7</v>
      </c>
      <c r="T17" s="245">
        <f t="shared" si="3"/>
        <v>0</v>
      </c>
      <c r="U17" s="256"/>
      <c r="V17" s="256"/>
      <c r="W17" s="257"/>
      <c r="X17" s="258"/>
      <c r="Y17" s="446"/>
      <c r="Z17" s="259"/>
      <c r="AA17" s="249"/>
      <c r="AB17" s="362"/>
      <c r="AC17" s="250"/>
      <c r="AD17" s="251"/>
      <c r="AE17" s="251"/>
      <c r="AF17" s="251"/>
    </row>
    <row r="18" spans="1:32" s="55" customFormat="1" ht="69.95" hidden="1" customHeight="1" x14ac:dyDescent="0.15">
      <c r="A18" s="431" t="s">
        <v>83</v>
      </c>
      <c r="B18" s="182">
        <f t="shared" si="1"/>
        <v>948</v>
      </c>
      <c r="C18" s="461" t="str">
        <f t="shared" si="2"/>
        <v>BK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0</v>
      </c>
      <c r="C19" s="461">
        <f>$A$6</f>
        <v>0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85</v>
      </c>
      <c r="B20" s="182">
        <f t="shared" si="1"/>
        <v>948</v>
      </c>
      <c r="C20" s="461" t="str">
        <f t="shared" si="2"/>
        <v>BK</v>
      </c>
      <c r="D20" s="461"/>
      <c r="E20" s="461"/>
      <c r="F20" s="461"/>
      <c r="G20" s="461"/>
      <c r="H20" s="461"/>
      <c r="I20" s="441" t="s">
        <v>8</v>
      </c>
      <c r="J20" s="76" t="s">
        <v>6</v>
      </c>
      <c r="K20" s="136">
        <v>0.26</v>
      </c>
      <c r="L20" s="77" t="s">
        <v>7</v>
      </c>
      <c r="M20" s="78">
        <f t="shared" si="4"/>
        <v>246.48000000000002</v>
      </c>
      <c r="N20" s="79"/>
      <c r="O20" s="78"/>
      <c r="P20" s="80" t="s">
        <v>7</v>
      </c>
      <c r="Q20" s="443">
        <v>45959</v>
      </c>
      <c r="R20" s="78">
        <v>247</v>
      </c>
      <c r="S20" s="80" t="s">
        <v>7</v>
      </c>
      <c r="T20" s="81">
        <f t="shared" si="3"/>
        <v>0.51999999999998181</v>
      </c>
      <c r="U20" s="82"/>
      <c r="V20" s="137"/>
      <c r="W20" s="78"/>
      <c r="X20" s="78"/>
      <c r="Y20" s="445" t="s">
        <v>93</v>
      </c>
      <c r="Z20" s="138"/>
      <c r="AA20" s="135"/>
      <c r="AB20" s="360" t="s">
        <v>188</v>
      </c>
      <c r="AC20" s="229"/>
      <c r="AD20" s="230"/>
      <c r="AE20" s="230"/>
      <c r="AF20" s="230"/>
    </row>
    <row r="21" spans="1:32" s="206" customFormat="1" ht="69.95" customHeight="1" x14ac:dyDescent="0.15">
      <c r="A21" s="559"/>
      <c r="B21" s="182">
        <f>$I$6</f>
        <v>0</v>
      </c>
      <c r="C21" s="461">
        <f>$A$6</f>
        <v>0</v>
      </c>
      <c r="D21" s="461"/>
      <c r="E21" s="461"/>
      <c r="F21" s="461"/>
      <c r="G21" s="461"/>
      <c r="H21" s="461"/>
      <c r="I21" s="563"/>
      <c r="J21" s="76" t="s">
        <v>6</v>
      </c>
      <c r="K21" s="136">
        <v>0.26</v>
      </c>
      <c r="L21" s="77" t="s">
        <v>7</v>
      </c>
      <c r="M21" s="78">
        <f t="shared" si="4"/>
        <v>0</v>
      </c>
      <c r="N21" s="79"/>
      <c r="O21" s="128"/>
      <c r="P21" s="77" t="s">
        <v>7</v>
      </c>
      <c r="Q21" s="447"/>
      <c r="R21" s="130"/>
      <c r="S21" s="75" t="s">
        <v>7</v>
      </c>
      <c r="T21" s="81">
        <f t="shared" si="3"/>
        <v>0</v>
      </c>
      <c r="U21" s="131"/>
      <c r="V21" s="131"/>
      <c r="W21" s="132"/>
      <c r="X21" s="133"/>
      <c r="Y21" s="557"/>
      <c r="Z21" s="228"/>
      <c r="AA21" s="228"/>
      <c r="AB21" s="361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82">
        <f>$I$7</f>
        <v>0</v>
      </c>
      <c r="C22" s="461">
        <f>$A$7</f>
        <v>0</v>
      </c>
      <c r="D22" s="461"/>
      <c r="E22" s="461"/>
      <c r="F22" s="461"/>
      <c r="G22" s="461"/>
      <c r="H22" s="461"/>
      <c r="I22" s="442"/>
      <c r="J22" s="76" t="s">
        <v>6</v>
      </c>
      <c r="K22" s="136"/>
      <c r="L22" s="77" t="s">
        <v>7</v>
      </c>
      <c r="M22" s="78">
        <f t="shared" si="4"/>
        <v>0</v>
      </c>
      <c r="N22" s="79"/>
      <c r="O22" s="128"/>
      <c r="P22" s="77" t="s">
        <v>7</v>
      </c>
      <c r="Q22" s="444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228"/>
      <c r="AA22" s="228"/>
      <c r="AB22" s="362"/>
      <c r="AC22" s="229"/>
      <c r="AD22" s="230"/>
      <c r="AE22" s="230"/>
      <c r="AF22" s="230"/>
    </row>
    <row r="23" spans="1:32" s="206" customFormat="1" ht="69.95" customHeight="1" x14ac:dyDescent="0.15">
      <c r="A23" s="431" t="s">
        <v>115</v>
      </c>
      <c r="B23" s="191">
        <f t="shared" si="1"/>
        <v>948</v>
      </c>
      <c r="C23" s="465" t="str">
        <f t="shared" si="2"/>
        <v>BK</v>
      </c>
      <c r="D23" s="465"/>
      <c r="E23" s="465"/>
      <c r="F23" s="465"/>
      <c r="G23" s="465"/>
      <c r="H23" s="465"/>
      <c r="I23" s="433" t="s">
        <v>8</v>
      </c>
      <c r="J23" s="192" t="s">
        <v>6</v>
      </c>
      <c r="K23" s="209">
        <v>0.78</v>
      </c>
      <c r="L23" s="194" t="s">
        <v>7</v>
      </c>
      <c r="M23" s="195">
        <f t="shared" si="4"/>
        <v>739.44</v>
      </c>
      <c r="N23" s="196"/>
      <c r="O23" s="195"/>
      <c r="P23" s="197" t="s">
        <v>7</v>
      </c>
      <c r="Q23" s="435"/>
      <c r="R23" s="195"/>
      <c r="S23" s="197" t="s">
        <v>7</v>
      </c>
      <c r="T23" s="198">
        <f t="shared" si="3"/>
        <v>-739.44</v>
      </c>
      <c r="U23" s="199"/>
      <c r="V23" s="200"/>
      <c r="W23" s="195"/>
      <c r="X23" s="195"/>
      <c r="Y23" s="437" t="s">
        <v>93</v>
      </c>
      <c r="Z23" s="235"/>
      <c r="AA23" s="202"/>
      <c r="AB23" s="439"/>
      <c r="AC23" s="229"/>
      <c r="AD23" s="230"/>
      <c r="AE23" s="230"/>
      <c r="AF23" s="230"/>
    </row>
    <row r="24" spans="1:32" s="206" customFormat="1" ht="69.95" customHeight="1" x14ac:dyDescent="0.15">
      <c r="A24" s="432"/>
      <c r="B24" s="191">
        <f>$I$6</f>
        <v>0</v>
      </c>
      <c r="C24" s="465">
        <f>$A$6</f>
        <v>0</v>
      </c>
      <c r="D24" s="465"/>
      <c r="E24" s="465"/>
      <c r="F24" s="465"/>
      <c r="G24" s="465"/>
      <c r="H24" s="465"/>
      <c r="I24" s="434"/>
      <c r="J24" s="192" t="s">
        <v>6</v>
      </c>
      <c r="K24" s="209">
        <v>0.78</v>
      </c>
      <c r="L24" s="194" t="s">
        <v>7</v>
      </c>
      <c r="M24" s="195">
        <f t="shared" si="4"/>
        <v>0</v>
      </c>
      <c r="N24" s="196"/>
      <c r="O24" s="210"/>
      <c r="P24" s="194" t="s">
        <v>7</v>
      </c>
      <c r="Q24" s="436"/>
      <c r="R24" s="236"/>
      <c r="S24" s="207" t="s">
        <v>7</v>
      </c>
      <c r="T24" s="198">
        <f t="shared" si="3"/>
        <v>0</v>
      </c>
      <c r="U24" s="211"/>
      <c r="V24" s="211"/>
      <c r="W24" s="212"/>
      <c r="X24" s="213"/>
      <c r="Y24" s="438"/>
      <c r="Z24" s="238"/>
      <c r="AA24" s="238"/>
      <c r="AB24" s="440"/>
      <c r="AC24" s="229"/>
      <c r="AD24" s="230"/>
      <c r="AE24" s="230"/>
      <c r="AF24" s="230"/>
    </row>
    <row r="25" spans="1:32" s="176" customFormat="1" ht="69.95" customHeight="1" x14ac:dyDescent="0.15">
      <c r="A25" s="431" t="s">
        <v>107</v>
      </c>
      <c r="B25" s="239">
        <f t="shared" si="1"/>
        <v>948</v>
      </c>
      <c r="C25" s="456" t="str">
        <f t="shared" si="2"/>
        <v>BK</v>
      </c>
      <c r="D25" s="456"/>
      <c r="E25" s="456"/>
      <c r="F25" s="456"/>
      <c r="G25" s="456"/>
      <c r="H25" s="456"/>
      <c r="I25" s="457" t="s">
        <v>58</v>
      </c>
      <c r="J25" s="240" t="s">
        <v>6</v>
      </c>
      <c r="K25" s="241">
        <v>0.1</v>
      </c>
      <c r="L25" s="168" t="s">
        <v>7</v>
      </c>
      <c r="M25" s="242">
        <f t="shared" si="4"/>
        <v>94.800000000000011</v>
      </c>
      <c r="N25" s="243"/>
      <c r="O25" s="242"/>
      <c r="P25" s="244" t="s">
        <v>7</v>
      </c>
      <c r="Q25" s="376">
        <v>45961</v>
      </c>
      <c r="R25" s="245">
        <v>95</v>
      </c>
      <c r="S25" s="244" t="s">
        <v>7</v>
      </c>
      <c r="T25" s="245">
        <f t="shared" si="3"/>
        <v>0.19999999999998863</v>
      </c>
      <c r="U25" s="246"/>
      <c r="V25" s="247"/>
      <c r="W25" s="242"/>
      <c r="X25" s="242"/>
      <c r="Y25" s="459" t="s">
        <v>59</v>
      </c>
      <c r="Z25" s="248"/>
      <c r="AA25" s="249"/>
      <c r="AB25" s="360" t="s">
        <v>189</v>
      </c>
      <c r="AC25" s="250"/>
      <c r="AD25" s="251"/>
      <c r="AE25" s="251"/>
      <c r="AF25" s="251"/>
    </row>
    <row r="26" spans="1:32" s="176" customFormat="1" ht="69.95" customHeight="1" x14ac:dyDescent="0.15">
      <c r="A26" s="559"/>
      <c r="B26" s="239">
        <f>$I$6</f>
        <v>0</v>
      </c>
      <c r="C26" s="456">
        <f>$A$6</f>
        <v>0</v>
      </c>
      <c r="D26" s="456"/>
      <c r="E26" s="456"/>
      <c r="F26" s="456"/>
      <c r="G26" s="456"/>
      <c r="H26" s="456"/>
      <c r="I26" s="564"/>
      <c r="J26" s="240" t="s">
        <v>6</v>
      </c>
      <c r="K26" s="241"/>
      <c r="L26" s="168" t="s">
        <v>7</v>
      </c>
      <c r="M26" s="242">
        <f t="shared" si="4"/>
        <v>0</v>
      </c>
      <c r="N26" s="243"/>
      <c r="O26" s="253"/>
      <c r="P26" s="168" t="s">
        <v>7</v>
      </c>
      <c r="Q26" s="377"/>
      <c r="R26" s="254"/>
      <c r="S26" s="255" t="s">
        <v>7</v>
      </c>
      <c r="T26" s="245">
        <f t="shared" si="3"/>
        <v>0</v>
      </c>
      <c r="U26" s="256"/>
      <c r="V26" s="256"/>
      <c r="W26" s="257"/>
      <c r="X26" s="258"/>
      <c r="Y26" s="565"/>
      <c r="Z26" s="259"/>
      <c r="AA26" s="249"/>
      <c r="AB26" s="361"/>
      <c r="AC26" s="250"/>
      <c r="AD26" s="251"/>
      <c r="AE26" s="251"/>
      <c r="AF26" s="251"/>
    </row>
    <row r="27" spans="1:32" s="176" customFormat="1" ht="69.95" customHeight="1" x14ac:dyDescent="0.15">
      <c r="A27" s="432"/>
      <c r="B27" s="239">
        <f>$I$7</f>
        <v>0</v>
      </c>
      <c r="C27" s="456">
        <f>$A$7</f>
        <v>0</v>
      </c>
      <c r="D27" s="456"/>
      <c r="E27" s="456"/>
      <c r="F27" s="456"/>
      <c r="G27" s="456"/>
      <c r="H27" s="456"/>
      <c r="I27" s="458"/>
      <c r="J27" s="240" t="s">
        <v>6</v>
      </c>
      <c r="K27" s="241"/>
      <c r="L27" s="168" t="s">
        <v>7</v>
      </c>
      <c r="M27" s="242">
        <f t="shared" si="4"/>
        <v>0</v>
      </c>
      <c r="N27" s="243"/>
      <c r="O27" s="253"/>
      <c r="P27" s="168" t="s">
        <v>7</v>
      </c>
      <c r="Q27" s="377"/>
      <c r="R27" s="254"/>
      <c r="S27" s="255" t="s">
        <v>7</v>
      </c>
      <c r="T27" s="245">
        <f t="shared" si="3"/>
        <v>0</v>
      </c>
      <c r="U27" s="256"/>
      <c r="V27" s="256"/>
      <c r="W27" s="257"/>
      <c r="X27" s="258"/>
      <c r="Y27" s="460"/>
      <c r="Z27" s="259"/>
      <c r="AA27" s="249"/>
      <c r="AB27" s="361"/>
      <c r="AC27" s="250"/>
      <c r="AD27" s="251"/>
      <c r="AE27" s="251"/>
      <c r="AF27" s="251"/>
    </row>
    <row r="28" spans="1:32" s="203" customFormat="1" ht="69.95" customHeight="1" x14ac:dyDescent="0.15">
      <c r="A28" s="431" t="s">
        <v>108</v>
      </c>
      <c r="B28" s="182">
        <f>$I$5</f>
        <v>948</v>
      </c>
      <c r="C28" s="461" t="str">
        <f>$A$5</f>
        <v>BK</v>
      </c>
      <c r="D28" s="461"/>
      <c r="E28" s="461"/>
      <c r="F28" s="461"/>
      <c r="G28" s="461"/>
      <c r="H28" s="461"/>
      <c r="I28" s="441" t="s">
        <v>8</v>
      </c>
      <c r="J28" s="76" t="s">
        <v>6</v>
      </c>
      <c r="K28" s="241">
        <v>0.19</v>
      </c>
      <c r="L28" s="77" t="s">
        <v>7</v>
      </c>
      <c r="M28" s="78">
        <f>K28*B28</f>
        <v>180.12</v>
      </c>
      <c r="N28" s="79"/>
      <c r="O28" s="78"/>
      <c r="P28" s="80" t="s">
        <v>7</v>
      </c>
      <c r="Q28" s="377"/>
      <c r="R28" s="78">
        <v>180</v>
      </c>
      <c r="S28" s="80" t="s">
        <v>9</v>
      </c>
      <c r="T28" s="81">
        <f t="shared" si="3"/>
        <v>-0.12000000000000455</v>
      </c>
      <c r="U28" s="82"/>
      <c r="V28" s="137"/>
      <c r="W28" s="78"/>
      <c r="X28" s="78"/>
      <c r="Y28" s="445" t="s">
        <v>59</v>
      </c>
      <c r="Z28" s="141"/>
      <c r="AA28" s="135"/>
      <c r="AB28" s="361"/>
    </row>
    <row r="29" spans="1:32" s="203" customFormat="1" ht="69.95" customHeight="1" x14ac:dyDescent="0.15">
      <c r="A29" s="559"/>
      <c r="B29" s="182">
        <f>$I$6</f>
        <v>0</v>
      </c>
      <c r="C29" s="461">
        <f>$A$6</f>
        <v>0</v>
      </c>
      <c r="D29" s="461"/>
      <c r="E29" s="461"/>
      <c r="F29" s="461"/>
      <c r="G29" s="461"/>
      <c r="H29" s="461"/>
      <c r="I29" s="563"/>
      <c r="J29" s="76" t="s">
        <v>6</v>
      </c>
      <c r="K29" s="241"/>
      <c r="L29" s="77" t="s">
        <v>7</v>
      </c>
      <c r="M29" s="78">
        <f>K29*B29</f>
        <v>0</v>
      </c>
      <c r="N29" s="79"/>
      <c r="O29" s="128"/>
      <c r="P29" s="77" t="s">
        <v>7</v>
      </c>
      <c r="Q29" s="377"/>
      <c r="R29" s="137"/>
      <c r="S29" s="75" t="s">
        <v>9</v>
      </c>
      <c r="T29" s="81">
        <f t="shared" si="3"/>
        <v>0</v>
      </c>
      <c r="U29" s="131"/>
      <c r="V29" s="131"/>
      <c r="W29" s="132"/>
      <c r="X29" s="133"/>
      <c r="Y29" s="557"/>
      <c r="Z29" s="134"/>
      <c r="AA29" s="135"/>
      <c r="AB29" s="361"/>
      <c r="AC29" s="466"/>
      <c r="AD29" s="467"/>
      <c r="AE29" s="467"/>
      <c r="AF29" s="467"/>
    </row>
    <row r="30" spans="1:32" s="203" customFormat="1" ht="69.95" customHeight="1" x14ac:dyDescent="0.15">
      <c r="A30" s="432"/>
      <c r="B30" s="182">
        <f>$I$7</f>
        <v>0</v>
      </c>
      <c r="C30" s="461">
        <f>$A$7</f>
        <v>0</v>
      </c>
      <c r="D30" s="461"/>
      <c r="E30" s="461"/>
      <c r="F30" s="461"/>
      <c r="G30" s="461"/>
      <c r="H30" s="461"/>
      <c r="I30" s="442"/>
      <c r="J30" s="76" t="s">
        <v>6</v>
      </c>
      <c r="K30" s="241"/>
      <c r="L30" s="77" t="s">
        <v>7</v>
      </c>
      <c r="M30" s="78">
        <f>K30*B30</f>
        <v>0</v>
      </c>
      <c r="N30" s="79"/>
      <c r="O30" s="128"/>
      <c r="P30" s="77" t="s">
        <v>7</v>
      </c>
      <c r="Q30" s="378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2"/>
      <c r="AC30" s="466"/>
      <c r="AD30" s="467"/>
      <c r="AE30" s="467"/>
      <c r="AF30" s="467"/>
    </row>
    <row r="31" spans="1:32" s="203" customFormat="1" ht="69.95" customHeight="1" x14ac:dyDescent="0.15">
      <c r="A31" s="464" t="s">
        <v>77</v>
      </c>
      <c r="B31" s="191">
        <f>$I$5</f>
        <v>948</v>
      </c>
      <c r="C31" s="465" t="str">
        <f>$A$5</f>
        <v>BK</v>
      </c>
      <c r="D31" s="465"/>
      <c r="E31" s="465"/>
      <c r="F31" s="465"/>
      <c r="G31" s="465"/>
      <c r="H31" s="465"/>
      <c r="I31" s="433" t="s">
        <v>110</v>
      </c>
      <c r="J31" s="192"/>
      <c r="K31" s="209">
        <v>3.3</v>
      </c>
      <c r="L31" s="194" t="s">
        <v>7</v>
      </c>
      <c r="M31" s="195">
        <f>K31*B31/100</f>
        <v>31.283999999999995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-31.283999999999995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thickBot="1" x14ac:dyDescent="0.2">
      <c r="A32" s="464"/>
      <c r="B32" s="191">
        <f>$I$6</f>
        <v>0</v>
      </c>
      <c r="C32" s="465">
        <f>$A$6</f>
        <v>0</v>
      </c>
      <c r="D32" s="465"/>
      <c r="E32" s="465"/>
      <c r="F32" s="465"/>
      <c r="G32" s="465"/>
      <c r="H32" s="465"/>
      <c r="I32" s="434"/>
      <c r="J32" s="192"/>
      <c r="K32" s="208">
        <v>3.3</v>
      </c>
      <c r="L32" s="194" t="s">
        <v>7</v>
      </c>
      <c r="M32" s="195">
        <f>K32*B32/100</f>
        <v>0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0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thickTop="1" x14ac:dyDescent="0.15">
      <c r="A33" s="464" t="s">
        <v>86</v>
      </c>
      <c r="B33" s="239">
        <f>$I$5</f>
        <v>948</v>
      </c>
      <c r="C33" s="456" t="str">
        <f>$A$5</f>
        <v>BK</v>
      </c>
      <c r="D33" s="456"/>
      <c r="E33" s="456"/>
      <c r="F33" s="456"/>
      <c r="G33" s="456"/>
      <c r="H33" s="456"/>
      <c r="I33" s="457" t="s">
        <v>76</v>
      </c>
      <c r="J33" s="240"/>
      <c r="K33" s="241">
        <v>3.6</v>
      </c>
      <c r="L33" s="168" t="s">
        <v>7</v>
      </c>
      <c r="M33" s="242">
        <f>K33*B33/50</f>
        <v>68.256</v>
      </c>
      <c r="N33" s="243"/>
      <c r="O33" s="242"/>
      <c r="P33" s="244" t="s">
        <v>7</v>
      </c>
      <c r="Q33" s="376">
        <v>45959</v>
      </c>
      <c r="R33" s="242">
        <v>69</v>
      </c>
      <c r="S33" s="244" t="s">
        <v>9</v>
      </c>
      <c r="T33" s="245">
        <f t="shared" si="3"/>
        <v>0.74399999999999977</v>
      </c>
      <c r="U33" s="246"/>
      <c r="V33" s="247"/>
      <c r="W33" s="242"/>
      <c r="X33" s="242"/>
      <c r="Y33" s="459" t="s">
        <v>94</v>
      </c>
      <c r="Z33" s="260"/>
      <c r="AA33" s="249"/>
      <c r="AB33" s="566" t="s">
        <v>188</v>
      </c>
    </row>
    <row r="34" spans="1:32" s="261" customFormat="1" ht="69.95" customHeight="1" x14ac:dyDescent="0.15">
      <c r="A34" s="464"/>
      <c r="B34" s="239">
        <f>$I$6</f>
        <v>0</v>
      </c>
      <c r="C34" s="456">
        <f>$A$6</f>
        <v>0</v>
      </c>
      <c r="D34" s="456"/>
      <c r="E34" s="456"/>
      <c r="F34" s="456"/>
      <c r="G34" s="456"/>
      <c r="H34" s="456"/>
      <c r="I34" s="564"/>
      <c r="J34" s="240"/>
      <c r="K34" s="241"/>
      <c r="L34" s="168" t="s">
        <v>7</v>
      </c>
      <c r="M34" s="242">
        <f>K34*B34/50</f>
        <v>0</v>
      </c>
      <c r="N34" s="243"/>
      <c r="O34" s="253"/>
      <c r="P34" s="168" t="s">
        <v>7</v>
      </c>
      <c r="Q34" s="377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565"/>
      <c r="Z34" s="259"/>
      <c r="AA34" s="249"/>
      <c r="AB34" s="361"/>
      <c r="AC34" s="462"/>
      <c r="AD34" s="463"/>
      <c r="AE34" s="463"/>
      <c r="AF34" s="463"/>
    </row>
    <row r="35" spans="1:32" s="261" customFormat="1" ht="69.95" customHeight="1" x14ac:dyDescent="0.15">
      <c r="A35" s="464"/>
      <c r="B35" s="239">
        <f>$I$7</f>
        <v>0</v>
      </c>
      <c r="C35" s="456">
        <f>$A$7</f>
        <v>0</v>
      </c>
      <c r="D35" s="456"/>
      <c r="E35" s="456"/>
      <c r="F35" s="456"/>
      <c r="G35" s="456"/>
      <c r="H35" s="456"/>
      <c r="I35" s="458"/>
      <c r="J35" s="240"/>
      <c r="K35" s="241"/>
      <c r="L35" s="168" t="s">
        <v>7</v>
      </c>
      <c r="M35" s="242">
        <f>K35*B35/50</f>
        <v>0</v>
      </c>
      <c r="N35" s="243"/>
      <c r="O35" s="253"/>
      <c r="P35" s="168" t="s">
        <v>7</v>
      </c>
      <c r="Q35" s="378"/>
      <c r="R35" s="247"/>
      <c r="S35" s="255" t="s">
        <v>9</v>
      </c>
      <c r="T35" s="245">
        <f t="shared" si="3"/>
        <v>0</v>
      </c>
      <c r="U35" s="256"/>
      <c r="V35" s="256"/>
      <c r="W35" s="257"/>
      <c r="X35" s="258"/>
      <c r="Y35" s="460"/>
      <c r="Z35" s="259"/>
      <c r="AA35" s="249"/>
      <c r="AB35" s="362"/>
      <c r="AC35" s="462"/>
      <c r="AD35" s="463"/>
      <c r="AE35" s="463"/>
      <c r="AF35" s="463"/>
    </row>
    <row r="36" spans="1:32" s="203" customFormat="1" ht="69.95" customHeight="1" x14ac:dyDescent="0.15">
      <c r="A36" s="464" t="s">
        <v>116</v>
      </c>
      <c r="B36" s="191">
        <f>$I$5</f>
        <v>948</v>
      </c>
      <c r="C36" s="465" t="str">
        <f>$A$5</f>
        <v>BK</v>
      </c>
      <c r="D36" s="465"/>
      <c r="E36" s="465"/>
      <c r="F36" s="465"/>
      <c r="G36" s="465"/>
      <c r="H36" s="465"/>
      <c r="I36" s="433" t="s">
        <v>76</v>
      </c>
      <c r="J36" s="192"/>
      <c r="K36" s="209">
        <v>2.4</v>
      </c>
      <c r="L36" s="194" t="s">
        <v>7</v>
      </c>
      <c r="M36" s="195">
        <f>K36*B36/50</f>
        <v>45.503999999999998</v>
      </c>
      <c r="N36" s="196"/>
      <c r="O36" s="195"/>
      <c r="P36" s="197" t="s">
        <v>7</v>
      </c>
      <c r="Q36" s="435"/>
      <c r="R36" s="195"/>
      <c r="S36" s="197" t="s">
        <v>9</v>
      </c>
      <c r="T36" s="198">
        <f t="shared" si="3"/>
        <v>-45.503999999999998</v>
      </c>
      <c r="U36" s="199"/>
      <c r="V36" s="200"/>
      <c r="W36" s="195"/>
      <c r="X36" s="195"/>
      <c r="Y36" s="437" t="s">
        <v>94</v>
      </c>
      <c r="Z36" s="201"/>
      <c r="AA36" s="202"/>
      <c r="AB36" s="439"/>
    </row>
    <row r="37" spans="1:32" s="203" customFormat="1" ht="69.95" customHeight="1" x14ac:dyDescent="0.15">
      <c r="A37" s="464"/>
      <c r="B37" s="191">
        <f>$I$6</f>
        <v>0</v>
      </c>
      <c r="C37" s="465">
        <f>$A$6</f>
        <v>0</v>
      </c>
      <c r="D37" s="465"/>
      <c r="E37" s="465"/>
      <c r="F37" s="465"/>
      <c r="G37" s="465"/>
      <c r="H37" s="465"/>
      <c r="I37" s="434"/>
      <c r="J37" s="192"/>
      <c r="K37" s="208">
        <v>2.4</v>
      </c>
      <c r="L37" s="194" t="s">
        <v>7</v>
      </c>
      <c r="M37" s="195">
        <f>K37*B37/50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31" t="s">
        <v>88</v>
      </c>
      <c r="B38" s="239">
        <f>$I$5</f>
        <v>948</v>
      </c>
      <c r="C38" s="456" t="str">
        <f>$A$5</f>
        <v>BK</v>
      </c>
      <c r="D38" s="456"/>
      <c r="E38" s="456"/>
      <c r="F38" s="456" t="str">
        <f>$A$5</f>
        <v>BK</v>
      </c>
      <c r="G38" s="456"/>
      <c r="H38" s="456"/>
      <c r="I38" s="457" t="s">
        <v>62</v>
      </c>
      <c r="J38" s="240"/>
      <c r="K38" s="263">
        <v>130</v>
      </c>
      <c r="L38" s="168" t="s">
        <v>61</v>
      </c>
      <c r="M38" s="242">
        <f t="shared" ref="M38:M40" si="5">K38*B38/2500</f>
        <v>49.295999999999999</v>
      </c>
      <c r="N38" s="243"/>
      <c r="O38" s="242"/>
      <c r="P38" s="244" t="s">
        <v>10</v>
      </c>
      <c r="Q38" s="376">
        <v>45959</v>
      </c>
      <c r="R38" s="242">
        <v>50</v>
      </c>
      <c r="S38" s="244" t="s">
        <v>10</v>
      </c>
      <c r="T38" s="245">
        <f t="shared" si="3"/>
        <v>0.70400000000000063</v>
      </c>
      <c r="U38" s="246"/>
      <c r="V38" s="247"/>
      <c r="W38" s="242"/>
      <c r="X38" s="242"/>
      <c r="Y38" s="459" t="s">
        <v>94</v>
      </c>
      <c r="Z38" s="260"/>
      <c r="AA38" s="249"/>
      <c r="AB38" s="360" t="s">
        <v>188</v>
      </c>
    </row>
    <row r="39" spans="1:32" s="176" customFormat="1" ht="69.95" customHeight="1" x14ac:dyDescent="0.15">
      <c r="A39" s="559"/>
      <c r="B39" s="264">
        <f>$I$6</f>
        <v>0</v>
      </c>
      <c r="C39" s="413">
        <f>$A$6</f>
        <v>0</v>
      </c>
      <c r="D39" s="414"/>
      <c r="E39" s="415"/>
      <c r="F39" s="413">
        <f>$A$6</f>
        <v>0</v>
      </c>
      <c r="G39" s="414"/>
      <c r="H39" s="415"/>
      <c r="I39" s="564"/>
      <c r="J39" s="265"/>
      <c r="K39" s="263"/>
      <c r="L39" s="266" t="s">
        <v>61</v>
      </c>
      <c r="M39" s="242">
        <f t="shared" si="5"/>
        <v>0</v>
      </c>
      <c r="N39" s="267"/>
      <c r="O39" s="268"/>
      <c r="P39" s="266" t="s">
        <v>10</v>
      </c>
      <c r="Q39" s="377"/>
      <c r="R39" s="269"/>
      <c r="S39" s="252" t="s">
        <v>10</v>
      </c>
      <c r="T39" s="270">
        <f t="shared" si="3"/>
        <v>0</v>
      </c>
      <c r="U39" s="271"/>
      <c r="V39" s="271"/>
      <c r="W39" s="272"/>
      <c r="X39" s="273"/>
      <c r="Y39" s="565"/>
      <c r="Z39" s="274"/>
      <c r="AA39" s="275"/>
      <c r="AB39" s="361"/>
      <c r="AC39" s="451"/>
      <c r="AD39" s="452"/>
      <c r="AE39" s="452"/>
      <c r="AF39" s="452"/>
    </row>
    <row r="40" spans="1:32" s="176" customFormat="1" ht="69.95" customHeight="1" x14ac:dyDescent="0.15">
      <c r="A40" s="432"/>
      <c r="B40" s="264">
        <f>$I$7</f>
        <v>0</v>
      </c>
      <c r="C40" s="413">
        <f>$A$7</f>
        <v>0</v>
      </c>
      <c r="D40" s="414"/>
      <c r="E40" s="415"/>
      <c r="F40" s="413">
        <f>$A$7</f>
        <v>0</v>
      </c>
      <c r="G40" s="414"/>
      <c r="H40" s="415"/>
      <c r="I40" s="458"/>
      <c r="J40" s="265"/>
      <c r="K40" s="263"/>
      <c r="L40" s="266" t="s">
        <v>61</v>
      </c>
      <c r="M40" s="242">
        <f t="shared" si="5"/>
        <v>0</v>
      </c>
      <c r="N40" s="267"/>
      <c r="O40" s="268"/>
      <c r="P40" s="266" t="s">
        <v>10</v>
      </c>
      <c r="Q40" s="378"/>
      <c r="R40" s="269"/>
      <c r="S40" s="252" t="s">
        <v>10</v>
      </c>
      <c r="T40" s="270">
        <f t="shared" si="3"/>
        <v>0</v>
      </c>
      <c r="U40" s="271"/>
      <c r="V40" s="271"/>
      <c r="W40" s="272"/>
      <c r="X40" s="273"/>
      <c r="Y40" s="460"/>
      <c r="Z40" s="274"/>
      <c r="AA40" s="275"/>
      <c r="AB40" s="361"/>
      <c r="AC40" s="451"/>
      <c r="AD40" s="452"/>
      <c r="AE40" s="452"/>
      <c r="AF40" s="452"/>
    </row>
    <row r="41" spans="1:32" s="261" customFormat="1" ht="69.95" customHeight="1" x14ac:dyDescent="0.15">
      <c r="A41" s="431" t="s">
        <v>87</v>
      </c>
      <c r="B41" s="239">
        <f>$I$5</f>
        <v>948</v>
      </c>
      <c r="C41" s="456" t="str">
        <f>$A$5</f>
        <v>BK</v>
      </c>
      <c r="D41" s="456"/>
      <c r="E41" s="456"/>
      <c r="F41" s="456" t="str">
        <f>$A$5</f>
        <v>BK</v>
      </c>
      <c r="G41" s="456"/>
      <c r="H41" s="456"/>
      <c r="I41" s="457" t="s">
        <v>60</v>
      </c>
      <c r="J41" s="240"/>
      <c r="K41" s="263">
        <v>220</v>
      </c>
      <c r="L41" s="168" t="s">
        <v>61</v>
      </c>
      <c r="M41" s="242">
        <f>K41*B41/4000</f>
        <v>52.14</v>
      </c>
      <c r="N41" s="243"/>
      <c r="O41" s="242"/>
      <c r="P41" s="244" t="s">
        <v>10</v>
      </c>
      <c r="Q41" s="376">
        <v>45959</v>
      </c>
      <c r="R41" s="242">
        <v>53</v>
      </c>
      <c r="S41" s="244" t="s">
        <v>10</v>
      </c>
      <c r="T41" s="245">
        <f t="shared" si="3"/>
        <v>0.85999999999999943</v>
      </c>
      <c r="U41" s="246"/>
      <c r="V41" s="247"/>
      <c r="W41" s="242"/>
      <c r="X41" s="242"/>
      <c r="Y41" s="459" t="s">
        <v>94</v>
      </c>
      <c r="Z41" s="260"/>
      <c r="AA41" s="249"/>
      <c r="AB41" s="361"/>
    </row>
    <row r="42" spans="1:32" s="176" customFormat="1" ht="69.95" customHeight="1" x14ac:dyDescent="0.15">
      <c r="A42" s="559"/>
      <c r="B42" s="264">
        <f>$I$6</f>
        <v>0</v>
      </c>
      <c r="C42" s="413">
        <f>$A$6</f>
        <v>0</v>
      </c>
      <c r="D42" s="414"/>
      <c r="E42" s="415"/>
      <c r="F42" s="413">
        <f>$A$6</f>
        <v>0</v>
      </c>
      <c r="G42" s="414"/>
      <c r="H42" s="415"/>
      <c r="I42" s="564"/>
      <c r="J42" s="265"/>
      <c r="K42" s="263"/>
      <c r="L42" s="266" t="s">
        <v>61</v>
      </c>
      <c r="M42" s="242">
        <f>K42*B42/4000</f>
        <v>0</v>
      </c>
      <c r="N42" s="267"/>
      <c r="O42" s="268"/>
      <c r="P42" s="266" t="s">
        <v>10</v>
      </c>
      <c r="Q42" s="377"/>
      <c r="R42" s="269"/>
      <c r="S42" s="252" t="s">
        <v>10</v>
      </c>
      <c r="T42" s="270">
        <f t="shared" si="3"/>
        <v>0</v>
      </c>
      <c r="U42" s="271"/>
      <c r="V42" s="271"/>
      <c r="W42" s="272"/>
      <c r="X42" s="273"/>
      <c r="Y42" s="565"/>
      <c r="Z42" s="274"/>
      <c r="AA42" s="275"/>
      <c r="AB42" s="361"/>
      <c r="AC42" s="451"/>
      <c r="AD42" s="452"/>
      <c r="AE42" s="452"/>
      <c r="AF42" s="452"/>
    </row>
    <row r="43" spans="1:32" s="176" customFormat="1" ht="69.95" customHeight="1" x14ac:dyDescent="0.15">
      <c r="A43" s="432"/>
      <c r="B43" s="264">
        <f>$I$7</f>
        <v>0</v>
      </c>
      <c r="C43" s="413">
        <f>$A$7</f>
        <v>0</v>
      </c>
      <c r="D43" s="414"/>
      <c r="E43" s="415"/>
      <c r="F43" s="413">
        <f>$A$7</f>
        <v>0</v>
      </c>
      <c r="G43" s="414"/>
      <c r="H43" s="415"/>
      <c r="I43" s="458"/>
      <c r="J43" s="265"/>
      <c r="K43" s="263"/>
      <c r="L43" s="266" t="s">
        <v>61</v>
      </c>
      <c r="M43" s="242">
        <f>K43*B43/4000</f>
        <v>0</v>
      </c>
      <c r="N43" s="267"/>
      <c r="O43" s="268"/>
      <c r="P43" s="266" t="s">
        <v>10</v>
      </c>
      <c r="Q43" s="378"/>
      <c r="R43" s="269"/>
      <c r="S43" s="252" t="s">
        <v>10</v>
      </c>
      <c r="T43" s="270">
        <f t="shared" si="3"/>
        <v>0</v>
      </c>
      <c r="U43" s="271"/>
      <c r="V43" s="271"/>
      <c r="W43" s="272"/>
      <c r="X43" s="273"/>
      <c r="Y43" s="460"/>
      <c r="Z43" s="274"/>
      <c r="AA43" s="275"/>
      <c r="AB43" s="361"/>
      <c r="AC43" s="451"/>
      <c r="AD43" s="452"/>
      <c r="AE43" s="452"/>
      <c r="AF43" s="452"/>
    </row>
    <row r="44" spans="1:32" s="203" customFormat="1" ht="69.95" customHeight="1" x14ac:dyDescent="0.15">
      <c r="A44" s="431" t="s">
        <v>89</v>
      </c>
      <c r="B44" s="182">
        <f>$I$5</f>
        <v>948</v>
      </c>
      <c r="C44" s="461" t="str">
        <f>$A$5</f>
        <v>BK</v>
      </c>
      <c r="D44" s="461"/>
      <c r="E44" s="461"/>
      <c r="F44" s="461" t="str">
        <f>$A$5</f>
        <v>BK</v>
      </c>
      <c r="G44" s="461"/>
      <c r="H44" s="461"/>
      <c r="I44" s="457" t="s">
        <v>169</v>
      </c>
      <c r="J44" s="76"/>
      <c r="K44" s="139">
        <v>10</v>
      </c>
      <c r="L44" s="77" t="s">
        <v>61</v>
      </c>
      <c r="M44" s="78">
        <f>K44*B44/3000</f>
        <v>3.16</v>
      </c>
      <c r="N44" s="79"/>
      <c r="O44" s="78"/>
      <c r="P44" s="80" t="s">
        <v>10</v>
      </c>
      <c r="Q44" s="376">
        <v>45959</v>
      </c>
      <c r="R44" s="78">
        <v>3</v>
      </c>
      <c r="S44" s="80" t="s">
        <v>10</v>
      </c>
      <c r="T44" s="81">
        <f t="shared" si="3"/>
        <v>-0.16000000000000014</v>
      </c>
      <c r="U44" s="82"/>
      <c r="V44" s="137"/>
      <c r="W44" s="78"/>
      <c r="X44" s="78"/>
      <c r="Y44" s="445" t="s">
        <v>94</v>
      </c>
      <c r="Z44" s="141"/>
      <c r="AA44" s="135"/>
      <c r="AB44" s="361"/>
    </row>
    <row r="45" spans="1:32" s="206" customFormat="1" ht="69.95" customHeight="1" x14ac:dyDescent="0.15">
      <c r="A45" s="559"/>
      <c r="B45" s="186">
        <f>$I$6</f>
        <v>0</v>
      </c>
      <c r="C45" s="395">
        <f>$A$6</f>
        <v>0</v>
      </c>
      <c r="D45" s="396"/>
      <c r="E45" s="397"/>
      <c r="F45" s="395">
        <f>$A$6</f>
        <v>0</v>
      </c>
      <c r="G45" s="396"/>
      <c r="H45" s="397"/>
      <c r="I45" s="564"/>
      <c r="J45" s="144"/>
      <c r="K45" s="139"/>
      <c r="L45" s="145" t="s">
        <v>61</v>
      </c>
      <c r="M45" s="78">
        <f>K45*B45/3000</f>
        <v>0</v>
      </c>
      <c r="N45" s="146"/>
      <c r="O45" s="147"/>
      <c r="P45" s="145" t="s">
        <v>10</v>
      </c>
      <c r="Q45" s="377"/>
      <c r="R45" s="161"/>
      <c r="S45" s="148" t="s">
        <v>10</v>
      </c>
      <c r="T45" s="84">
        <f t="shared" si="3"/>
        <v>0</v>
      </c>
      <c r="U45" s="149"/>
      <c r="V45" s="149"/>
      <c r="W45" s="150"/>
      <c r="X45" s="151"/>
      <c r="Y45" s="557"/>
      <c r="Z45" s="134"/>
      <c r="AA45" s="135"/>
      <c r="AB45" s="361"/>
      <c r="AC45" s="567"/>
      <c r="AD45" s="568"/>
      <c r="AE45" s="568"/>
      <c r="AF45" s="568"/>
    </row>
    <row r="46" spans="1:32" s="206" customFormat="1" ht="69.95" customHeight="1" x14ac:dyDescent="0.15">
      <c r="A46" s="432"/>
      <c r="B46" s="186">
        <f>$I$7</f>
        <v>0</v>
      </c>
      <c r="C46" s="395">
        <f>$A$7</f>
        <v>0</v>
      </c>
      <c r="D46" s="396"/>
      <c r="E46" s="397"/>
      <c r="F46" s="395">
        <f>$A$7</f>
        <v>0</v>
      </c>
      <c r="G46" s="396"/>
      <c r="H46" s="397"/>
      <c r="I46" s="458"/>
      <c r="J46" s="144"/>
      <c r="K46" s="139"/>
      <c r="L46" s="145" t="s">
        <v>61</v>
      </c>
      <c r="M46" s="78">
        <f>K46*B46/3000</f>
        <v>0</v>
      </c>
      <c r="N46" s="146"/>
      <c r="O46" s="147"/>
      <c r="P46" s="145" t="s">
        <v>10</v>
      </c>
      <c r="Q46" s="378"/>
      <c r="R46" s="161"/>
      <c r="S46" s="148" t="s">
        <v>10</v>
      </c>
      <c r="T46" s="84">
        <f t="shared" si="3"/>
        <v>0</v>
      </c>
      <c r="U46" s="149"/>
      <c r="V46" s="149"/>
      <c r="W46" s="150"/>
      <c r="X46" s="151"/>
      <c r="Y46" s="446"/>
      <c r="Z46" s="134"/>
      <c r="AA46" s="135"/>
      <c r="AB46" s="362"/>
      <c r="AC46" s="567"/>
      <c r="AD46" s="568"/>
      <c r="AE46" s="568"/>
      <c r="AF46" s="568"/>
    </row>
    <row r="47" spans="1:32" s="206" customFormat="1" ht="69.95" customHeight="1" x14ac:dyDescent="0.15">
      <c r="A47" s="431" t="s">
        <v>117</v>
      </c>
      <c r="B47" s="191">
        <f t="shared" ref="B47:B49" si="6">$I$5</f>
        <v>948</v>
      </c>
      <c r="C47" s="422" t="str">
        <f t="shared" ref="C47:C49" si="7">$A$5</f>
        <v>BK</v>
      </c>
      <c r="D47" s="423"/>
      <c r="E47" s="424"/>
      <c r="F47" s="425"/>
      <c r="G47" s="423"/>
      <c r="H47" s="424"/>
      <c r="I47" s="433" t="s">
        <v>80</v>
      </c>
      <c r="J47" s="192"/>
      <c r="K47" s="193">
        <v>1</v>
      </c>
      <c r="L47" s="194" t="s">
        <v>65</v>
      </c>
      <c r="M47" s="195">
        <f t="shared" ref="M47:M79" si="8">K47*B47</f>
        <v>948</v>
      </c>
      <c r="N47" s="196"/>
      <c r="O47" s="195"/>
      <c r="P47" s="194" t="s">
        <v>65</v>
      </c>
      <c r="Q47" s="435"/>
      <c r="R47" s="195"/>
      <c r="S47" s="194" t="s">
        <v>65</v>
      </c>
      <c r="T47" s="205">
        <f t="shared" si="3"/>
        <v>-948</v>
      </c>
      <c r="U47" s="199"/>
      <c r="V47" s="199"/>
      <c r="W47" s="208"/>
      <c r="X47" s="198"/>
      <c r="Y47" s="437" t="s">
        <v>57</v>
      </c>
      <c r="Z47" s="231"/>
      <c r="AA47" s="232"/>
      <c r="AB47" s="439"/>
    </row>
    <row r="48" spans="1:32" s="206" customFormat="1" ht="69.95" customHeight="1" x14ac:dyDescent="0.15">
      <c r="A48" s="432"/>
      <c r="B48" s="204">
        <f>$I$6</f>
        <v>0</v>
      </c>
      <c r="C48" s="453">
        <f>$A$6</f>
        <v>0</v>
      </c>
      <c r="D48" s="454"/>
      <c r="E48" s="455"/>
      <c r="F48" s="425"/>
      <c r="G48" s="423"/>
      <c r="H48" s="424"/>
      <c r="I48" s="434"/>
      <c r="J48" s="192"/>
      <c r="K48" s="193">
        <v>1</v>
      </c>
      <c r="L48" s="194" t="s">
        <v>65</v>
      </c>
      <c r="M48" s="195">
        <f t="shared" si="8"/>
        <v>0</v>
      </c>
      <c r="N48" s="233"/>
      <c r="O48" s="195"/>
      <c r="P48" s="194" t="s">
        <v>65</v>
      </c>
      <c r="Q48" s="436"/>
      <c r="R48" s="195"/>
      <c r="S48" s="194" t="s">
        <v>65</v>
      </c>
      <c r="T48" s="198">
        <f t="shared" si="3"/>
        <v>0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206" customFormat="1" ht="69.95" customHeight="1" x14ac:dyDescent="0.15">
      <c r="A49" s="431" t="s">
        <v>78</v>
      </c>
      <c r="B49" s="191">
        <f t="shared" si="6"/>
        <v>948</v>
      </c>
      <c r="C49" s="422" t="str">
        <f t="shared" si="7"/>
        <v>BK</v>
      </c>
      <c r="D49" s="423"/>
      <c r="E49" s="424"/>
      <c r="F49" s="425"/>
      <c r="G49" s="423"/>
      <c r="H49" s="424"/>
      <c r="I49" s="207"/>
      <c r="J49" s="192"/>
      <c r="K49" s="193">
        <v>1</v>
      </c>
      <c r="L49" s="194" t="s">
        <v>65</v>
      </c>
      <c r="M49" s="195">
        <f t="shared" si="8"/>
        <v>948</v>
      </c>
      <c r="N49" s="196"/>
      <c r="O49" s="195"/>
      <c r="P49" s="194" t="s">
        <v>65</v>
      </c>
      <c r="Q49" s="435"/>
      <c r="R49" s="195"/>
      <c r="S49" s="194" t="s">
        <v>65</v>
      </c>
      <c r="T49" s="205">
        <f t="shared" si="3"/>
        <v>-948</v>
      </c>
      <c r="U49" s="199"/>
      <c r="V49" s="199"/>
      <c r="W49" s="208"/>
      <c r="X49" s="198"/>
      <c r="Y49" s="437" t="s">
        <v>57</v>
      </c>
      <c r="Z49" s="231"/>
      <c r="AA49" s="232"/>
      <c r="AB49" s="439"/>
    </row>
    <row r="50" spans="1:32" s="206" customFormat="1" ht="69.95" customHeight="1" thickBot="1" x14ac:dyDescent="0.2">
      <c r="A50" s="432"/>
      <c r="B50" s="204">
        <f>$I$6</f>
        <v>0</v>
      </c>
      <c r="C50" s="453">
        <f>$A$6</f>
        <v>0</v>
      </c>
      <c r="D50" s="454"/>
      <c r="E50" s="455"/>
      <c r="F50" s="425"/>
      <c r="G50" s="423"/>
      <c r="H50" s="424"/>
      <c r="I50" s="207"/>
      <c r="J50" s="192"/>
      <c r="K50" s="193">
        <v>1</v>
      </c>
      <c r="L50" s="194" t="s">
        <v>65</v>
      </c>
      <c r="M50" s="195">
        <f t="shared" si="8"/>
        <v>0</v>
      </c>
      <c r="N50" s="233"/>
      <c r="O50" s="195"/>
      <c r="P50" s="194" t="s">
        <v>65</v>
      </c>
      <c r="Q50" s="436"/>
      <c r="R50" s="195"/>
      <c r="S50" s="194" t="s">
        <v>65</v>
      </c>
      <c r="T50" s="198">
        <f t="shared" si="3"/>
        <v>0</v>
      </c>
      <c r="U50" s="199"/>
      <c r="V50" s="200"/>
      <c r="W50" s="195"/>
      <c r="X50" s="195"/>
      <c r="Y50" s="438"/>
      <c r="Z50" s="201"/>
      <c r="AA50" s="202"/>
      <c r="AB50" s="440"/>
      <c r="AC50" s="234"/>
      <c r="AD50" s="230"/>
      <c r="AE50" s="230"/>
      <c r="AF50" s="230"/>
    </row>
    <row r="51" spans="1:32" s="206" customFormat="1" ht="69.95" customHeight="1" thickTop="1" x14ac:dyDescent="0.15">
      <c r="A51" s="431" t="s">
        <v>100</v>
      </c>
      <c r="B51" s="182">
        <f t="shared" ref="B51:B65" si="9">$I$5</f>
        <v>948</v>
      </c>
      <c r="C51" s="368" t="str">
        <f t="shared" ref="C51:C65" si="10">$A$5</f>
        <v>BK</v>
      </c>
      <c r="D51" s="369"/>
      <c r="E51" s="370"/>
      <c r="F51" s="428"/>
      <c r="G51" s="369"/>
      <c r="H51" s="370"/>
      <c r="I51" s="441" t="s">
        <v>142</v>
      </c>
      <c r="J51" s="76"/>
      <c r="K51" s="139">
        <v>1</v>
      </c>
      <c r="L51" s="77" t="s">
        <v>63</v>
      </c>
      <c r="M51" s="78">
        <f t="shared" si="8"/>
        <v>948</v>
      </c>
      <c r="N51" s="79"/>
      <c r="O51" s="78"/>
      <c r="P51" s="80" t="s">
        <v>63</v>
      </c>
      <c r="Q51" s="376">
        <v>45959</v>
      </c>
      <c r="R51" s="78">
        <v>948</v>
      </c>
      <c r="S51" s="80" t="s">
        <v>63</v>
      </c>
      <c r="T51" s="84">
        <f t="shared" si="3"/>
        <v>0</v>
      </c>
      <c r="U51" s="82"/>
      <c r="V51" s="82"/>
      <c r="W51" s="83"/>
      <c r="X51" s="81"/>
      <c r="Y51" s="445" t="s">
        <v>94</v>
      </c>
      <c r="Z51" s="86"/>
      <c r="AA51" s="85"/>
      <c r="AB51" s="566" t="s">
        <v>188</v>
      </c>
    </row>
    <row r="52" spans="1:32" s="206" customFormat="1" ht="69.95" customHeight="1" x14ac:dyDescent="0.15">
      <c r="A52" s="559"/>
      <c r="B52" s="186">
        <f>$I$6</f>
        <v>0</v>
      </c>
      <c r="C52" s="395">
        <f>$A$6</f>
        <v>0</v>
      </c>
      <c r="D52" s="396"/>
      <c r="E52" s="397"/>
      <c r="F52" s="428"/>
      <c r="G52" s="369"/>
      <c r="H52" s="370"/>
      <c r="I52" s="563"/>
      <c r="J52" s="76"/>
      <c r="K52" s="139">
        <v>1</v>
      </c>
      <c r="L52" s="77" t="s">
        <v>63</v>
      </c>
      <c r="M52" s="78">
        <f t="shared" si="8"/>
        <v>0</v>
      </c>
      <c r="N52" s="140"/>
      <c r="O52" s="78"/>
      <c r="P52" s="80" t="s">
        <v>63</v>
      </c>
      <c r="Q52" s="377"/>
      <c r="R52" s="78"/>
      <c r="S52" s="80" t="s">
        <v>63</v>
      </c>
      <c r="T52" s="81">
        <f t="shared" si="3"/>
        <v>0</v>
      </c>
      <c r="U52" s="82"/>
      <c r="V52" s="137"/>
      <c r="W52" s="78"/>
      <c r="X52" s="78"/>
      <c r="Y52" s="557"/>
      <c r="Z52" s="141"/>
      <c r="AA52" s="135"/>
      <c r="AB52" s="361"/>
      <c r="AC52" s="234"/>
      <c r="AD52" s="230"/>
      <c r="AE52" s="230"/>
      <c r="AF52" s="230"/>
    </row>
    <row r="53" spans="1:32" s="206" customFormat="1" ht="69.95" customHeight="1" x14ac:dyDescent="0.15">
      <c r="A53" s="432"/>
      <c r="B53" s="186">
        <f>$I$7</f>
        <v>0</v>
      </c>
      <c r="C53" s="395">
        <f>$A$7</f>
        <v>0</v>
      </c>
      <c r="D53" s="396"/>
      <c r="E53" s="397"/>
      <c r="F53" s="428"/>
      <c r="G53" s="369"/>
      <c r="H53" s="370"/>
      <c r="I53" s="442"/>
      <c r="J53" s="76"/>
      <c r="K53" s="139"/>
      <c r="L53" s="77" t="s">
        <v>63</v>
      </c>
      <c r="M53" s="78">
        <f t="shared" si="8"/>
        <v>0</v>
      </c>
      <c r="N53" s="140"/>
      <c r="O53" s="78"/>
      <c r="P53" s="80" t="s">
        <v>63</v>
      </c>
      <c r="Q53" s="378"/>
      <c r="R53" s="78"/>
      <c r="S53" s="80" t="s">
        <v>63</v>
      </c>
      <c r="T53" s="81">
        <f t="shared" si="3"/>
        <v>0</v>
      </c>
      <c r="U53" s="82"/>
      <c r="V53" s="137"/>
      <c r="W53" s="78"/>
      <c r="X53" s="78"/>
      <c r="Y53" s="446"/>
      <c r="Z53" s="141"/>
      <c r="AA53" s="135"/>
      <c r="AB53" s="362"/>
      <c r="AC53" s="234"/>
      <c r="AD53" s="230"/>
      <c r="AE53" s="230"/>
      <c r="AF53" s="230"/>
    </row>
    <row r="54" spans="1:32" s="206" customFormat="1" ht="69.95" customHeight="1" x14ac:dyDescent="0.15">
      <c r="A54" s="431" t="s">
        <v>103</v>
      </c>
      <c r="B54" s="182">
        <f t="shared" ref="B54" si="11">$I$5</f>
        <v>948</v>
      </c>
      <c r="C54" s="368" t="str">
        <f t="shared" ref="C54" si="12">$A$5</f>
        <v>BK</v>
      </c>
      <c r="D54" s="369"/>
      <c r="E54" s="370"/>
      <c r="F54" s="428"/>
      <c r="G54" s="429"/>
      <c r="H54" s="430"/>
      <c r="I54" s="75"/>
      <c r="J54" s="76"/>
      <c r="K54" s="139">
        <v>1</v>
      </c>
      <c r="L54" s="77" t="s">
        <v>65</v>
      </c>
      <c r="M54" s="78">
        <f>K54*B54</f>
        <v>948</v>
      </c>
      <c r="N54" s="79"/>
      <c r="O54" s="78"/>
      <c r="P54" s="80" t="s">
        <v>65</v>
      </c>
      <c r="Q54" s="376">
        <v>45959</v>
      </c>
      <c r="R54" s="78">
        <v>948</v>
      </c>
      <c r="S54" s="80" t="s">
        <v>65</v>
      </c>
      <c r="T54" s="84">
        <f>R54-M54</f>
        <v>0</v>
      </c>
      <c r="U54" s="82"/>
      <c r="V54" s="82"/>
      <c r="W54" s="83"/>
      <c r="X54" s="81"/>
      <c r="Y54" s="445" t="s">
        <v>94</v>
      </c>
      <c r="Z54" s="86"/>
      <c r="AA54" s="85"/>
      <c r="AB54" s="360" t="s">
        <v>188</v>
      </c>
    </row>
    <row r="55" spans="1:32" s="206" customFormat="1" ht="69.95" customHeight="1" x14ac:dyDescent="0.15">
      <c r="A55" s="559"/>
      <c r="B55" s="186">
        <f>$I$6</f>
        <v>0</v>
      </c>
      <c r="C55" s="368">
        <f>$A$6</f>
        <v>0</v>
      </c>
      <c r="D55" s="369"/>
      <c r="E55" s="370"/>
      <c r="F55" s="428"/>
      <c r="G55" s="429"/>
      <c r="H55" s="430"/>
      <c r="I55" s="75"/>
      <c r="J55" s="76"/>
      <c r="K55" s="139">
        <v>1</v>
      </c>
      <c r="L55" s="77" t="s">
        <v>65</v>
      </c>
      <c r="M55" s="78">
        <f>K55*B55</f>
        <v>0</v>
      </c>
      <c r="N55" s="140"/>
      <c r="O55" s="78"/>
      <c r="P55" s="80" t="s">
        <v>65</v>
      </c>
      <c r="Q55" s="377"/>
      <c r="R55" s="78"/>
      <c r="S55" s="80" t="s">
        <v>65</v>
      </c>
      <c r="T55" s="81">
        <f>R55-M55</f>
        <v>0</v>
      </c>
      <c r="U55" s="82"/>
      <c r="V55" s="137"/>
      <c r="W55" s="78"/>
      <c r="X55" s="78"/>
      <c r="Y55" s="557"/>
      <c r="Z55" s="141"/>
      <c r="AA55" s="135"/>
      <c r="AB55" s="361"/>
      <c r="AC55" s="234"/>
      <c r="AD55" s="230"/>
      <c r="AE55" s="230"/>
      <c r="AF55" s="230"/>
    </row>
    <row r="56" spans="1:32" s="206" customFormat="1" ht="69.95" customHeight="1" x14ac:dyDescent="0.15">
      <c r="A56" s="432"/>
      <c r="B56" s="186">
        <f>$I$7</f>
        <v>0</v>
      </c>
      <c r="C56" s="368">
        <f>$A$7</f>
        <v>0</v>
      </c>
      <c r="D56" s="369"/>
      <c r="E56" s="370"/>
      <c r="F56" s="428"/>
      <c r="G56" s="429"/>
      <c r="H56" s="430"/>
      <c r="I56" s="75"/>
      <c r="J56" s="76"/>
      <c r="K56" s="139"/>
      <c r="L56" s="77" t="s">
        <v>65</v>
      </c>
      <c r="M56" s="78">
        <f>K56*B56</f>
        <v>0</v>
      </c>
      <c r="N56" s="140"/>
      <c r="O56" s="78"/>
      <c r="P56" s="80" t="s">
        <v>65</v>
      </c>
      <c r="Q56" s="378"/>
      <c r="R56" s="78"/>
      <c r="S56" s="80" t="s">
        <v>65</v>
      </c>
      <c r="T56" s="81">
        <f>R56-M56</f>
        <v>0</v>
      </c>
      <c r="U56" s="82"/>
      <c r="V56" s="137"/>
      <c r="W56" s="78"/>
      <c r="X56" s="78"/>
      <c r="Y56" s="446"/>
      <c r="Z56" s="141"/>
      <c r="AA56" s="135"/>
      <c r="AB56" s="362"/>
      <c r="AC56" s="234"/>
      <c r="AD56" s="230"/>
      <c r="AE56" s="230"/>
      <c r="AF56" s="230"/>
    </row>
    <row r="57" spans="1:32" s="55" customFormat="1" ht="69.95" customHeight="1" x14ac:dyDescent="0.15">
      <c r="A57" s="431" t="s">
        <v>164</v>
      </c>
      <c r="B57" s="191">
        <f t="shared" ref="B57" si="13">$I$5</f>
        <v>948</v>
      </c>
      <c r="C57" s="422" t="str">
        <f t="shared" ref="C57" si="14">$A$5</f>
        <v>BK</v>
      </c>
      <c r="D57" s="423"/>
      <c r="E57" s="424"/>
      <c r="F57" s="425"/>
      <c r="G57" s="426"/>
      <c r="H57" s="427"/>
      <c r="I57" s="433" t="s">
        <v>104</v>
      </c>
      <c r="J57" s="192"/>
      <c r="K57" s="304">
        <v>0.6</v>
      </c>
      <c r="L57" s="194" t="s">
        <v>129</v>
      </c>
      <c r="M57" s="195">
        <f t="shared" ref="M57:M59" si="15">K57*B57</f>
        <v>568.79999999999995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ref="T57:T59" si="16">R57-M57</f>
        <v>-568.79999999999995</v>
      </c>
      <c r="U57" s="199"/>
      <c r="V57" s="199"/>
      <c r="W57" s="208"/>
      <c r="X57" s="198"/>
      <c r="Y57" s="437" t="s">
        <v>130</v>
      </c>
      <c r="Z57" s="231"/>
      <c r="AA57" s="232"/>
      <c r="AB57" s="439"/>
    </row>
    <row r="58" spans="1:32" s="55" customFormat="1" ht="69.95" customHeight="1" x14ac:dyDescent="0.15">
      <c r="A58" s="559"/>
      <c r="B58" s="204">
        <f>$I$6</f>
        <v>0</v>
      </c>
      <c r="C58" s="422">
        <f>$A$6</f>
        <v>0</v>
      </c>
      <c r="D58" s="423"/>
      <c r="E58" s="424"/>
      <c r="F58" s="425"/>
      <c r="G58" s="426"/>
      <c r="H58" s="427"/>
      <c r="I58" s="560"/>
      <c r="J58" s="192"/>
      <c r="K58" s="304">
        <v>0.6</v>
      </c>
      <c r="L58" s="194" t="s">
        <v>129</v>
      </c>
      <c r="M58" s="195">
        <f t="shared" si="15"/>
        <v>0</v>
      </c>
      <c r="N58" s="233"/>
      <c r="O58" s="195"/>
      <c r="P58" s="197" t="s">
        <v>63</v>
      </c>
      <c r="Q58" s="561"/>
      <c r="R58" s="195"/>
      <c r="S58" s="197" t="s">
        <v>63</v>
      </c>
      <c r="T58" s="198">
        <f t="shared" si="16"/>
        <v>0</v>
      </c>
      <c r="U58" s="199"/>
      <c r="V58" s="200"/>
      <c r="W58" s="195"/>
      <c r="X58" s="195"/>
      <c r="Y58" s="562"/>
      <c r="Z58" s="201"/>
      <c r="AA58" s="202"/>
      <c r="AB58" s="558"/>
      <c r="AC58" s="142"/>
      <c r="AD58" s="179"/>
      <c r="AE58" s="179"/>
      <c r="AF58" s="179"/>
    </row>
    <row r="59" spans="1:32" s="55" customFormat="1" ht="69.95" customHeight="1" x14ac:dyDescent="0.15">
      <c r="A59" s="432"/>
      <c r="B59" s="204">
        <f>$I$7</f>
        <v>0</v>
      </c>
      <c r="C59" s="422">
        <f>$A$7</f>
        <v>0</v>
      </c>
      <c r="D59" s="423"/>
      <c r="E59" s="424"/>
      <c r="F59" s="425"/>
      <c r="G59" s="426"/>
      <c r="H59" s="427"/>
      <c r="I59" s="434"/>
      <c r="J59" s="192"/>
      <c r="K59" s="304">
        <v>0.6</v>
      </c>
      <c r="L59" s="194" t="s">
        <v>129</v>
      </c>
      <c r="M59" s="195">
        <f t="shared" si="15"/>
        <v>0</v>
      </c>
      <c r="N59" s="233"/>
      <c r="O59" s="195"/>
      <c r="P59" s="197" t="s">
        <v>63</v>
      </c>
      <c r="Q59" s="561"/>
      <c r="R59" s="195"/>
      <c r="S59" s="197" t="s">
        <v>63</v>
      </c>
      <c r="T59" s="198">
        <f t="shared" si="16"/>
        <v>0</v>
      </c>
      <c r="U59" s="199"/>
      <c r="V59" s="200"/>
      <c r="W59" s="195"/>
      <c r="X59" s="195"/>
      <c r="Y59" s="438"/>
      <c r="Z59" s="201"/>
      <c r="AA59" s="202"/>
      <c r="AB59" s="558"/>
      <c r="AC59" s="142"/>
      <c r="AD59" s="179"/>
      <c r="AE59" s="179"/>
      <c r="AF59" s="179"/>
    </row>
    <row r="60" spans="1:32" s="206" customFormat="1" ht="69.95" customHeight="1" x14ac:dyDescent="0.15">
      <c r="A60" s="431" t="s">
        <v>143</v>
      </c>
      <c r="B60" s="191">
        <f t="shared" ref="B60" si="17">$I$5</f>
        <v>948</v>
      </c>
      <c r="C60" s="422" t="str">
        <f t="shared" ref="C60" si="18">$A$5</f>
        <v>BK</v>
      </c>
      <c r="D60" s="423"/>
      <c r="E60" s="424"/>
      <c r="F60" s="425"/>
      <c r="G60" s="426"/>
      <c r="H60" s="427"/>
      <c r="I60" s="433" t="s">
        <v>102</v>
      </c>
      <c r="J60" s="192"/>
      <c r="K60" s="304">
        <v>0.6</v>
      </c>
      <c r="L60" s="194" t="s">
        <v>129</v>
      </c>
      <c r="M60" s="195">
        <f t="shared" si="8"/>
        <v>568.79999999999995</v>
      </c>
      <c r="N60" s="196"/>
      <c r="O60" s="195"/>
      <c r="P60" s="197" t="s">
        <v>63</v>
      </c>
      <c r="Q60" s="561"/>
      <c r="R60" s="195"/>
      <c r="S60" s="197" t="s">
        <v>63</v>
      </c>
      <c r="T60" s="205">
        <f t="shared" si="3"/>
        <v>-568.79999999999995</v>
      </c>
      <c r="U60" s="199"/>
      <c r="V60" s="199"/>
      <c r="W60" s="208"/>
      <c r="X60" s="198"/>
      <c r="Y60" s="437" t="s">
        <v>130</v>
      </c>
      <c r="Z60" s="231"/>
      <c r="AA60" s="232"/>
      <c r="AB60" s="558"/>
    </row>
    <row r="61" spans="1:32" s="206" customFormat="1" ht="69.95" customHeight="1" x14ac:dyDescent="0.15">
      <c r="A61" s="559"/>
      <c r="B61" s="204">
        <f>$I$6</f>
        <v>0</v>
      </c>
      <c r="C61" s="422">
        <f>$A$6</f>
        <v>0</v>
      </c>
      <c r="D61" s="423"/>
      <c r="E61" s="424"/>
      <c r="F61" s="425"/>
      <c r="G61" s="426"/>
      <c r="H61" s="427"/>
      <c r="I61" s="560"/>
      <c r="J61" s="192"/>
      <c r="K61" s="304">
        <v>0.6</v>
      </c>
      <c r="L61" s="194" t="s">
        <v>129</v>
      </c>
      <c r="M61" s="195">
        <f t="shared" si="8"/>
        <v>0</v>
      </c>
      <c r="N61" s="233"/>
      <c r="O61" s="195"/>
      <c r="P61" s="197" t="s">
        <v>63</v>
      </c>
      <c r="Q61" s="561"/>
      <c r="R61" s="195"/>
      <c r="S61" s="197" t="s">
        <v>63</v>
      </c>
      <c r="T61" s="198">
        <f t="shared" si="3"/>
        <v>0</v>
      </c>
      <c r="U61" s="199"/>
      <c r="V61" s="200"/>
      <c r="W61" s="195"/>
      <c r="X61" s="195"/>
      <c r="Y61" s="562"/>
      <c r="Z61" s="201"/>
      <c r="AA61" s="202"/>
      <c r="AB61" s="558"/>
      <c r="AC61" s="234"/>
      <c r="AD61" s="230"/>
      <c r="AE61" s="230"/>
      <c r="AF61" s="230"/>
    </row>
    <row r="62" spans="1:32" s="206" customFormat="1" ht="69.95" customHeight="1" x14ac:dyDescent="0.15">
      <c r="A62" s="432"/>
      <c r="B62" s="204">
        <f>$I$7</f>
        <v>0</v>
      </c>
      <c r="C62" s="422">
        <f>$A$7</f>
        <v>0</v>
      </c>
      <c r="D62" s="423"/>
      <c r="E62" s="424"/>
      <c r="F62" s="425"/>
      <c r="G62" s="426"/>
      <c r="H62" s="427"/>
      <c r="I62" s="434"/>
      <c r="J62" s="192"/>
      <c r="K62" s="304">
        <v>0.6</v>
      </c>
      <c r="L62" s="194" t="s">
        <v>129</v>
      </c>
      <c r="M62" s="195">
        <f t="shared" si="8"/>
        <v>0</v>
      </c>
      <c r="N62" s="233"/>
      <c r="O62" s="195"/>
      <c r="P62" s="197" t="s">
        <v>63</v>
      </c>
      <c r="Q62" s="436"/>
      <c r="R62" s="195"/>
      <c r="S62" s="197" t="s">
        <v>63</v>
      </c>
      <c r="T62" s="198">
        <f t="shared" si="3"/>
        <v>0</v>
      </c>
      <c r="U62" s="199"/>
      <c r="V62" s="200"/>
      <c r="W62" s="195"/>
      <c r="X62" s="195"/>
      <c r="Y62" s="438"/>
      <c r="Z62" s="201"/>
      <c r="AA62" s="202"/>
      <c r="AB62" s="440"/>
    </row>
    <row r="63" spans="1:32" s="206" customFormat="1" ht="69.95" customHeight="1" x14ac:dyDescent="0.15">
      <c r="A63" s="431" t="s">
        <v>90</v>
      </c>
      <c r="B63" s="191">
        <f t="shared" si="9"/>
        <v>948</v>
      </c>
      <c r="C63" s="422" t="str">
        <f t="shared" si="10"/>
        <v>BK</v>
      </c>
      <c r="D63" s="423"/>
      <c r="E63" s="424"/>
      <c r="F63" s="425"/>
      <c r="G63" s="426"/>
      <c r="H63" s="427"/>
      <c r="I63" s="207" t="s">
        <v>79</v>
      </c>
      <c r="J63" s="192"/>
      <c r="K63" s="193">
        <v>1</v>
      </c>
      <c r="L63" s="194" t="s">
        <v>63</v>
      </c>
      <c r="M63" s="195">
        <f t="shared" si="8"/>
        <v>948</v>
      </c>
      <c r="N63" s="196"/>
      <c r="O63" s="195"/>
      <c r="P63" s="197" t="s">
        <v>63</v>
      </c>
      <c r="Q63" s="435"/>
      <c r="R63" s="195"/>
      <c r="S63" s="197" t="s">
        <v>63</v>
      </c>
      <c r="T63" s="205">
        <f t="shared" si="3"/>
        <v>-948</v>
      </c>
      <c r="U63" s="199"/>
      <c r="V63" s="199"/>
      <c r="W63" s="208"/>
      <c r="X63" s="198"/>
      <c r="Y63" s="437" t="s">
        <v>64</v>
      </c>
      <c r="Z63" s="231"/>
      <c r="AA63" s="232"/>
      <c r="AB63" s="439"/>
      <c r="AC63" s="234"/>
      <c r="AD63" s="230"/>
      <c r="AE63" s="230"/>
      <c r="AF63" s="230"/>
    </row>
    <row r="64" spans="1:32" s="206" customFormat="1" ht="69.95" customHeight="1" x14ac:dyDescent="0.15">
      <c r="A64" s="432"/>
      <c r="B64" s="204">
        <f>$I$6</f>
        <v>0</v>
      </c>
      <c r="C64" s="422">
        <f>$A$6</f>
        <v>0</v>
      </c>
      <c r="D64" s="423"/>
      <c r="E64" s="424"/>
      <c r="F64" s="425"/>
      <c r="G64" s="426"/>
      <c r="H64" s="427"/>
      <c r="I64" s="207" t="s">
        <v>79</v>
      </c>
      <c r="J64" s="192"/>
      <c r="K64" s="193">
        <v>1</v>
      </c>
      <c r="L64" s="194" t="s">
        <v>63</v>
      </c>
      <c r="M64" s="195">
        <f t="shared" si="8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234"/>
      <c r="AD64" s="230"/>
      <c r="AE64" s="230"/>
      <c r="AF64" s="230"/>
    </row>
    <row r="65" spans="1:32" s="176" customFormat="1" ht="69.95" customHeight="1" x14ac:dyDescent="0.15">
      <c r="A65" s="431" t="s">
        <v>91</v>
      </c>
      <c r="B65" s="182">
        <f t="shared" si="9"/>
        <v>948</v>
      </c>
      <c r="C65" s="368" t="str">
        <f t="shared" si="10"/>
        <v>BK</v>
      </c>
      <c r="D65" s="369"/>
      <c r="E65" s="370"/>
      <c r="F65" s="428"/>
      <c r="G65" s="429"/>
      <c r="H65" s="430"/>
      <c r="I65" s="75" t="s">
        <v>75</v>
      </c>
      <c r="J65" s="76"/>
      <c r="K65" s="139">
        <v>1</v>
      </c>
      <c r="L65" s="77" t="s">
        <v>63</v>
      </c>
      <c r="M65" s="78">
        <f t="shared" si="8"/>
        <v>948</v>
      </c>
      <c r="N65" s="79"/>
      <c r="O65" s="78"/>
      <c r="P65" s="80" t="s">
        <v>63</v>
      </c>
      <c r="Q65" s="443">
        <v>45975</v>
      </c>
      <c r="R65" s="78">
        <v>948</v>
      </c>
      <c r="S65" s="80" t="s">
        <v>63</v>
      </c>
      <c r="T65" s="84">
        <f t="shared" si="3"/>
        <v>0</v>
      </c>
      <c r="U65" s="82"/>
      <c r="V65" s="82"/>
      <c r="W65" s="83"/>
      <c r="X65" s="81"/>
      <c r="Y65" s="445" t="s">
        <v>64</v>
      </c>
      <c r="Z65" s="86"/>
      <c r="AA65" s="85"/>
      <c r="AB65" s="360" t="s">
        <v>191</v>
      </c>
    </row>
    <row r="66" spans="1:32" s="176" customFormat="1" ht="69.95" customHeight="1" x14ac:dyDescent="0.15">
      <c r="A66" s="559"/>
      <c r="B66" s="186">
        <f>$I$6</f>
        <v>0</v>
      </c>
      <c r="C66" s="368">
        <f>$A$6</f>
        <v>0</v>
      </c>
      <c r="D66" s="369"/>
      <c r="E66" s="370"/>
      <c r="F66" s="428"/>
      <c r="G66" s="429"/>
      <c r="H66" s="430"/>
      <c r="I66" s="75" t="s">
        <v>75</v>
      </c>
      <c r="J66" s="76"/>
      <c r="K66" s="139"/>
      <c r="L66" s="77" t="s">
        <v>63</v>
      </c>
      <c r="M66" s="78">
        <f t="shared" si="8"/>
        <v>0</v>
      </c>
      <c r="N66" s="140"/>
      <c r="O66" s="78"/>
      <c r="P66" s="80" t="s">
        <v>63</v>
      </c>
      <c r="Q66" s="447"/>
      <c r="R66" s="78"/>
      <c r="S66" s="80" t="s">
        <v>63</v>
      </c>
      <c r="T66" s="81">
        <f t="shared" si="3"/>
        <v>0</v>
      </c>
      <c r="U66" s="82"/>
      <c r="V66" s="137"/>
      <c r="W66" s="78"/>
      <c r="X66" s="78"/>
      <c r="Y66" s="557"/>
      <c r="Z66" s="141"/>
      <c r="AA66" s="135"/>
      <c r="AB66" s="361"/>
      <c r="AC66" s="287"/>
      <c r="AD66" s="251"/>
      <c r="AE66" s="251"/>
      <c r="AF66" s="251"/>
    </row>
    <row r="67" spans="1:32" s="176" customFormat="1" ht="69.95" customHeight="1" x14ac:dyDescent="0.15">
      <c r="A67" s="432"/>
      <c r="B67" s="186">
        <f>$I$7</f>
        <v>0</v>
      </c>
      <c r="C67" s="368">
        <f>$A$7</f>
        <v>0</v>
      </c>
      <c r="D67" s="369"/>
      <c r="E67" s="370"/>
      <c r="F67" s="428"/>
      <c r="G67" s="429"/>
      <c r="H67" s="430"/>
      <c r="I67" s="75" t="s">
        <v>75</v>
      </c>
      <c r="J67" s="76"/>
      <c r="K67" s="139"/>
      <c r="L67" s="77" t="s">
        <v>63</v>
      </c>
      <c r="M67" s="78">
        <f t="shared" si="8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362"/>
      <c r="AC67" s="287"/>
      <c r="AD67" s="251"/>
      <c r="AE67" s="251"/>
      <c r="AF67" s="251"/>
    </row>
    <row r="68" spans="1:32" s="206" customFormat="1" ht="69.95" customHeight="1" x14ac:dyDescent="0.15">
      <c r="A68" s="431" t="s">
        <v>114</v>
      </c>
      <c r="B68" s="191">
        <f t="shared" ref="B68" si="19">$I$5</f>
        <v>948</v>
      </c>
      <c r="C68" s="422" t="str">
        <f t="shared" ref="C68" si="20">$A$5</f>
        <v>BK</v>
      </c>
      <c r="D68" s="423"/>
      <c r="E68" s="424"/>
      <c r="F68" s="425"/>
      <c r="G68" s="426"/>
      <c r="H68" s="427"/>
      <c r="I68" s="433" t="s">
        <v>122</v>
      </c>
      <c r="J68" s="192"/>
      <c r="K68" s="193">
        <v>1</v>
      </c>
      <c r="L68" s="194" t="s">
        <v>63</v>
      </c>
      <c r="M68" s="195">
        <f t="shared" si="8"/>
        <v>948</v>
      </c>
      <c r="N68" s="196"/>
      <c r="O68" s="195"/>
      <c r="P68" s="194" t="s">
        <v>63</v>
      </c>
      <c r="Q68" s="435"/>
      <c r="R68" s="195"/>
      <c r="S68" s="194" t="s">
        <v>63</v>
      </c>
      <c r="T68" s="205">
        <f t="shared" si="3"/>
        <v>-948</v>
      </c>
      <c r="U68" s="199"/>
      <c r="V68" s="199"/>
      <c r="W68" s="208"/>
      <c r="X68" s="198"/>
      <c r="Y68" s="437" t="s">
        <v>64</v>
      </c>
      <c r="Z68" s="231"/>
      <c r="AA68" s="232"/>
      <c r="AB68" s="439"/>
    </row>
    <row r="69" spans="1:32" s="206" customFormat="1" ht="69.95" customHeight="1" x14ac:dyDescent="0.15">
      <c r="A69" s="559"/>
      <c r="B69" s="204">
        <f>$I$6</f>
        <v>0</v>
      </c>
      <c r="C69" s="422">
        <f>$A$6</f>
        <v>0</v>
      </c>
      <c r="D69" s="423"/>
      <c r="E69" s="424"/>
      <c r="F69" s="425"/>
      <c r="G69" s="426"/>
      <c r="H69" s="427"/>
      <c r="I69" s="560"/>
      <c r="J69" s="192"/>
      <c r="K69" s="193">
        <v>1</v>
      </c>
      <c r="L69" s="194" t="s">
        <v>63</v>
      </c>
      <c r="M69" s="195">
        <f t="shared" si="8"/>
        <v>0</v>
      </c>
      <c r="N69" s="233"/>
      <c r="O69" s="195"/>
      <c r="P69" s="194" t="s">
        <v>63</v>
      </c>
      <c r="Q69" s="561"/>
      <c r="R69" s="195"/>
      <c r="S69" s="194" t="s">
        <v>63</v>
      </c>
      <c r="T69" s="198">
        <f t="shared" si="3"/>
        <v>0</v>
      </c>
      <c r="U69" s="199"/>
      <c r="V69" s="200"/>
      <c r="W69" s="195"/>
      <c r="X69" s="195"/>
      <c r="Y69" s="562"/>
      <c r="Z69" s="201"/>
      <c r="AA69" s="202"/>
      <c r="AB69" s="558"/>
      <c r="AC69" s="234"/>
      <c r="AD69" s="230"/>
      <c r="AE69" s="230"/>
      <c r="AF69" s="230"/>
    </row>
    <row r="70" spans="1:32" s="206" customFormat="1" ht="69.95" customHeight="1" x14ac:dyDescent="0.15">
      <c r="A70" s="559"/>
      <c r="B70" s="204">
        <f>$I$7</f>
        <v>0</v>
      </c>
      <c r="C70" s="422">
        <f>$A$7</f>
        <v>0</v>
      </c>
      <c r="D70" s="423"/>
      <c r="E70" s="424"/>
      <c r="F70" s="425"/>
      <c r="G70" s="426"/>
      <c r="H70" s="427"/>
      <c r="I70" s="560"/>
      <c r="J70" s="192"/>
      <c r="K70" s="193">
        <v>1</v>
      </c>
      <c r="L70" s="194" t="s">
        <v>63</v>
      </c>
      <c r="M70" s="195">
        <f t="shared" si="8"/>
        <v>0</v>
      </c>
      <c r="N70" s="233"/>
      <c r="O70" s="195"/>
      <c r="P70" s="194" t="s">
        <v>63</v>
      </c>
      <c r="Q70" s="561"/>
      <c r="R70" s="195"/>
      <c r="S70" s="194" t="s">
        <v>63</v>
      </c>
      <c r="T70" s="198">
        <f t="shared" si="3"/>
        <v>0</v>
      </c>
      <c r="U70" s="199"/>
      <c r="V70" s="200"/>
      <c r="W70" s="195"/>
      <c r="X70" s="195"/>
      <c r="Y70" s="562"/>
      <c r="Z70" s="201"/>
      <c r="AA70" s="202"/>
      <c r="AB70" s="440"/>
      <c r="AC70" s="234"/>
      <c r="AD70" s="230"/>
      <c r="AE70" s="230"/>
      <c r="AF70" s="230"/>
    </row>
    <row r="71" spans="1:32" s="206" customFormat="1" ht="54.95" customHeight="1" x14ac:dyDescent="0.15">
      <c r="A71" s="431" t="s">
        <v>131</v>
      </c>
      <c r="B71" s="191">
        <f t="shared" ref="B71" si="21">$I$5</f>
        <v>948</v>
      </c>
      <c r="C71" s="422" t="str">
        <f t="shared" ref="C71" si="22">$A$5</f>
        <v>BK</v>
      </c>
      <c r="D71" s="423"/>
      <c r="E71" s="424"/>
      <c r="F71" s="425"/>
      <c r="G71" s="426"/>
      <c r="H71" s="427"/>
      <c r="I71" s="207" t="s">
        <v>109</v>
      </c>
      <c r="J71" s="192"/>
      <c r="K71" s="193">
        <v>2</v>
      </c>
      <c r="L71" s="194" t="s">
        <v>63</v>
      </c>
      <c r="M71" s="195">
        <f t="shared" si="8"/>
        <v>1896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-1896</v>
      </c>
      <c r="U71" s="199"/>
      <c r="V71" s="199"/>
      <c r="W71" s="208"/>
      <c r="X71" s="198"/>
      <c r="Y71" s="437" t="s">
        <v>64</v>
      </c>
      <c r="Z71" s="231"/>
      <c r="AA71" s="232"/>
      <c r="AB71" s="439"/>
    </row>
    <row r="72" spans="1:32" s="206" customFormat="1" ht="54.95" customHeight="1" x14ac:dyDescent="0.15">
      <c r="A72" s="559"/>
      <c r="B72" s="204">
        <f>$I$6</f>
        <v>0</v>
      </c>
      <c r="C72" s="422">
        <f>$A$6</f>
        <v>0</v>
      </c>
      <c r="D72" s="423"/>
      <c r="E72" s="424"/>
      <c r="F72" s="425"/>
      <c r="G72" s="426"/>
      <c r="H72" s="427"/>
      <c r="I72" s="207" t="s">
        <v>109</v>
      </c>
      <c r="J72" s="192"/>
      <c r="K72" s="193">
        <v>2</v>
      </c>
      <c r="L72" s="194" t="s">
        <v>63</v>
      </c>
      <c r="M72" s="195">
        <f t="shared" si="8"/>
        <v>0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0</v>
      </c>
      <c r="U72" s="199"/>
      <c r="V72" s="200"/>
      <c r="W72" s="195"/>
      <c r="X72" s="195"/>
      <c r="Y72" s="562"/>
      <c r="Z72" s="201"/>
      <c r="AA72" s="202"/>
      <c r="AB72" s="558"/>
    </row>
    <row r="73" spans="1:32" s="206" customFormat="1" ht="54.95" customHeight="1" x14ac:dyDescent="0.15">
      <c r="A73" s="432"/>
      <c r="B73" s="204">
        <f>$I$7</f>
        <v>0</v>
      </c>
      <c r="C73" s="422">
        <f>$A$7</f>
        <v>0</v>
      </c>
      <c r="D73" s="423"/>
      <c r="E73" s="424"/>
      <c r="F73" s="425"/>
      <c r="G73" s="426"/>
      <c r="H73" s="427"/>
      <c r="I73" s="207" t="s">
        <v>109</v>
      </c>
      <c r="J73" s="192"/>
      <c r="K73" s="193">
        <v>2</v>
      </c>
      <c r="L73" s="194" t="s">
        <v>63</v>
      </c>
      <c r="M73" s="195">
        <f t="shared" si="8"/>
        <v>0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0</v>
      </c>
      <c r="U73" s="199"/>
      <c r="V73" s="200"/>
      <c r="W73" s="195"/>
      <c r="X73" s="195"/>
      <c r="Y73" s="438"/>
      <c r="Z73" s="201"/>
      <c r="AA73" s="202"/>
      <c r="AB73" s="440"/>
    </row>
    <row r="74" spans="1:32" s="206" customFormat="1" ht="54.95" customHeight="1" x14ac:dyDescent="0.15">
      <c r="A74" s="431" t="s">
        <v>137</v>
      </c>
      <c r="B74" s="191">
        <f t="shared" ref="B74" si="23">$I$5</f>
        <v>948</v>
      </c>
      <c r="C74" s="422" t="str">
        <f t="shared" ref="C74" si="24">$A$5</f>
        <v>BK</v>
      </c>
      <c r="D74" s="423"/>
      <c r="E74" s="424"/>
      <c r="F74" s="425"/>
      <c r="G74" s="426"/>
      <c r="H74" s="427"/>
      <c r="I74" s="433"/>
      <c r="J74" s="192"/>
      <c r="K74" s="193">
        <v>1</v>
      </c>
      <c r="L74" s="194" t="s">
        <v>65</v>
      </c>
      <c r="M74" s="195">
        <f t="shared" si="8"/>
        <v>948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-948</v>
      </c>
      <c r="U74" s="199"/>
      <c r="V74" s="199"/>
      <c r="W74" s="208"/>
      <c r="X74" s="198"/>
      <c r="Y74" s="437" t="s">
        <v>64</v>
      </c>
      <c r="Z74" s="288"/>
      <c r="AA74" s="288"/>
      <c r="AB74" s="569"/>
    </row>
    <row r="75" spans="1:32" s="206" customFormat="1" ht="54.95" customHeight="1" x14ac:dyDescent="0.15">
      <c r="A75" s="559"/>
      <c r="B75" s="204">
        <f>$I$6</f>
        <v>0</v>
      </c>
      <c r="C75" s="422">
        <f>$A$6</f>
        <v>0</v>
      </c>
      <c r="D75" s="423"/>
      <c r="E75" s="424"/>
      <c r="F75" s="425"/>
      <c r="G75" s="426"/>
      <c r="H75" s="427"/>
      <c r="I75" s="560"/>
      <c r="J75" s="192"/>
      <c r="K75" s="193">
        <v>1</v>
      </c>
      <c r="L75" s="194" t="s">
        <v>65</v>
      </c>
      <c r="M75" s="195">
        <f t="shared" si="8"/>
        <v>0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0</v>
      </c>
      <c r="U75" s="199"/>
      <c r="V75" s="200"/>
      <c r="W75" s="195"/>
      <c r="X75" s="195"/>
      <c r="Y75" s="562"/>
      <c r="Z75" s="288"/>
      <c r="AA75" s="288"/>
      <c r="AB75" s="570"/>
    </row>
    <row r="76" spans="1:32" s="206" customFormat="1" ht="54.95" customHeight="1" x14ac:dyDescent="0.15">
      <c r="A76" s="432"/>
      <c r="B76" s="204">
        <f>$I$7</f>
        <v>0</v>
      </c>
      <c r="C76" s="422">
        <f>$A$7</f>
        <v>0</v>
      </c>
      <c r="D76" s="423"/>
      <c r="E76" s="424"/>
      <c r="F76" s="425"/>
      <c r="G76" s="426"/>
      <c r="H76" s="427"/>
      <c r="I76" s="434"/>
      <c r="J76" s="192"/>
      <c r="K76" s="193">
        <v>1</v>
      </c>
      <c r="L76" s="194" t="s">
        <v>65</v>
      </c>
      <c r="M76" s="195">
        <f t="shared" si="8"/>
        <v>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0</v>
      </c>
      <c r="U76" s="199"/>
      <c r="V76" s="200"/>
      <c r="W76" s="195"/>
      <c r="X76" s="195"/>
      <c r="Y76" s="438"/>
      <c r="Z76" s="288"/>
      <c r="AA76" s="288"/>
      <c r="AB76" s="571"/>
    </row>
    <row r="77" spans="1:32" s="206" customFormat="1" ht="69.95" customHeight="1" x14ac:dyDescent="0.15">
      <c r="A77" s="431" t="s">
        <v>120</v>
      </c>
      <c r="B77" s="191">
        <f t="shared" ref="B77" si="25">$I$5</f>
        <v>948</v>
      </c>
      <c r="C77" s="422" t="str">
        <f t="shared" ref="C77" si="26">$A$5</f>
        <v>BK</v>
      </c>
      <c r="D77" s="423"/>
      <c r="E77" s="424"/>
      <c r="F77" s="425"/>
      <c r="G77" s="426"/>
      <c r="H77" s="427"/>
      <c r="I77" s="433" t="s">
        <v>76</v>
      </c>
      <c r="J77" s="192"/>
      <c r="K77" s="193">
        <v>1</v>
      </c>
      <c r="L77" s="194" t="s">
        <v>63</v>
      </c>
      <c r="M77" s="195">
        <f t="shared" si="8"/>
        <v>948</v>
      </c>
      <c r="N77" s="196"/>
      <c r="O77" s="195"/>
      <c r="P77" s="197" t="s">
        <v>63</v>
      </c>
      <c r="Q77" s="435"/>
      <c r="R77" s="195"/>
      <c r="S77" s="197" t="s">
        <v>63</v>
      </c>
      <c r="T77" s="205">
        <f t="shared" si="3"/>
        <v>-948</v>
      </c>
      <c r="U77" s="199"/>
      <c r="V77" s="199"/>
      <c r="W77" s="208"/>
      <c r="X77" s="198"/>
      <c r="Y77" s="437" t="s">
        <v>64</v>
      </c>
      <c r="Z77" s="288"/>
      <c r="AA77" s="288"/>
      <c r="AB77" s="569"/>
    </row>
    <row r="78" spans="1:32" s="206" customFormat="1" ht="69.95" customHeight="1" x14ac:dyDescent="0.15">
      <c r="A78" s="559"/>
      <c r="B78" s="204">
        <f>$I$6</f>
        <v>0</v>
      </c>
      <c r="C78" s="422">
        <f>$A$6</f>
        <v>0</v>
      </c>
      <c r="D78" s="423"/>
      <c r="E78" s="424"/>
      <c r="F78" s="425"/>
      <c r="G78" s="426"/>
      <c r="H78" s="427"/>
      <c r="I78" s="560"/>
      <c r="J78" s="192"/>
      <c r="K78" s="193">
        <v>1</v>
      </c>
      <c r="L78" s="194" t="s">
        <v>63</v>
      </c>
      <c r="M78" s="195">
        <f t="shared" si="8"/>
        <v>0</v>
      </c>
      <c r="N78" s="233"/>
      <c r="O78" s="195"/>
      <c r="P78" s="197" t="s">
        <v>63</v>
      </c>
      <c r="Q78" s="561"/>
      <c r="R78" s="195"/>
      <c r="S78" s="197" t="s">
        <v>63</v>
      </c>
      <c r="T78" s="198">
        <f t="shared" si="3"/>
        <v>0</v>
      </c>
      <c r="U78" s="199"/>
      <c r="V78" s="200"/>
      <c r="W78" s="195"/>
      <c r="X78" s="195"/>
      <c r="Y78" s="562"/>
      <c r="Z78" s="288"/>
      <c r="AA78" s="288"/>
      <c r="AB78" s="570"/>
      <c r="AC78" s="234"/>
      <c r="AD78" s="230"/>
      <c r="AE78" s="230"/>
      <c r="AF78" s="230"/>
    </row>
    <row r="79" spans="1:32" s="176" customFormat="1" ht="54.95" customHeight="1" x14ac:dyDescent="0.15">
      <c r="A79" s="432"/>
      <c r="B79" s="204">
        <f>$I$7</f>
        <v>0</v>
      </c>
      <c r="C79" s="422">
        <f>$A$7</f>
        <v>0</v>
      </c>
      <c r="D79" s="423"/>
      <c r="E79" s="424"/>
      <c r="F79" s="425"/>
      <c r="G79" s="426"/>
      <c r="H79" s="427"/>
      <c r="I79" s="434"/>
      <c r="J79" s="192"/>
      <c r="K79" s="193">
        <v>1</v>
      </c>
      <c r="L79" s="194" t="s">
        <v>63</v>
      </c>
      <c r="M79" s="195">
        <f t="shared" si="8"/>
        <v>0</v>
      </c>
      <c r="N79" s="233"/>
      <c r="O79" s="195"/>
      <c r="P79" s="197" t="s">
        <v>63</v>
      </c>
      <c r="Q79" s="436"/>
      <c r="R79" s="195"/>
      <c r="S79" s="197" t="s">
        <v>63</v>
      </c>
      <c r="T79" s="198">
        <f t="shared" si="3"/>
        <v>0</v>
      </c>
      <c r="U79" s="199"/>
      <c r="V79" s="200"/>
      <c r="W79" s="195"/>
      <c r="X79" s="195"/>
      <c r="Y79" s="438"/>
      <c r="Z79" s="288"/>
      <c r="AA79" s="288"/>
      <c r="AB79" s="571"/>
    </row>
    <row r="80" spans="1:32" s="176" customFormat="1" ht="54.95" customHeight="1" x14ac:dyDescent="0.15">
      <c r="A80" s="431" t="s">
        <v>119</v>
      </c>
      <c r="B80" s="191">
        <f t="shared" ref="B80" si="27">$I$5</f>
        <v>948</v>
      </c>
      <c r="C80" s="422" t="str">
        <f t="shared" ref="C80" si="28">$A$5</f>
        <v>BK</v>
      </c>
      <c r="D80" s="423"/>
      <c r="E80" s="424"/>
      <c r="F80" s="425"/>
      <c r="G80" s="426"/>
      <c r="H80" s="427"/>
      <c r="I80" s="433" t="s">
        <v>121</v>
      </c>
      <c r="J80" s="192"/>
      <c r="K80" s="193">
        <v>2</v>
      </c>
      <c r="L80" s="194" t="s">
        <v>63</v>
      </c>
      <c r="M80" s="195">
        <f>K80*B80</f>
        <v>1896</v>
      </c>
      <c r="N80" s="196"/>
      <c r="O80" s="195"/>
      <c r="P80" s="197" t="s">
        <v>63</v>
      </c>
      <c r="Q80" s="435"/>
      <c r="R80" s="195"/>
      <c r="S80" s="197" t="s">
        <v>63</v>
      </c>
      <c r="T80" s="205">
        <f>R80-M80</f>
        <v>-1896</v>
      </c>
      <c r="U80" s="199"/>
      <c r="V80" s="199"/>
      <c r="W80" s="208"/>
      <c r="X80" s="198"/>
      <c r="Y80" s="437" t="s">
        <v>64</v>
      </c>
      <c r="Z80" s="231"/>
      <c r="AA80" s="232"/>
      <c r="AB80" s="439"/>
    </row>
    <row r="81" spans="1:28" s="176" customFormat="1" ht="54.95" customHeight="1" thickBot="1" x14ac:dyDescent="0.2">
      <c r="A81" s="432"/>
      <c r="B81" s="204">
        <f>$I$6</f>
        <v>0</v>
      </c>
      <c r="C81" s="422">
        <f>$A$6</f>
        <v>0</v>
      </c>
      <c r="D81" s="423"/>
      <c r="E81" s="424"/>
      <c r="F81" s="425"/>
      <c r="G81" s="426"/>
      <c r="H81" s="427"/>
      <c r="I81" s="434"/>
      <c r="J81" s="192"/>
      <c r="K81" s="193">
        <v>2</v>
      </c>
      <c r="L81" s="194" t="s">
        <v>63</v>
      </c>
      <c r="M81" s="195">
        <f>K81*B81</f>
        <v>0</v>
      </c>
      <c r="N81" s="233"/>
      <c r="O81" s="195"/>
      <c r="P81" s="197" t="s">
        <v>63</v>
      </c>
      <c r="Q81" s="436"/>
      <c r="R81" s="195"/>
      <c r="S81" s="197" t="s">
        <v>63</v>
      </c>
      <c r="T81" s="198">
        <f>R81-M81</f>
        <v>0</v>
      </c>
      <c r="U81" s="199"/>
      <c r="V81" s="200"/>
      <c r="W81" s="195"/>
      <c r="X81" s="195"/>
      <c r="Y81" s="438"/>
      <c r="Z81" s="201"/>
      <c r="AA81" s="202"/>
      <c r="AB81" s="440"/>
    </row>
    <row r="82" spans="1:28" s="176" customFormat="1" ht="54.95" customHeight="1" thickTop="1" x14ac:dyDescent="0.15">
      <c r="A82" s="572" t="s">
        <v>66</v>
      </c>
      <c r="B82" s="164">
        <f>C11</f>
        <v>410</v>
      </c>
      <c r="C82" s="407" t="e">
        <f>#REF!</f>
        <v>#REF!</v>
      </c>
      <c r="D82" s="408"/>
      <c r="E82" s="409"/>
      <c r="F82" s="371"/>
      <c r="G82" s="372"/>
      <c r="H82" s="373"/>
      <c r="I82" s="276"/>
      <c r="J82" s="255"/>
      <c r="K82" s="263">
        <v>1</v>
      </c>
      <c r="L82" s="168" t="s">
        <v>63</v>
      </c>
      <c r="M82" s="169">
        <f t="shared" si="4"/>
        <v>410</v>
      </c>
      <c r="N82" s="171"/>
      <c r="O82" s="277"/>
      <c r="P82" s="169" t="s">
        <v>63</v>
      </c>
      <c r="Q82" s="376"/>
      <c r="R82" s="277">
        <v>410</v>
      </c>
      <c r="S82" s="169" t="s">
        <v>63</v>
      </c>
      <c r="T82" s="278">
        <f t="shared" si="3"/>
        <v>0</v>
      </c>
      <c r="U82" s="279"/>
      <c r="V82" s="280"/>
      <c r="W82" s="278"/>
      <c r="X82" s="278"/>
      <c r="Y82" s="374" t="s">
        <v>72</v>
      </c>
      <c r="Z82" s="374"/>
      <c r="AA82" s="374"/>
      <c r="AB82" s="566" t="s">
        <v>188</v>
      </c>
    </row>
    <row r="83" spans="1:28" s="176" customFormat="1" ht="54.95" customHeight="1" x14ac:dyDescent="0.15">
      <c r="A83" s="573"/>
      <c r="B83" s="164">
        <f>D11</f>
        <v>380</v>
      </c>
      <c r="C83" s="410"/>
      <c r="D83" s="411"/>
      <c r="E83" s="412"/>
      <c r="F83" s="371"/>
      <c r="G83" s="372"/>
      <c r="H83" s="373"/>
      <c r="I83" s="276"/>
      <c r="J83" s="255"/>
      <c r="K83" s="167">
        <v>1</v>
      </c>
      <c r="L83" s="168" t="s">
        <v>63</v>
      </c>
      <c r="M83" s="169">
        <f t="shared" si="4"/>
        <v>380</v>
      </c>
      <c r="N83" s="171"/>
      <c r="O83" s="277"/>
      <c r="P83" s="169" t="s">
        <v>63</v>
      </c>
      <c r="Q83" s="377"/>
      <c r="R83" s="277">
        <v>380</v>
      </c>
      <c r="S83" s="169" t="s">
        <v>63</v>
      </c>
      <c r="T83" s="278">
        <f t="shared" si="3"/>
        <v>0</v>
      </c>
      <c r="U83" s="279"/>
      <c r="V83" s="280"/>
      <c r="W83" s="278"/>
      <c r="X83" s="278"/>
      <c r="Y83" s="375"/>
      <c r="Z83" s="375"/>
      <c r="AA83" s="375"/>
      <c r="AB83" s="361"/>
    </row>
    <row r="84" spans="1:28" s="176" customFormat="1" ht="54.95" customHeight="1" x14ac:dyDescent="0.15">
      <c r="A84" s="573"/>
      <c r="B84" s="164">
        <f>E11</f>
        <v>158</v>
      </c>
      <c r="C84" s="410"/>
      <c r="D84" s="411"/>
      <c r="E84" s="412"/>
      <c r="F84" s="371"/>
      <c r="G84" s="372"/>
      <c r="H84" s="373"/>
      <c r="I84" s="276"/>
      <c r="J84" s="255"/>
      <c r="K84" s="167">
        <v>1</v>
      </c>
      <c r="L84" s="168" t="s">
        <v>63</v>
      </c>
      <c r="M84" s="169">
        <f t="shared" si="4"/>
        <v>158</v>
      </c>
      <c r="N84" s="171"/>
      <c r="O84" s="277"/>
      <c r="P84" s="169" t="s">
        <v>63</v>
      </c>
      <c r="Q84" s="377"/>
      <c r="R84" s="277">
        <v>158</v>
      </c>
      <c r="S84" s="169" t="s">
        <v>63</v>
      </c>
      <c r="T84" s="278">
        <f t="shared" si="3"/>
        <v>0</v>
      </c>
      <c r="U84" s="279"/>
      <c r="V84" s="280"/>
      <c r="W84" s="278"/>
      <c r="X84" s="278"/>
      <c r="Y84" s="375"/>
      <c r="Z84" s="375"/>
      <c r="AA84" s="375"/>
      <c r="AB84" s="361"/>
    </row>
    <row r="85" spans="1:28" s="176" customFormat="1" ht="54.95" customHeight="1" x14ac:dyDescent="0.15">
      <c r="A85" s="574"/>
      <c r="B85" s="164">
        <f>F11</f>
        <v>0</v>
      </c>
      <c r="C85" s="413"/>
      <c r="D85" s="414"/>
      <c r="E85" s="415"/>
      <c r="F85" s="371"/>
      <c r="G85" s="372"/>
      <c r="H85" s="373"/>
      <c r="I85" s="276"/>
      <c r="J85" s="255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8"/>
      <c r="R85" s="277"/>
      <c r="S85" s="169" t="s">
        <v>63</v>
      </c>
      <c r="T85" s="278">
        <f t="shared" si="3"/>
        <v>0</v>
      </c>
      <c r="U85" s="279"/>
      <c r="V85" s="280"/>
      <c r="W85" s="278"/>
      <c r="X85" s="278"/>
      <c r="Y85" s="379"/>
      <c r="Z85" s="379"/>
      <c r="AA85" s="379"/>
      <c r="AB85" s="362"/>
    </row>
    <row r="86" spans="1:28" s="176" customFormat="1" ht="54.95" customHeight="1" x14ac:dyDescent="0.15">
      <c r="A86" s="572" t="s">
        <v>68</v>
      </c>
      <c r="B86" s="164">
        <f>C5+C8</f>
        <v>410</v>
      </c>
      <c r="C86" s="456" t="str">
        <f>A5</f>
        <v>BK</v>
      </c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410</v>
      </c>
      <c r="N86" s="171"/>
      <c r="O86" s="277"/>
      <c r="P86" s="169" t="s">
        <v>63</v>
      </c>
      <c r="Q86" s="376"/>
      <c r="R86" s="277">
        <v>410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4" t="s">
        <v>72</v>
      </c>
      <c r="Z86" s="374"/>
      <c r="AA86" s="374"/>
      <c r="AB86" s="360" t="s">
        <v>188</v>
      </c>
    </row>
    <row r="87" spans="1:28" s="176" customFormat="1" ht="54.95" customHeight="1" x14ac:dyDescent="0.15">
      <c r="A87" s="573"/>
      <c r="B87" s="164">
        <f>D5+D8</f>
        <v>380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380</v>
      </c>
      <c r="N87" s="171"/>
      <c r="O87" s="277"/>
      <c r="P87" s="169" t="s">
        <v>63</v>
      </c>
      <c r="Q87" s="377"/>
      <c r="R87" s="277">
        <v>380</v>
      </c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361"/>
    </row>
    <row r="88" spans="1:28" s="176" customFormat="1" ht="54.95" customHeight="1" x14ac:dyDescent="0.15">
      <c r="A88" s="573"/>
      <c r="B88" s="164">
        <f>E5+E8</f>
        <v>158</v>
      </c>
      <c r="C88" s="456"/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158</v>
      </c>
      <c r="N88" s="171"/>
      <c r="O88" s="277"/>
      <c r="P88" s="169" t="s">
        <v>63</v>
      </c>
      <c r="Q88" s="377"/>
      <c r="R88" s="277">
        <v>158</v>
      </c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361"/>
    </row>
    <row r="89" spans="1:28" s="176" customFormat="1" ht="54.95" customHeight="1" x14ac:dyDescent="0.15">
      <c r="A89" s="573"/>
      <c r="B89" s="164">
        <f>C6+C9</f>
        <v>0</v>
      </c>
      <c r="C89" s="456">
        <f>A6</f>
        <v>0</v>
      </c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4"/>
        <v>0</v>
      </c>
      <c r="N89" s="171"/>
      <c r="O89" s="277"/>
      <c r="P89" s="169" t="s">
        <v>63</v>
      </c>
      <c r="Q89" s="377"/>
      <c r="R89" s="168"/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361"/>
    </row>
    <row r="90" spans="1:28" s="176" customFormat="1" ht="54.95" customHeight="1" x14ac:dyDescent="0.15">
      <c r="A90" s="573"/>
      <c r="B90" s="164">
        <f>D6+D9</f>
        <v>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4"/>
        <v>0</v>
      </c>
      <c r="N90" s="171"/>
      <c r="O90" s="277"/>
      <c r="P90" s="169" t="s">
        <v>63</v>
      </c>
      <c r="Q90" s="377"/>
      <c r="R90" s="168"/>
      <c r="S90" s="169" t="s">
        <v>63</v>
      </c>
      <c r="T90" s="278">
        <f t="shared" si="3"/>
        <v>0</v>
      </c>
      <c r="U90" s="281"/>
      <c r="V90" s="282"/>
      <c r="W90" s="278"/>
      <c r="X90" s="278"/>
      <c r="Y90" s="375"/>
      <c r="Z90" s="375"/>
      <c r="AA90" s="375"/>
      <c r="AB90" s="361"/>
    </row>
    <row r="91" spans="1:28" s="176" customFormat="1" ht="54.95" customHeight="1" x14ac:dyDescent="0.15">
      <c r="A91" s="573"/>
      <c r="B91" s="164">
        <f>E6+E9</f>
        <v>0</v>
      </c>
      <c r="C91" s="456"/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4"/>
        <v>0</v>
      </c>
      <c r="N91" s="171"/>
      <c r="O91" s="277"/>
      <c r="P91" s="169" t="s">
        <v>63</v>
      </c>
      <c r="Q91" s="377"/>
      <c r="R91" s="277"/>
      <c r="S91" s="169" t="s">
        <v>63</v>
      </c>
      <c r="T91" s="278">
        <f>R91-M91</f>
        <v>0</v>
      </c>
      <c r="U91" s="281"/>
      <c r="V91" s="282"/>
      <c r="W91" s="278"/>
      <c r="X91" s="278"/>
      <c r="Y91" s="375"/>
      <c r="Z91" s="375"/>
      <c r="AA91" s="375"/>
      <c r="AB91" s="361"/>
    </row>
    <row r="92" spans="1:28" s="176" customFormat="1" ht="54.95" customHeight="1" x14ac:dyDescent="0.15">
      <c r="A92" s="573"/>
      <c r="B92" s="164">
        <f>C7+C10</f>
        <v>0</v>
      </c>
      <c r="C92" s="456">
        <f>A7</f>
        <v>0</v>
      </c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ref="M92:M110" si="29">K92*B92</f>
        <v>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>R92-M92</f>
        <v>0</v>
      </c>
      <c r="U92" s="281"/>
      <c r="V92" s="282"/>
      <c r="W92" s="278"/>
      <c r="X92" s="278"/>
      <c r="Y92" s="375"/>
      <c r="Z92" s="375"/>
      <c r="AA92" s="375"/>
      <c r="AB92" s="361"/>
    </row>
    <row r="93" spans="1:28" s="176" customFormat="1" ht="54.95" customHeight="1" x14ac:dyDescent="0.15">
      <c r="A93" s="573"/>
      <c r="B93" s="164">
        <f>D7+D10</f>
        <v>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9"/>
        <v>0</v>
      </c>
      <c r="N93" s="171"/>
      <c r="O93" s="277"/>
      <c r="P93" s="169" t="s">
        <v>63</v>
      </c>
      <c r="Q93" s="377"/>
      <c r="R93" s="277"/>
      <c r="S93" s="169" t="s">
        <v>63</v>
      </c>
      <c r="T93" s="278">
        <f>R93-M93</f>
        <v>0</v>
      </c>
      <c r="U93" s="281"/>
      <c r="V93" s="282"/>
      <c r="W93" s="278"/>
      <c r="X93" s="278"/>
      <c r="Y93" s="375"/>
      <c r="Z93" s="375"/>
      <c r="AA93" s="375"/>
      <c r="AB93" s="361"/>
    </row>
    <row r="94" spans="1:28" s="176" customFormat="1" ht="54.95" customHeight="1" x14ac:dyDescent="0.15">
      <c r="A94" s="573"/>
      <c r="B94" s="164">
        <f>E7+E10</f>
        <v>0</v>
      </c>
      <c r="C94" s="456"/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9"/>
        <v>0</v>
      </c>
      <c r="N94" s="171"/>
      <c r="O94" s="277"/>
      <c r="P94" s="169" t="s">
        <v>63</v>
      </c>
      <c r="Q94" s="378"/>
      <c r="R94" s="168"/>
      <c r="S94" s="169" t="s">
        <v>63</v>
      </c>
      <c r="T94" s="278">
        <f>R94-M94</f>
        <v>0</v>
      </c>
      <c r="U94" s="281"/>
      <c r="V94" s="282"/>
      <c r="W94" s="278"/>
      <c r="X94" s="278"/>
      <c r="Y94" s="379"/>
      <c r="Z94" s="379"/>
      <c r="AA94" s="379"/>
      <c r="AB94" s="362"/>
    </row>
    <row r="95" spans="1:28" s="176" customFormat="1" ht="54.95" customHeight="1" x14ac:dyDescent="0.15">
      <c r="A95" s="572" t="s">
        <v>69</v>
      </c>
      <c r="B95" s="164">
        <f>C5</f>
        <v>410</v>
      </c>
      <c r="C95" s="456" t="str">
        <f>A5</f>
        <v>BK</v>
      </c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9"/>
        <v>410</v>
      </c>
      <c r="N95" s="171"/>
      <c r="O95" s="277"/>
      <c r="P95" s="169" t="s">
        <v>63</v>
      </c>
      <c r="Q95" s="376">
        <v>45996</v>
      </c>
      <c r="R95" s="277">
        <v>410</v>
      </c>
      <c r="S95" s="169" t="s">
        <v>63</v>
      </c>
      <c r="T95" s="278">
        <f t="shared" si="3"/>
        <v>0</v>
      </c>
      <c r="U95" s="281"/>
      <c r="V95" s="282"/>
      <c r="W95" s="278"/>
      <c r="X95" s="278"/>
      <c r="Y95" s="374" t="s">
        <v>67</v>
      </c>
      <c r="Z95" s="374"/>
      <c r="AA95" s="374"/>
      <c r="AB95" s="360" t="s">
        <v>212</v>
      </c>
    </row>
    <row r="96" spans="1:28" s="176" customFormat="1" ht="54.95" customHeight="1" x14ac:dyDescent="0.15">
      <c r="A96" s="573"/>
      <c r="B96" s="164">
        <f>D5</f>
        <v>380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9"/>
        <v>380</v>
      </c>
      <c r="N96" s="171"/>
      <c r="O96" s="277"/>
      <c r="P96" s="169" t="s">
        <v>63</v>
      </c>
      <c r="Q96" s="377"/>
      <c r="R96" s="277">
        <v>380</v>
      </c>
      <c r="S96" s="169" t="s">
        <v>63</v>
      </c>
      <c r="T96" s="278">
        <f t="shared" si="3"/>
        <v>0</v>
      </c>
      <c r="U96" s="281"/>
      <c r="V96" s="282"/>
      <c r="W96" s="278"/>
      <c r="X96" s="278"/>
      <c r="Y96" s="375"/>
      <c r="Z96" s="375"/>
      <c r="AA96" s="375"/>
      <c r="AB96" s="361"/>
    </row>
    <row r="97" spans="1:28" s="176" customFormat="1" ht="54.95" customHeight="1" x14ac:dyDescent="0.15">
      <c r="A97" s="573"/>
      <c r="B97" s="164">
        <f>E5</f>
        <v>158</v>
      </c>
      <c r="C97" s="456"/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9"/>
        <v>158</v>
      </c>
      <c r="N97" s="171"/>
      <c r="O97" s="277"/>
      <c r="P97" s="169" t="s">
        <v>63</v>
      </c>
      <c r="Q97" s="377"/>
      <c r="R97" s="277">
        <v>158</v>
      </c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361"/>
    </row>
    <row r="98" spans="1:28" s="176" customFormat="1" ht="54.95" customHeight="1" x14ac:dyDescent="0.15">
      <c r="A98" s="573"/>
      <c r="B98" s="164">
        <f>C6</f>
        <v>0</v>
      </c>
      <c r="C98" s="456">
        <f>A6</f>
        <v>0</v>
      </c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9"/>
        <v>0</v>
      </c>
      <c r="N98" s="171"/>
      <c r="O98" s="277"/>
      <c r="P98" s="169" t="s">
        <v>63</v>
      </c>
      <c r="Q98" s="377"/>
      <c r="R98" s="168"/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361"/>
    </row>
    <row r="99" spans="1:28" s="176" customFormat="1" ht="54.95" customHeight="1" x14ac:dyDescent="0.15">
      <c r="A99" s="573"/>
      <c r="B99" s="164">
        <f>D6</f>
        <v>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9"/>
        <v>0</v>
      </c>
      <c r="N99" s="171"/>
      <c r="O99" s="277"/>
      <c r="P99" s="169" t="s">
        <v>63</v>
      </c>
      <c r="Q99" s="377"/>
      <c r="R99" s="168"/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9"/>
      <c r="AA99" s="379"/>
      <c r="AB99" s="361"/>
    </row>
    <row r="100" spans="1:28" s="55" customFormat="1" ht="54.95" customHeight="1" x14ac:dyDescent="0.15">
      <c r="A100" s="573"/>
      <c r="B100" s="164">
        <f>E6</f>
        <v>0</v>
      </c>
      <c r="C100" s="456"/>
      <c r="D100" s="456"/>
      <c r="E100" s="456"/>
      <c r="F100" s="371"/>
      <c r="G100" s="372"/>
      <c r="H100" s="373"/>
      <c r="I100" s="276"/>
      <c r="J100" s="276"/>
      <c r="K100" s="167">
        <v>1</v>
      </c>
      <c r="L100" s="168" t="s">
        <v>63</v>
      </c>
      <c r="M100" s="169">
        <f t="shared" si="29"/>
        <v>0</v>
      </c>
      <c r="N100" s="171"/>
      <c r="O100" s="277"/>
      <c r="P100" s="169" t="s">
        <v>63</v>
      </c>
      <c r="Q100" s="377"/>
      <c r="R100" s="277"/>
      <c r="S100" s="169" t="s">
        <v>63</v>
      </c>
      <c r="T100" s="278">
        <f t="shared" si="3"/>
        <v>0</v>
      </c>
      <c r="U100" s="281"/>
      <c r="V100" s="282"/>
      <c r="W100" s="278"/>
      <c r="X100" s="278"/>
      <c r="Y100" s="375"/>
      <c r="Z100" s="374"/>
      <c r="AA100" s="374"/>
      <c r="AB100" s="361"/>
    </row>
    <row r="101" spans="1:28" s="55" customFormat="1" ht="54.95" customHeight="1" x14ac:dyDescent="0.15">
      <c r="A101" s="573"/>
      <c r="B101" s="164">
        <f>C7</f>
        <v>0</v>
      </c>
      <c r="C101" s="456">
        <f>A7</f>
        <v>0</v>
      </c>
      <c r="D101" s="456"/>
      <c r="E101" s="456"/>
      <c r="F101" s="371"/>
      <c r="G101" s="372"/>
      <c r="H101" s="373"/>
      <c r="I101" s="276"/>
      <c r="J101" s="276"/>
      <c r="K101" s="167">
        <v>1</v>
      </c>
      <c r="L101" s="168" t="s">
        <v>63</v>
      </c>
      <c r="M101" s="169">
        <f t="shared" si="29"/>
        <v>0</v>
      </c>
      <c r="N101" s="171"/>
      <c r="O101" s="277"/>
      <c r="P101" s="169" t="s">
        <v>63</v>
      </c>
      <c r="Q101" s="377"/>
      <c r="R101" s="277"/>
      <c r="S101" s="169" t="s">
        <v>63</v>
      </c>
      <c r="T101" s="278">
        <f t="shared" si="3"/>
        <v>0</v>
      </c>
      <c r="U101" s="281"/>
      <c r="V101" s="282"/>
      <c r="W101" s="278"/>
      <c r="X101" s="278"/>
      <c r="Y101" s="375"/>
      <c r="Z101" s="375"/>
      <c r="AA101" s="375"/>
      <c r="AB101" s="361"/>
    </row>
    <row r="102" spans="1:28" s="55" customFormat="1" ht="54.95" customHeight="1" x14ac:dyDescent="0.15">
      <c r="A102" s="573"/>
      <c r="B102" s="164">
        <f>D7</f>
        <v>0</v>
      </c>
      <c r="C102" s="456"/>
      <c r="D102" s="456"/>
      <c r="E102" s="456"/>
      <c r="F102" s="371"/>
      <c r="G102" s="372"/>
      <c r="H102" s="373"/>
      <c r="I102" s="276"/>
      <c r="J102" s="276"/>
      <c r="K102" s="167">
        <v>1</v>
      </c>
      <c r="L102" s="168" t="s">
        <v>63</v>
      </c>
      <c r="M102" s="169">
        <f t="shared" si="29"/>
        <v>0</v>
      </c>
      <c r="N102" s="171"/>
      <c r="O102" s="277"/>
      <c r="P102" s="169" t="s">
        <v>63</v>
      </c>
      <c r="Q102" s="377"/>
      <c r="R102" s="277"/>
      <c r="S102" s="169" t="s">
        <v>63</v>
      </c>
      <c r="T102" s="278">
        <f t="shared" si="3"/>
        <v>0</v>
      </c>
      <c r="U102" s="281"/>
      <c r="V102" s="282"/>
      <c r="W102" s="278"/>
      <c r="X102" s="278"/>
      <c r="Y102" s="375"/>
      <c r="Z102" s="375"/>
      <c r="AA102" s="375"/>
      <c r="AB102" s="361"/>
    </row>
    <row r="103" spans="1:28" s="176" customFormat="1" ht="54.95" customHeight="1" x14ac:dyDescent="0.15">
      <c r="A103" s="573"/>
      <c r="B103" s="164">
        <f>E7</f>
        <v>0</v>
      </c>
      <c r="C103" s="456"/>
      <c r="D103" s="456"/>
      <c r="E103" s="456"/>
      <c r="F103" s="371"/>
      <c r="G103" s="372"/>
      <c r="H103" s="373"/>
      <c r="I103" s="276"/>
      <c r="J103" s="276"/>
      <c r="K103" s="167">
        <v>1</v>
      </c>
      <c r="L103" s="168" t="s">
        <v>63</v>
      </c>
      <c r="M103" s="169">
        <f t="shared" si="29"/>
        <v>0</v>
      </c>
      <c r="N103" s="171"/>
      <c r="O103" s="277"/>
      <c r="P103" s="169" t="s">
        <v>63</v>
      </c>
      <c r="Q103" s="378"/>
      <c r="R103" s="168"/>
      <c r="S103" s="169" t="s">
        <v>63</v>
      </c>
      <c r="T103" s="278">
        <f t="shared" si="3"/>
        <v>0</v>
      </c>
      <c r="U103" s="281"/>
      <c r="V103" s="282"/>
      <c r="W103" s="278"/>
      <c r="X103" s="278"/>
      <c r="Y103" s="379"/>
      <c r="Z103" s="375"/>
      <c r="AA103" s="375"/>
      <c r="AB103" s="362"/>
    </row>
    <row r="104" spans="1:28" s="55" customFormat="1" ht="54.95" customHeight="1" x14ac:dyDescent="0.15">
      <c r="A104" s="572" t="s">
        <v>70</v>
      </c>
      <c r="B104" s="87">
        <f>C11</f>
        <v>410</v>
      </c>
      <c r="C104" s="389" t="s">
        <v>71</v>
      </c>
      <c r="D104" s="390"/>
      <c r="E104" s="391"/>
      <c r="F104" s="368"/>
      <c r="G104" s="369"/>
      <c r="H104" s="370"/>
      <c r="I104" s="152"/>
      <c r="J104" s="90"/>
      <c r="K104" s="156">
        <v>1</v>
      </c>
      <c r="L104" s="77" t="s">
        <v>63</v>
      </c>
      <c r="M104" s="88">
        <f t="shared" si="29"/>
        <v>410</v>
      </c>
      <c r="N104" s="89"/>
      <c r="O104" s="153"/>
      <c r="P104" s="88" t="s">
        <v>63</v>
      </c>
      <c r="Q104" s="398">
        <v>45959</v>
      </c>
      <c r="R104" s="93">
        <v>410</v>
      </c>
      <c r="S104" s="88" t="s">
        <v>63</v>
      </c>
      <c r="T104" s="154">
        <f t="shared" si="3"/>
        <v>0</v>
      </c>
      <c r="U104" s="91"/>
      <c r="V104" s="159"/>
      <c r="W104" s="159"/>
      <c r="X104" s="159"/>
      <c r="Y104" s="401" t="s">
        <v>94</v>
      </c>
      <c r="Z104" s="416"/>
      <c r="AA104" s="416"/>
      <c r="AB104" s="419" t="s">
        <v>188</v>
      </c>
    </row>
    <row r="105" spans="1:28" s="55" customFormat="1" ht="54.95" customHeight="1" x14ac:dyDescent="0.15">
      <c r="A105" s="573"/>
      <c r="B105" s="87">
        <f>D11</f>
        <v>380</v>
      </c>
      <c r="C105" s="392"/>
      <c r="D105" s="393"/>
      <c r="E105" s="394"/>
      <c r="F105" s="368"/>
      <c r="G105" s="369"/>
      <c r="H105" s="370"/>
      <c r="I105" s="152"/>
      <c r="J105" s="90"/>
      <c r="K105" s="156">
        <v>1</v>
      </c>
      <c r="L105" s="77" t="s">
        <v>63</v>
      </c>
      <c r="M105" s="88">
        <f t="shared" si="29"/>
        <v>380</v>
      </c>
      <c r="N105" s="89"/>
      <c r="O105" s="153"/>
      <c r="P105" s="88" t="s">
        <v>63</v>
      </c>
      <c r="Q105" s="399"/>
      <c r="R105" s="93">
        <v>380</v>
      </c>
      <c r="S105" s="88" t="s">
        <v>63</v>
      </c>
      <c r="T105" s="154">
        <f t="shared" si="3"/>
        <v>0</v>
      </c>
      <c r="U105" s="91"/>
      <c r="V105" s="159"/>
      <c r="W105" s="159"/>
      <c r="X105" s="159"/>
      <c r="Y105" s="402"/>
      <c r="Z105" s="417"/>
      <c r="AA105" s="417"/>
      <c r="AB105" s="420"/>
    </row>
    <row r="106" spans="1:28" ht="54.95" customHeight="1" x14ac:dyDescent="0.15">
      <c r="A106" s="573"/>
      <c r="B106" s="87">
        <f>E11</f>
        <v>158</v>
      </c>
      <c r="C106" s="392"/>
      <c r="D106" s="393"/>
      <c r="E106" s="394"/>
      <c r="F106" s="368"/>
      <c r="G106" s="369"/>
      <c r="H106" s="370"/>
      <c r="I106" s="152"/>
      <c r="J106" s="90"/>
      <c r="K106" s="156">
        <v>1</v>
      </c>
      <c r="L106" s="77" t="s">
        <v>63</v>
      </c>
      <c r="M106" s="88">
        <f t="shared" si="29"/>
        <v>158</v>
      </c>
      <c r="N106" s="89"/>
      <c r="O106" s="153"/>
      <c r="P106" s="88" t="s">
        <v>63</v>
      </c>
      <c r="Q106" s="399"/>
      <c r="R106" s="93">
        <v>158</v>
      </c>
      <c r="S106" s="88" t="s">
        <v>63</v>
      </c>
      <c r="T106" s="154">
        <f t="shared" si="3"/>
        <v>0</v>
      </c>
      <c r="U106" s="91"/>
      <c r="V106" s="159"/>
      <c r="W106" s="159"/>
      <c r="X106" s="159"/>
      <c r="Y106" s="402"/>
      <c r="Z106" s="417"/>
      <c r="AA106" s="417"/>
      <c r="AB106" s="420"/>
    </row>
    <row r="107" spans="1:28" ht="54.95" customHeight="1" x14ac:dyDescent="0.15">
      <c r="A107" s="574"/>
      <c r="B107" s="87">
        <f>F11</f>
        <v>0</v>
      </c>
      <c r="C107" s="395"/>
      <c r="D107" s="396"/>
      <c r="E107" s="397"/>
      <c r="F107" s="368"/>
      <c r="G107" s="369"/>
      <c r="H107" s="370"/>
      <c r="I107" s="152"/>
      <c r="J107" s="90"/>
      <c r="K107" s="156">
        <v>1</v>
      </c>
      <c r="L107" s="77" t="s">
        <v>63</v>
      </c>
      <c r="M107" s="88">
        <f t="shared" si="29"/>
        <v>0</v>
      </c>
      <c r="N107" s="89"/>
      <c r="O107" s="153"/>
      <c r="P107" s="88" t="s">
        <v>63</v>
      </c>
      <c r="Q107" s="400"/>
      <c r="R107" s="162"/>
      <c r="S107" s="88" t="s">
        <v>63</v>
      </c>
      <c r="T107" s="154">
        <f t="shared" si="3"/>
        <v>0</v>
      </c>
      <c r="U107" s="91"/>
      <c r="V107" s="159"/>
      <c r="W107" s="159"/>
      <c r="X107" s="159"/>
      <c r="Y107" s="403"/>
      <c r="Z107" s="418"/>
      <c r="AA107" s="418"/>
      <c r="AB107" s="421"/>
    </row>
    <row r="108" spans="1:28" ht="37.5" x14ac:dyDescent="0.15">
      <c r="A108" s="163" t="s">
        <v>73</v>
      </c>
      <c r="B108" s="164">
        <f>I11</f>
        <v>948</v>
      </c>
      <c r="C108" s="371" t="s">
        <v>71</v>
      </c>
      <c r="D108" s="372"/>
      <c r="E108" s="373"/>
      <c r="F108" s="371"/>
      <c r="G108" s="372"/>
      <c r="H108" s="373"/>
      <c r="I108" s="165"/>
      <c r="J108" s="166"/>
      <c r="K108" s="167">
        <v>1</v>
      </c>
      <c r="L108" s="168" t="s">
        <v>63</v>
      </c>
      <c r="M108" s="88">
        <f t="shared" si="29"/>
        <v>948</v>
      </c>
      <c r="N108" s="170"/>
      <c r="O108" s="170"/>
      <c r="P108" s="169" t="s">
        <v>63</v>
      </c>
      <c r="Q108" s="363">
        <v>45959</v>
      </c>
      <c r="R108" s="165">
        <v>948</v>
      </c>
      <c r="S108" s="169" t="s">
        <v>63</v>
      </c>
      <c r="T108" s="154">
        <f t="shared" si="3"/>
        <v>0</v>
      </c>
      <c r="U108" s="170"/>
      <c r="V108" s="172"/>
      <c r="W108" s="172"/>
      <c r="X108" s="172"/>
      <c r="Y108" s="173" t="s">
        <v>72</v>
      </c>
      <c r="Z108" s="97"/>
      <c r="AA108" s="98"/>
      <c r="AB108" s="575" t="s">
        <v>188</v>
      </c>
    </row>
    <row r="109" spans="1:28" ht="38.25" customHeight="1" x14ac:dyDescent="0.15">
      <c r="A109" s="163" t="s">
        <v>81</v>
      </c>
      <c r="B109" s="87">
        <f>I11</f>
        <v>948</v>
      </c>
      <c r="C109" s="368" t="s">
        <v>71</v>
      </c>
      <c r="D109" s="369"/>
      <c r="E109" s="370"/>
      <c r="F109" s="368"/>
      <c r="G109" s="369"/>
      <c r="H109" s="370"/>
      <c r="I109" s="93"/>
      <c r="J109" s="90"/>
      <c r="K109" s="156">
        <v>1</v>
      </c>
      <c r="L109" s="77" t="s">
        <v>63</v>
      </c>
      <c r="M109" s="88">
        <f>K109*B109</f>
        <v>948</v>
      </c>
      <c r="N109" s="91"/>
      <c r="O109" s="91"/>
      <c r="P109" s="169" t="s">
        <v>63</v>
      </c>
      <c r="Q109" s="364"/>
      <c r="R109" s="165">
        <v>948</v>
      </c>
      <c r="S109" s="169" t="s">
        <v>63</v>
      </c>
      <c r="T109" s="154">
        <f t="shared" si="3"/>
        <v>0</v>
      </c>
      <c r="U109" s="91"/>
      <c r="V109" s="91"/>
      <c r="W109" s="91"/>
      <c r="X109" s="91"/>
      <c r="Y109" s="160" t="s">
        <v>72</v>
      </c>
      <c r="Z109" s="289"/>
      <c r="AA109" s="289"/>
      <c r="AB109" s="589"/>
    </row>
    <row r="110" spans="1:28" ht="37.5" x14ac:dyDescent="0.15">
      <c r="A110" s="284" t="s">
        <v>74</v>
      </c>
      <c r="B110" s="87">
        <f>I11</f>
        <v>948</v>
      </c>
      <c r="C110" s="368" t="s">
        <v>71</v>
      </c>
      <c r="D110" s="369"/>
      <c r="E110" s="370"/>
      <c r="F110" s="368"/>
      <c r="G110" s="369"/>
      <c r="H110" s="370"/>
      <c r="I110" s="93"/>
      <c r="J110" s="93"/>
      <c r="K110" s="156">
        <v>1</v>
      </c>
      <c r="L110" s="77" t="s">
        <v>63</v>
      </c>
      <c r="M110" s="88">
        <f t="shared" si="29"/>
        <v>948</v>
      </c>
      <c r="N110" s="91"/>
      <c r="O110" s="91"/>
      <c r="P110" s="89" t="s">
        <v>63</v>
      </c>
      <c r="Q110" s="365"/>
      <c r="R110" s="93">
        <v>950</v>
      </c>
      <c r="S110" s="89" t="s">
        <v>63</v>
      </c>
      <c r="T110" s="154">
        <f t="shared" si="3"/>
        <v>2</v>
      </c>
      <c r="U110" s="91"/>
      <c r="V110" s="91"/>
      <c r="W110" s="91"/>
      <c r="X110" s="91"/>
      <c r="Y110" s="160" t="s">
        <v>72</v>
      </c>
      <c r="Z110" s="289"/>
      <c r="AA110" s="289"/>
      <c r="AB110" s="576"/>
    </row>
    <row r="111" spans="1:28" x14ac:dyDescent="0.15">
      <c r="A111" s="285"/>
      <c r="B111" s="366"/>
      <c r="C111" s="366"/>
      <c r="D111" s="177"/>
      <c r="E111" s="177"/>
      <c r="F111" s="100"/>
      <c r="G111" s="100"/>
      <c r="H111" s="100"/>
      <c r="I111" s="177"/>
      <c r="J111" s="177"/>
      <c r="K111" s="101"/>
      <c r="L111" s="102"/>
      <c r="M111" s="103"/>
      <c r="N111" s="104"/>
      <c r="O111" s="104"/>
      <c r="P111" s="177"/>
      <c r="Q111" s="105"/>
      <c r="R111" s="105"/>
      <c r="S111" s="106"/>
      <c r="T111" s="107"/>
      <c r="U111" s="108"/>
      <c r="V111" s="108"/>
      <c r="W111" s="109"/>
      <c r="X111" s="107"/>
      <c r="Y111" s="110"/>
    </row>
    <row r="112" spans="1:28" x14ac:dyDescent="0.15">
      <c r="A112" s="285"/>
      <c r="B112" s="366"/>
      <c r="C112" s="366"/>
      <c r="D112" s="177"/>
      <c r="E112" s="177"/>
      <c r="F112" s="367"/>
      <c r="G112" s="367"/>
      <c r="H112" s="367"/>
      <c r="I112" s="177"/>
      <c r="J112" s="177"/>
      <c r="K112" s="101"/>
      <c r="L112" s="102"/>
      <c r="M112" s="103"/>
      <c r="N112" s="104"/>
      <c r="O112" s="104"/>
      <c r="P112" s="177"/>
      <c r="Q112" s="105"/>
      <c r="R112" s="105"/>
      <c r="S112" s="106"/>
      <c r="T112" s="107"/>
      <c r="U112" s="108"/>
      <c r="V112" s="108"/>
      <c r="W112" s="109"/>
      <c r="X112" s="107"/>
      <c r="Y112" s="112"/>
    </row>
    <row r="113" spans="1:29" x14ac:dyDescent="0.15">
      <c r="J113" s="177"/>
    </row>
    <row r="114" spans="1:29" x14ac:dyDescent="0.15">
      <c r="J114" s="177"/>
    </row>
    <row r="116" spans="1:29" s="114" customFormat="1" x14ac:dyDescent="0.15">
      <c r="A116" s="286"/>
      <c r="B116" s="113"/>
      <c r="C116" s="1"/>
      <c r="D116" s="1"/>
      <c r="E116" s="1"/>
      <c r="F116" s="1"/>
      <c r="G116" s="1"/>
      <c r="H116" s="1"/>
      <c r="I116" s="1"/>
      <c r="J116" s="1"/>
      <c r="L116" s="115"/>
      <c r="M116" s="116"/>
      <c r="N116" s="117"/>
      <c r="O116" s="117"/>
      <c r="P116" s="1"/>
      <c r="Q116" s="118"/>
      <c r="R116" s="118"/>
      <c r="S116" s="115"/>
      <c r="T116" s="119"/>
      <c r="U116" s="1"/>
      <c r="V116" s="1"/>
      <c r="W116" s="120"/>
      <c r="X116" s="121"/>
      <c r="Y116" s="1"/>
      <c r="Z116" s="1"/>
      <c r="AA116" s="1"/>
      <c r="AB116" s="1"/>
      <c r="AC116" s="1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</sheetData>
  <mergeCells count="389">
    <mergeCell ref="AB108:AB110"/>
    <mergeCell ref="Q108:Q110"/>
    <mergeCell ref="F109:H109"/>
    <mergeCell ref="C110:E110"/>
    <mergeCell ref="F110:H110"/>
    <mergeCell ref="B111:C111"/>
    <mergeCell ref="B112:C112"/>
    <mergeCell ref="F112:H112"/>
    <mergeCell ref="AA104:AA107"/>
    <mergeCell ref="AB104:AB107"/>
    <mergeCell ref="F105:H105"/>
    <mergeCell ref="F106:H106"/>
    <mergeCell ref="F107:H107"/>
    <mergeCell ref="C108:E108"/>
    <mergeCell ref="F108:H108"/>
    <mergeCell ref="C109:E109"/>
    <mergeCell ref="A104:A107"/>
    <mergeCell ref="C104:E107"/>
    <mergeCell ref="F104:H104"/>
    <mergeCell ref="Q104:Q107"/>
    <mergeCell ref="Y104:Y107"/>
    <mergeCell ref="Z104:Z107"/>
    <mergeCell ref="Z100:Z103"/>
    <mergeCell ref="AA100:AA103"/>
    <mergeCell ref="C101:E103"/>
    <mergeCell ref="F101:H101"/>
    <mergeCell ref="F102:H102"/>
    <mergeCell ref="F103:H103"/>
    <mergeCell ref="Q95:Q103"/>
    <mergeCell ref="Y95:Y103"/>
    <mergeCell ref="Z95:Z99"/>
    <mergeCell ref="AA95:AA99"/>
    <mergeCell ref="A95:A103"/>
    <mergeCell ref="C95:E97"/>
    <mergeCell ref="C98:E100"/>
    <mergeCell ref="F85:H85"/>
    <mergeCell ref="AB95:AB103"/>
    <mergeCell ref="F96:H96"/>
    <mergeCell ref="F97:H97"/>
    <mergeCell ref="F98:H98"/>
    <mergeCell ref="F99:H99"/>
    <mergeCell ref="F100:H100"/>
    <mergeCell ref="F92:H92"/>
    <mergeCell ref="F93:H93"/>
    <mergeCell ref="F94:H94"/>
    <mergeCell ref="F95:H95"/>
    <mergeCell ref="Z86:Z94"/>
    <mergeCell ref="AA86:AA94"/>
    <mergeCell ref="AB86:AB94"/>
    <mergeCell ref="F87:H87"/>
    <mergeCell ref="F88:H88"/>
    <mergeCell ref="A86:A94"/>
    <mergeCell ref="C86:E88"/>
    <mergeCell ref="F86:H86"/>
    <mergeCell ref="Q86:Q94"/>
    <mergeCell ref="Y86:Y94"/>
    <mergeCell ref="Y80:Y81"/>
    <mergeCell ref="AB80:AB81"/>
    <mergeCell ref="C81:E81"/>
    <mergeCell ref="F81:H81"/>
    <mergeCell ref="A82:A85"/>
    <mergeCell ref="C82:E85"/>
    <mergeCell ref="F82:H82"/>
    <mergeCell ref="Q82:Q85"/>
    <mergeCell ref="Y82:Y85"/>
    <mergeCell ref="Z82:Z85"/>
    <mergeCell ref="C89:E91"/>
    <mergeCell ref="F89:H89"/>
    <mergeCell ref="F90:H90"/>
    <mergeCell ref="F91:H91"/>
    <mergeCell ref="C92:E94"/>
    <mergeCell ref="AA82:AA85"/>
    <mergeCell ref="AB82:AB85"/>
    <mergeCell ref="F83:H83"/>
    <mergeCell ref="F84:H84"/>
    <mergeCell ref="A80:A81"/>
    <mergeCell ref="C80:E80"/>
    <mergeCell ref="F80:H80"/>
    <mergeCell ref="I80:I81"/>
    <mergeCell ref="Q80:Q81"/>
    <mergeCell ref="A77:A79"/>
    <mergeCell ref="C77:E77"/>
    <mergeCell ref="F77:H77"/>
    <mergeCell ref="I77:I79"/>
    <mergeCell ref="Q77:Q79"/>
    <mergeCell ref="F75:H75"/>
    <mergeCell ref="C76:E76"/>
    <mergeCell ref="F76:H76"/>
    <mergeCell ref="AB71:AB73"/>
    <mergeCell ref="C72:E72"/>
    <mergeCell ref="F72:H72"/>
    <mergeCell ref="C73:E73"/>
    <mergeCell ref="F73:H73"/>
    <mergeCell ref="AB77:AB79"/>
    <mergeCell ref="C78:E78"/>
    <mergeCell ref="F78:H78"/>
    <mergeCell ref="C79:E79"/>
    <mergeCell ref="F79:H79"/>
    <mergeCell ref="Y77:Y79"/>
    <mergeCell ref="A74:A76"/>
    <mergeCell ref="C74:E74"/>
    <mergeCell ref="F74:H74"/>
    <mergeCell ref="I74:I76"/>
    <mergeCell ref="Q74:Q76"/>
    <mergeCell ref="AB68:AB70"/>
    <mergeCell ref="C69:E69"/>
    <mergeCell ref="F69:H69"/>
    <mergeCell ref="C70:E70"/>
    <mergeCell ref="F70:H70"/>
    <mergeCell ref="A71:A73"/>
    <mergeCell ref="C71:E71"/>
    <mergeCell ref="F71:H71"/>
    <mergeCell ref="Q71:Q73"/>
    <mergeCell ref="Y71:Y73"/>
    <mergeCell ref="A68:A70"/>
    <mergeCell ref="C68:E68"/>
    <mergeCell ref="F68:H68"/>
    <mergeCell ref="I68:I70"/>
    <mergeCell ref="Q68:Q70"/>
    <mergeCell ref="Y68:Y70"/>
    <mergeCell ref="Y74:Y76"/>
    <mergeCell ref="AB74:AB76"/>
    <mergeCell ref="C75:E75"/>
    <mergeCell ref="A65:A67"/>
    <mergeCell ref="C65:E65"/>
    <mergeCell ref="F65:H65"/>
    <mergeCell ref="Q65:Q67"/>
    <mergeCell ref="Y65:Y67"/>
    <mergeCell ref="AB65:AB67"/>
    <mergeCell ref="C66:E66"/>
    <mergeCell ref="F66:H66"/>
    <mergeCell ref="C67:E67"/>
    <mergeCell ref="F67:H67"/>
    <mergeCell ref="A63:A64"/>
    <mergeCell ref="C63:E63"/>
    <mergeCell ref="F63:H63"/>
    <mergeCell ref="Q63:Q64"/>
    <mergeCell ref="Y63:Y64"/>
    <mergeCell ref="AB63:AB64"/>
    <mergeCell ref="C64:E64"/>
    <mergeCell ref="F64:H64"/>
    <mergeCell ref="AB57:AB62"/>
    <mergeCell ref="C58:E58"/>
    <mergeCell ref="F58:H58"/>
    <mergeCell ref="C59:E59"/>
    <mergeCell ref="F59:H59"/>
    <mergeCell ref="A60:A62"/>
    <mergeCell ref="C60:E60"/>
    <mergeCell ref="F60:H60"/>
    <mergeCell ref="I60:I62"/>
    <mergeCell ref="Y60:Y62"/>
    <mergeCell ref="A57:A59"/>
    <mergeCell ref="C57:E57"/>
    <mergeCell ref="F57:H57"/>
    <mergeCell ref="I57:I59"/>
    <mergeCell ref="Q57:Q62"/>
    <mergeCell ref="Y57:Y59"/>
    <mergeCell ref="C61:E61"/>
    <mergeCell ref="F61:H61"/>
    <mergeCell ref="C62:E62"/>
    <mergeCell ref="F62:H62"/>
    <mergeCell ref="A54:A56"/>
    <mergeCell ref="C54:E54"/>
    <mergeCell ref="F54:H54"/>
    <mergeCell ref="Q54:Q56"/>
    <mergeCell ref="Y54:Y56"/>
    <mergeCell ref="AB54:AB56"/>
    <mergeCell ref="C55:E55"/>
    <mergeCell ref="F55:H55"/>
    <mergeCell ref="C56:E56"/>
    <mergeCell ref="F56:H56"/>
    <mergeCell ref="Y51:Y53"/>
    <mergeCell ref="C52:E52"/>
    <mergeCell ref="F52:H52"/>
    <mergeCell ref="C53:E53"/>
    <mergeCell ref="F53:H53"/>
    <mergeCell ref="Q51:Q53"/>
    <mergeCell ref="AB51:AB53"/>
    <mergeCell ref="F50:H50"/>
    <mergeCell ref="A51:A53"/>
    <mergeCell ref="C51:E51"/>
    <mergeCell ref="F51:H51"/>
    <mergeCell ref="I51:I53"/>
    <mergeCell ref="AB47:AB48"/>
    <mergeCell ref="C48:E48"/>
    <mergeCell ref="F48:H48"/>
    <mergeCell ref="A49:A50"/>
    <mergeCell ref="C49:E49"/>
    <mergeCell ref="F49:H49"/>
    <mergeCell ref="Q49:Q50"/>
    <mergeCell ref="Y49:Y50"/>
    <mergeCell ref="AB49:AB50"/>
    <mergeCell ref="C50:E50"/>
    <mergeCell ref="A47:A48"/>
    <mergeCell ref="C47:E47"/>
    <mergeCell ref="F47:H47"/>
    <mergeCell ref="I47:I48"/>
    <mergeCell ref="Q47:Q48"/>
    <mergeCell ref="Y47:Y48"/>
    <mergeCell ref="C45:E45"/>
    <mergeCell ref="F45:H45"/>
    <mergeCell ref="AC45:AF45"/>
    <mergeCell ref="C46:E46"/>
    <mergeCell ref="F46:H46"/>
    <mergeCell ref="AC46:AF46"/>
    <mergeCell ref="A44:A46"/>
    <mergeCell ref="C44:E44"/>
    <mergeCell ref="F44:H44"/>
    <mergeCell ref="I44:I46"/>
    <mergeCell ref="Q44:Q46"/>
    <mergeCell ref="Y44:Y46"/>
    <mergeCell ref="AB38:AB46"/>
    <mergeCell ref="Q38:Q40"/>
    <mergeCell ref="Q41:Q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Y41:Y43"/>
    <mergeCell ref="C39:E39"/>
    <mergeCell ref="F39:H39"/>
    <mergeCell ref="AC39:AF39"/>
    <mergeCell ref="C40:E40"/>
    <mergeCell ref="F40:H40"/>
    <mergeCell ref="AC40:AF40"/>
    <mergeCell ref="AB36:AB37"/>
    <mergeCell ref="C37:E37"/>
    <mergeCell ref="F37:H37"/>
    <mergeCell ref="AC37:AF37"/>
    <mergeCell ref="A38:A40"/>
    <mergeCell ref="C38:E38"/>
    <mergeCell ref="F38:H38"/>
    <mergeCell ref="I38:I40"/>
    <mergeCell ref="Y38:Y40"/>
    <mergeCell ref="A36:A37"/>
    <mergeCell ref="C36:E36"/>
    <mergeCell ref="F36:H36"/>
    <mergeCell ref="I36:I37"/>
    <mergeCell ref="Q36:Q37"/>
    <mergeCell ref="Y36:Y37"/>
    <mergeCell ref="AB33:AB35"/>
    <mergeCell ref="C34:E34"/>
    <mergeCell ref="F34:H34"/>
    <mergeCell ref="AC34:AF34"/>
    <mergeCell ref="C35:E35"/>
    <mergeCell ref="F35:H35"/>
    <mergeCell ref="AC35:AF35"/>
    <mergeCell ref="AB31:AB32"/>
    <mergeCell ref="C32:E32"/>
    <mergeCell ref="F32:H32"/>
    <mergeCell ref="AC32:AF32"/>
    <mergeCell ref="A33:A35"/>
    <mergeCell ref="C33:E33"/>
    <mergeCell ref="F33:H33"/>
    <mergeCell ref="I33:I35"/>
    <mergeCell ref="Q33:Q35"/>
    <mergeCell ref="Y33:Y35"/>
    <mergeCell ref="A31:A32"/>
    <mergeCell ref="C31:E31"/>
    <mergeCell ref="F31:H31"/>
    <mergeCell ref="I31:I32"/>
    <mergeCell ref="Q31:Q32"/>
    <mergeCell ref="Y31:Y32"/>
    <mergeCell ref="AC29:AF29"/>
    <mergeCell ref="C30:E30"/>
    <mergeCell ref="F30:H30"/>
    <mergeCell ref="AC30:AF30"/>
    <mergeCell ref="AB25:AB30"/>
    <mergeCell ref="C26:E26"/>
    <mergeCell ref="F26:H26"/>
    <mergeCell ref="C27:E27"/>
    <mergeCell ref="F27:H27"/>
    <mergeCell ref="A28:A30"/>
    <mergeCell ref="C28:E28"/>
    <mergeCell ref="F28:H28"/>
    <mergeCell ref="I28:I30"/>
    <mergeCell ref="Y28:Y30"/>
    <mergeCell ref="Y23:Y24"/>
    <mergeCell ref="AB23:AB24"/>
    <mergeCell ref="C24:E24"/>
    <mergeCell ref="F24:H24"/>
    <mergeCell ref="A25:A27"/>
    <mergeCell ref="C25:E25"/>
    <mergeCell ref="F25:H25"/>
    <mergeCell ref="I25:I27"/>
    <mergeCell ref="Q25:Q30"/>
    <mergeCell ref="Y25:Y27"/>
    <mergeCell ref="C29:E29"/>
    <mergeCell ref="F29:H29"/>
    <mergeCell ref="AB20:AB22"/>
    <mergeCell ref="C21:E21"/>
    <mergeCell ref="F21:H21"/>
    <mergeCell ref="C22:E22"/>
    <mergeCell ref="F22:H22"/>
    <mergeCell ref="A23:A24"/>
    <mergeCell ref="C23:E23"/>
    <mergeCell ref="F23:H23"/>
    <mergeCell ref="I23:I24"/>
    <mergeCell ref="Q23:Q24"/>
    <mergeCell ref="A20:A22"/>
    <mergeCell ref="C20:E20"/>
    <mergeCell ref="F20:H20"/>
    <mergeCell ref="I20:I22"/>
    <mergeCell ref="Q20:Q22"/>
    <mergeCell ref="Y20:Y22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B15:AB17"/>
    <mergeCell ref="AC15:AF15"/>
    <mergeCell ref="C16:E16"/>
    <mergeCell ref="F16:H16"/>
    <mergeCell ref="C17:E17"/>
    <mergeCell ref="F17:H17"/>
    <mergeCell ref="A15:A17"/>
    <mergeCell ref="C15:E15"/>
    <mergeCell ref="F15:H15"/>
    <mergeCell ref="I15:I17"/>
    <mergeCell ref="Q15:Q17"/>
    <mergeCell ref="Y15:Y17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colBreaks count="1" manualBreakCount="1">
    <brk id="2" max="8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FB4A-D965-49D7-B347-2A52DD57A7E5}">
  <sheetPr>
    <pageSetUpPr fitToPage="1"/>
  </sheetPr>
  <dimension ref="A1:AF117"/>
  <sheetViews>
    <sheetView view="pageBreakPreview" topLeftCell="A41" zoomScale="75" zoomScaleNormal="100" zoomScaleSheetLayoutView="75" workbookViewId="0">
      <selection activeCell="F45" sqref="F45:H45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184</v>
      </c>
      <c r="C2" s="548"/>
      <c r="D2" s="548"/>
      <c r="E2" s="548"/>
      <c r="F2" s="548"/>
      <c r="G2" s="549"/>
      <c r="H2" s="180" t="s">
        <v>1</v>
      </c>
      <c r="I2" s="550">
        <f>I11</f>
        <v>1339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82</v>
      </c>
      <c r="B5" s="480"/>
      <c r="C5" s="182">
        <v>280</v>
      </c>
      <c r="D5" s="182">
        <v>260</v>
      </c>
      <c r="E5" s="182">
        <v>53</v>
      </c>
      <c r="F5" s="182"/>
      <c r="G5" s="182"/>
      <c r="H5" s="542" t="s">
        <v>24</v>
      </c>
      <c r="I5" s="524">
        <f t="shared" ref="I5:I11" si="0">SUM(C5:G5)</f>
        <v>593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98</v>
      </c>
      <c r="B6" s="523"/>
      <c r="C6" s="182">
        <v>320</v>
      </c>
      <c r="D6" s="182">
        <v>300</v>
      </c>
      <c r="E6" s="182">
        <v>126</v>
      </c>
      <c r="F6" s="182"/>
      <c r="G6" s="182"/>
      <c r="H6" s="537"/>
      <c r="I6" s="524">
        <f t="shared" si="0"/>
        <v>746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45953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600</v>
      </c>
      <c r="D11" s="181">
        <f>SUM(D5:D10)</f>
        <v>560</v>
      </c>
      <c r="E11" s="181">
        <f>SUM(E5:E10)</f>
        <v>179</v>
      </c>
      <c r="F11" s="181">
        <f>SUM(F5:F10)</f>
        <v>0</v>
      </c>
      <c r="G11" s="181">
        <f>SUM(G5:G10)</f>
        <v>0</v>
      </c>
      <c r="H11" s="182"/>
      <c r="I11" s="481">
        <f t="shared" si="0"/>
        <v>1339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45736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612</v>
      </c>
      <c r="D12" s="43">
        <f>D11*1.02</f>
        <v>571.20000000000005</v>
      </c>
      <c r="E12" s="43">
        <f>E11*1.02</f>
        <v>182.58</v>
      </c>
      <c r="F12" s="43">
        <f>F11*1.02</f>
        <v>0</v>
      </c>
      <c r="G12" s="43">
        <f>G11*1.02</f>
        <v>0</v>
      </c>
      <c r="H12" s="44"/>
      <c r="I12" s="486">
        <f>I11*1.02</f>
        <v>1365.78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5" si="1">$I$5</f>
        <v>593</v>
      </c>
      <c r="C15" s="474" t="str">
        <f t="shared" ref="C15:C25" si="2">$A$5</f>
        <v>CR</v>
      </c>
      <c r="D15" s="475"/>
      <c r="E15" s="476"/>
      <c r="F15" s="474"/>
      <c r="G15" s="475"/>
      <c r="H15" s="476"/>
      <c r="I15" s="477" t="s">
        <v>92</v>
      </c>
      <c r="J15" s="65" t="s">
        <v>6</v>
      </c>
      <c r="K15" s="66">
        <v>1.6</v>
      </c>
      <c r="L15" s="67" t="s">
        <v>7</v>
      </c>
      <c r="M15" s="68">
        <f>K15*B15</f>
        <v>948.80000000000007</v>
      </c>
      <c r="N15" s="69"/>
      <c r="O15" s="70"/>
      <c r="P15" s="67" t="s">
        <v>7</v>
      </c>
      <c r="Q15" s="478">
        <v>45959</v>
      </c>
      <c r="R15" s="293">
        <v>1000</v>
      </c>
      <c r="S15" s="71" t="s">
        <v>7</v>
      </c>
      <c r="T15" s="123">
        <f t="shared" ref="T15:T110" si="3">R15-M15</f>
        <v>51.199999999999932</v>
      </c>
      <c r="U15" s="72"/>
      <c r="V15" s="72"/>
      <c r="W15" s="73"/>
      <c r="X15" s="74"/>
      <c r="Y15" s="479" t="s">
        <v>185</v>
      </c>
      <c r="Z15" s="63"/>
      <c r="AA15" s="64"/>
      <c r="AB15" s="360" t="s">
        <v>190</v>
      </c>
      <c r="AC15" s="471"/>
      <c r="AD15" s="472"/>
      <c r="AE15" s="472"/>
      <c r="AF15" s="472"/>
    </row>
    <row r="16" spans="1:32" s="176" customFormat="1" ht="69.95" customHeight="1" x14ac:dyDescent="0.15">
      <c r="A16" s="559"/>
      <c r="B16" s="239">
        <f>$I$6</f>
        <v>746</v>
      </c>
      <c r="C16" s="456" t="str">
        <f>$A$6</f>
        <v>BK</v>
      </c>
      <c r="D16" s="456"/>
      <c r="E16" s="456"/>
      <c r="F16" s="456"/>
      <c r="G16" s="456"/>
      <c r="H16" s="456"/>
      <c r="I16" s="563"/>
      <c r="J16" s="240" t="s">
        <v>6</v>
      </c>
      <c r="K16" s="241">
        <v>1.6</v>
      </c>
      <c r="L16" s="168" t="s">
        <v>7</v>
      </c>
      <c r="M16" s="242">
        <f t="shared" ref="M16:M91" si="4">K16*B16</f>
        <v>1193.6000000000001</v>
      </c>
      <c r="N16" s="243"/>
      <c r="O16" s="253"/>
      <c r="P16" s="168" t="s">
        <v>7</v>
      </c>
      <c r="Q16" s="447"/>
      <c r="R16" s="247">
        <v>1195</v>
      </c>
      <c r="S16" s="255" t="s">
        <v>7</v>
      </c>
      <c r="T16" s="245">
        <f t="shared" si="3"/>
        <v>1.3999999999998636</v>
      </c>
      <c r="U16" s="256"/>
      <c r="V16" s="256"/>
      <c r="W16" s="257"/>
      <c r="X16" s="258"/>
      <c r="Y16" s="557"/>
      <c r="Z16" s="259"/>
      <c r="AA16" s="249"/>
      <c r="AB16" s="361"/>
      <c r="AC16" s="250"/>
      <c r="AD16" s="251"/>
      <c r="AE16" s="251"/>
      <c r="AF16" s="251"/>
    </row>
    <row r="17" spans="1:32" s="176" customFormat="1" ht="69.95" customHeight="1" thickBot="1" x14ac:dyDescent="0.2">
      <c r="A17" s="432"/>
      <c r="B17" s="239">
        <f>$I$7</f>
        <v>0</v>
      </c>
      <c r="C17" s="456">
        <f>$A$7</f>
        <v>0</v>
      </c>
      <c r="D17" s="456"/>
      <c r="E17" s="456"/>
      <c r="F17" s="456"/>
      <c r="G17" s="456"/>
      <c r="H17" s="456"/>
      <c r="I17" s="442"/>
      <c r="J17" s="240" t="s">
        <v>6</v>
      </c>
      <c r="K17" s="241"/>
      <c r="L17" s="168" t="s">
        <v>7</v>
      </c>
      <c r="M17" s="242">
        <f t="shared" si="4"/>
        <v>0</v>
      </c>
      <c r="N17" s="243"/>
      <c r="O17" s="253"/>
      <c r="P17" s="168" t="s">
        <v>7</v>
      </c>
      <c r="Q17" s="444"/>
      <c r="R17" s="254"/>
      <c r="S17" s="255" t="s">
        <v>7</v>
      </c>
      <c r="T17" s="245">
        <f t="shared" si="3"/>
        <v>0</v>
      </c>
      <c r="U17" s="256"/>
      <c r="V17" s="256"/>
      <c r="W17" s="257"/>
      <c r="X17" s="258"/>
      <c r="Y17" s="446"/>
      <c r="Z17" s="259"/>
      <c r="AA17" s="249"/>
      <c r="AB17" s="362"/>
      <c r="AC17" s="250"/>
      <c r="AD17" s="251"/>
      <c r="AE17" s="251"/>
      <c r="AF17" s="251"/>
    </row>
    <row r="18" spans="1:32" s="55" customFormat="1" ht="69.95" hidden="1" customHeight="1" x14ac:dyDescent="0.15">
      <c r="A18" s="431" t="s">
        <v>83</v>
      </c>
      <c r="B18" s="182">
        <f t="shared" si="1"/>
        <v>593</v>
      </c>
      <c r="C18" s="461" t="str">
        <f t="shared" si="2"/>
        <v>CR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746</v>
      </c>
      <c r="C19" s="461" t="str">
        <f>$A$6</f>
        <v>BK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thickTop="1" x14ac:dyDescent="0.15">
      <c r="A20" s="431" t="s">
        <v>85</v>
      </c>
      <c r="B20" s="182">
        <f t="shared" si="1"/>
        <v>593</v>
      </c>
      <c r="C20" s="461" t="str">
        <f t="shared" si="2"/>
        <v>CR</v>
      </c>
      <c r="D20" s="461"/>
      <c r="E20" s="461"/>
      <c r="F20" s="461"/>
      <c r="G20" s="461"/>
      <c r="H20" s="461"/>
      <c r="I20" s="441" t="s">
        <v>8</v>
      </c>
      <c r="J20" s="76" t="s">
        <v>6</v>
      </c>
      <c r="K20" s="136">
        <v>0.26</v>
      </c>
      <c r="L20" s="77" t="s">
        <v>7</v>
      </c>
      <c r="M20" s="78">
        <f t="shared" si="4"/>
        <v>154.18</v>
      </c>
      <c r="N20" s="79"/>
      <c r="O20" s="78"/>
      <c r="P20" s="80" t="s">
        <v>7</v>
      </c>
      <c r="Q20" s="478">
        <v>45959</v>
      </c>
      <c r="R20" s="78">
        <v>155</v>
      </c>
      <c r="S20" s="80" t="s">
        <v>7</v>
      </c>
      <c r="T20" s="81">
        <f t="shared" si="3"/>
        <v>0.81999999999999318</v>
      </c>
      <c r="U20" s="82"/>
      <c r="V20" s="137"/>
      <c r="W20" s="78"/>
      <c r="X20" s="78"/>
      <c r="Y20" s="445" t="s">
        <v>93</v>
      </c>
      <c r="Z20" s="138"/>
      <c r="AA20" s="135"/>
      <c r="AB20" s="360" t="s">
        <v>190</v>
      </c>
      <c r="AC20" s="229"/>
      <c r="AD20" s="230"/>
      <c r="AE20" s="230"/>
      <c r="AF20" s="230"/>
    </row>
    <row r="21" spans="1:32" s="206" customFormat="1" ht="69.95" customHeight="1" x14ac:dyDescent="0.15">
      <c r="A21" s="559"/>
      <c r="B21" s="182">
        <f>$I$6</f>
        <v>746</v>
      </c>
      <c r="C21" s="461" t="str">
        <f>$A$6</f>
        <v>BK</v>
      </c>
      <c r="D21" s="461"/>
      <c r="E21" s="461"/>
      <c r="F21" s="461"/>
      <c r="G21" s="461"/>
      <c r="H21" s="461"/>
      <c r="I21" s="563"/>
      <c r="J21" s="76" t="s">
        <v>6</v>
      </c>
      <c r="K21" s="136">
        <v>0.26</v>
      </c>
      <c r="L21" s="77" t="s">
        <v>7</v>
      </c>
      <c r="M21" s="78">
        <f t="shared" si="4"/>
        <v>193.96</v>
      </c>
      <c r="N21" s="79"/>
      <c r="O21" s="128"/>
      <c r="P21" s="77" t="s">
        <v>7</v>
      </c>
      <c r="Q21" s="447"/>
      <c r="R21" s="130">
        <v>194</v>
      </c>
      <c r="S21" s="75" t="s">
        <v>7</v>
      </c>
      <c r="T21" s="81">
        <f t="shared" si="3"/>
        <v>3.9999999999992042E-2</v>
      </c>
      <c r="U21" s="131"/>
      <c r="V21" s="131"/>
      <c r="W21" s="132"/>
      <c r="X21" s="133"/>
      <c r="Y21" s="557"/>
      <c r="Z21" s="228"/>
      <c r="AA21" s="228"/>
      <c r="AB21" s="361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82">
        <f>$I$7</f>
        <v>0</v>
      </c>
      <c r="C22" s="461">
        <f>$A$7</f>
        <v>0</v>
      </c>
      <c r="D22" s="461"/>
      <c r="E22" s="461"/>
      <c r="F22" s="461"/>
      <c r="G22" s="461"/>
      <c r="H22" s="461"/>
      <c r="I22" s="442"/>
      <c r="J22" s="76" t="s">
        <v>6</v>
      </c>
      <c r="K22" s="136"/>
      <c r="L22" s="77" t="s">
        <v>7</v>
      </c>
      <c r="M22" s="78">
        <f t="shared" si="4"/>
        <v>0</v>
      </c>
      <c r="N22" s="79"/>
      <c r="O22" s="128"/>
      <c r="P22" s="77" t="s">
        <v>7</v>
      </c>
      <c r="Q22" s="444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228"/>
      <c r="AA22" s="228"/>
      <c r="AB22" s="362"/>
      <c r="AC22" s="229"/>
      <c r="AD22" s="230"/>
      <c r="AE22" s="230"/>
      <c r="AF22" s="230"/>
    </row>
    <row r="23" spans="1:32" s="206" customFormat="1" ht="69.95" customHeight="1" x14ac:dyDescent="0.15">
      <c r="A23" s="431" t="s">
        <v>115</v>
      </c>
      <c r="B23" s="191">
        <f t="shared" si="1"/>
        <v>593</v>
      </c>
      <c r="C23" s="465" t="str">
        <f t="shared" si="2"/>
        <v>CR</v>
      </c>
      <c r="D23" s="465"/>
      <c r="E23" s="465"/>
      <c r="F23" s="465"/>
      <c r="G23" s="465"/>
      <c r="H23" s="465"/>
      <c r="I23" s="433" t="s">
        <v>8</v>
      </c>
      <c r="J23" s="192" t="s">
        <v>6</v>
      </c>
      <c r="K23" s="209">
        <v>0.78</v>
      </c>
      <c r="L23" s="194" t="s">
        <v>7</v>
      </c>
      <c r="M23" s="195">
        <f t="shared" si="4"/>
        <v>462.54</v>
      </c>
      <c r="N23" s="196"/>
      <c r="O23" s="195"/>
      <c r="P23" s="197" t="s">
        <v>7</v>
      </c>
      <c r="Q23" s="435"/>
      <c r="R23" s="195"/>
      <c r="S23" s="197" t="s">
        <v>7</v>
      </c>
      <c r="T23" s="198">
        <f t="shared" si="3"/>
        <v>-462.54</v>
      </c>
      <c r="U23" s="199"/>
      <c r="V23" s="200"/>
      <c r="W23" s="195"/>
      <c r="X23" s="195"/>
      <c r="Y23" s="437" t="s">
        <v>93</v>
      </c>
      <c r="Z23" s="235"/>
      <c r="AA23" s="202"/>
      <c r="AB23" s="439"/>
      <c r="AC23" s="229"/>
      <c r="AD23" s="230"/>
      <c r="AE23" s="230"/>
      <c r="AF23" s="230"/>
    </row>
    <row r="24" spans="1:32" s="206" customFormat="1" ht="69.95" customHeight="1" x14ac:dyDescent="0.15">
      <c r="A24" s="432"/>
      <c r="B24" s="191">
        <f>$I$6</f>
        <v>746</v>
      </c>
      <c r="C24" s="465" t="str">
        <f>$A$6</f>
        <v>BK</v>
      </c>
      <c r="D24" s="465"/>
      <c r="E24" s="465"/>
      <c r="F24" s="465"/>
      <c r="G24" s="465"/>
      <c r="H24" s="465"/>
      <c r="I24" s="434"/>
      <c r="J24" s="192" t="s">
        <v>6</v>
      </c>
      <c r="K24" s="209">
        <v>0.78</v>
      </c>
      <c r="L24" s="194" t="s">
        <v>7</v>
      </c>
      <c r="M24" s="195">
        <f t="shared" si="4"/>
        <v>581.88</v>
      </c>
      <c r="N24" s="196"/>
      <c r="O24" s="210"/>
      <c r="P24" s="194" t="s">
        <v>7</v>
      </c>
      <c r="Q24" s="436"/>
      <c r="R24" s="236"/>
      <c r="S24" s="207" t="s">
        <v>7</v>
      </c>
      <c r="T24" s="198">
        <f t="shared" si="3"/>
        <v>-581.88</v>
      </c>
      <c r="U24" s="211"/>
      <c r="V24" s="211"/>
      <c r="W24" s="212"/>
      <c r="X24" s="213"/>
      <c r="Y24" s="438"/>
      <c r="Z24" s="238"/>
      <c r="AA24" s="238"/>
      <c r="AB24" s="440"/>
      <c r="AC24" s="229"/>
      <c r="AD24" s="230"/>
      <c r="AE24" s="230"/>
      <c r="AF24" s="230"/>
    </row>
    <row r="25" spans="1:32" s="176" customFormat="1" ht="69.95" customHeight="1" x14ac:dyDescent="0.15">
      <c r="A25" s="431" t="s">
        <v>107</v>
      </c>
      <c r="B25" s="239">
        <f t="shared" si="1"/>
        <v>593</v>
      </c>
      <c r="C25" s="456" t="str">
        <f t="shared" si="2"/>
        <v>CR</v>
      </c>
      <c r="D25" s="456"/>
      <c r="E25" s="456"/>
      <c r="F25" s="456"/>
      <c r="G25" s="456"/>
      <c r="H25" s="456"/>
      <c r="I25" s="457" t="s">
        <v>58</v>
      </c>
      <c r="J25" s="240" t="s">
        <v>6</v>
      </c>
      <c r="K25" s="241">
        <v>0.09</v>
      </c>
      <c r="L25" s="168" t="s">
        <v>7</v>
      </c>
      <c r="M25" s="242">
        <f t="shared" si="4"/>
        <v>53.37</v>
      </c>
      <c r="N25" s="243"/>
      <c r="O25" s="242"/>
      <c r="P25" s="244" t="s">
        <v>7</v>
      </c>
      <c r="Q25" s="376">
        <v>45959</v>
      </c>
      <c r="R25" s="245">
        <v>53</v>
      </c>
      <c r="S25" s="244" t="s">
        <v>7</v>
      </c>
      <c r="T25" s="245">
        <f t="shared" si="3"/>
        <v>-0.36999999999999744</v>
      </c>
      <c r="U25" s="246"/>
      <c r="V25" s="247"/>
      <c r="W25" s="242"/>
      <c r="X25" s="242"/>
      <c r="Y25" s="459" t="s">
        <v>59</v>
      </c>
      <c r="Z25" s="248"/>
      <c r="AA25" s="249"/>
      <c r="AB25" s="360" t="s">
        <v>188</v>
      </c>
      <c r="AC25" s="250"/>
      <c r="AD25" s="251"/>
      <c r="AE25" s="251"/>
      <c r="AF25" s="251"/>
    </row>
    <row r="26" spans="1:32" s="176" customFormat="1" ht="69.95" customHeight="1" x14ac:dyDescent="0.15">
      <c r="A26" s="559"/>
      <c r="B26" s="239">
        <f>$I$6</f>
        <v>746</v>
      </c>
      <c r="C26" s="456" t="str">
        <f>$A$6</f>
        <v>BK</v>
      </c>
      <c r="D26" s="456"/>
      <c r="E26" s="456"/>
      <c r="F26" s="456"/>
      <c r="G26" s="456"/>
      <c r="H26" s="456"/>
      <c r="I26" s="564"/>
      <c r="J26" s="240" t="s">
        <v>6</v>
      </c>
      <c r="K26" s="241">
        <v>0.09</v>
      </c>
      <c r="L26" s="168" t="s">
        <v>7</v>
      </c>
      <c r="M26" s="242">
        <f t="shared" si="4"/>
        <v>67.14</v>
      </c>
      <c r="N26" s="243"/>
      <c r="O26" s="253"/>
      <c r="P26" s="168" t="s">
        <v>7</v>
      </c>
      <c r="Q26" s="377"/>
      <c r="R26" s="254">
        <v>67</v>
      </c>
      <c r="S26" s="255" t="s">
        <v>7</v>
      </c>
      <c r="T26" s="245">
        <f t="shared" si="3"/>
        <v>-0.14000000000000057</v>
      </c>
      <c r="U26" s="256"/>
      <c r="V26" s="256"/>
      <c r="W26" s="257"/>
      <c r="X26" s="258"/>
      <c r="Y26" s="565"/>
      <c r="Z26" s="259"/>
      <c r="AA26" s="249"/>
      <c r="AB26" s="361"/>
      <c r="AC26" s="250"/>
      <c r="AD26" s="251"/>
      <c r="AE26" s="251"/>
      <c r="AF26" s="251"/>
    </row>
    <row r="27" spans="1:32" s="176" customFormat="1" ht="69.95" customHeight="1" x14ac:dyDescent="0.15">
      <c r="A27" s="432"/>
      <c r="B27" s="239">
        <f>$I$7</f>
        <v>0</v>
      </c>
      <c r="C27" s="456">
        <f>$A$7</f>
        <v>0</v>
      </c>
      <c r="D27" s="456"/>
      <c r="E27" s="456"/>
      <c r="F27" s="456"/>
      <c r="G27" s="456"/>
      <c r="H27" s="456"/>
      <c r="I27" s="458"/>
      <c r="J27" s="240" t="s">
        <v>6</v>
      </c>
      <c r="K27" s="241"/>
      <c r="L27" s="168" t="s">
        <v>7</v>
      </c>
      <c r="M27" s="242">
        <f t="shared" si="4"/>
        <v>0</v>
      </c>
      <c r="N27" s="243"/>
      <c r="O27" s="253"/>
      <c r="P27" s="168" t="s">
        <v>7</v>
      </c>
      <c r="Q27" s="377"/>
      <c r="R27" s="254"/>
      <c r="S27" s="255" t="s">
        <v>7</v>
      </c>
      <c r="T27" s="245">
        <f t="shared" si="3"/>
        <v>0</v>
      </c>
      <c r="U27" s="256"/>
      <c r="V27" s="256"/>
      <c r="W27" s="257"/>
      <c r="X27" s="258"/>
      <c r="Y27" s="460"/>
      <c r="Z27" s="259"/>
      <c r="AA27" s="249"/>
      <c r="AB27" s="361"/>
      <c r="AC27" s="250"/>
      <c r="AD27" s="251"/>
      <c r="AE27" s="251"/>
      <c r="AF27" s="251"/>
    </row>
    <row r="28" spans="1:32" s="203" customFormat="1" ht="69.95" customHeight="1" x14ac:dyDescent="0.15">
      <c r="A28" s="431" t="s">
        <v>108</v>
      </c>
      <c r="B28" s="182">
        <f>$I$5</f>
        <v>593</v>
      </c>
      <c r="C28" s="461" t="str">
        <f>$A$5</f>
        <v>CR</v>
      </c>
      <c r="D28" s="461"/>
      <c r="E28" s="461"/>
      <c r="F28" s="461"/>
      <c r="G28" s="461"/>
      <c r="H28" s="461"/>
      <c r="I28" s="441" t="s">
        <v>8</v>
      </c>
      <c r="J28" s="76" t="s">
        <v>6</v>
      </c>
      <c r="K28" s="241">
        <v>0.2</v>
      </c>
      <c r="L28" s="77" t="s">
        <v>7</v>
      </c>
      <c r="M28" s="78">
        <f>K28*B28</f>
        <v>118.60000000000001</v>
      </c>
      <c r="N28" s="79"/>
      <c r="O28" s="78"/>
      <c r="P28" s="80" t="s">
        <v>7</v>
      </c>
      <c r="Q28" s="377"/>
      <c r="R28" s="78">
        <v>119</v>
      </c>
      <c r="S28" s="80" t="s">
        <v>9</v>
      </c>
      <c r="T28" s="81">
        <f t="shared" si="3"/>
        <v>0.39999999999999147</v>
      </c>
      <c r="U28" s="82"/>
      <c r="V28" s="137"/>
      <c r="W28" s="78"/>
      <c r="X28" s="78"/>
      <c r="Y28" s="445" t="s">
        <v>59</v>
      </c>
      <c r="Z28" s="141"/>
      <c r="AA28" s="135"/>
      <c r="AB28" s="361"/>
    </row>
    <row r="29" spans="1:32" s="203" customFormat="1" ht="69.95" customHeight="1" x14ac:dyDescent="0.15">
      <c r="A29" s="559"/>
      <c r="B29" s="182">
        <f>$I$6</f>
        <v>746</v>
      </c>
      <c r="C29" s="461" t="str">
        <f>$A$6</f>
        <v>BK</v>
      </c>
      <c r="D29" s="461"/>
      <c r="E29" s="461"/>
      <c r="F29" s="461"/>
      <c r="G29" s="461"/>
      <c r="H29" s="461"/>
      <c r="I29" s="563"/>
      <c r="J29" s="76" t="s">
        <v>6</v>
      </c>
      <c r="K29" s="241">
        <v>0.2</v>
      </c>
      <c r="L29" s="77" t="s">
        <v>7</v>
      </c>
      <c r="M29" s="78">
        <f>K29*B29</f>
        <v>149.20000000000002</v>
      </c>
      <c r="N29" s="79"/>
      <c r="O29" s="128"/>
      <c r="P29" s="77" t="s">
        <v>7</v>
      </c>
      <c r="Q29" s="377"/>
      <c r="R29" s="137">
        <v>149</v>
      </c>
      <c r="S29" s="75" t="s">
        <v>9</v>
      </c>
      <c r="T29" s="81">
        <f t="shared" si="3"/>
        <v>-0.20000000000001705</v>
      </c>
      <c r="U29" s="131"/>
      <c r="V29" s="131"/>
      <c r="W29" s="132"/>
      <c r="X29" s="133"/>
      <c r="Y29" s="557"/>
      <c r="Z29" s="134"/>
      <c r="AA29" s="135"/>
      <c r="AB29" s="361"/>
      <c r="AC29" s="466"/>
      <c r="AD29" s="467"/>
      <c r="AE29" s="467"/>
      <c r="AF29" s="467"/>
    </row>
    <row r="30" spans="1:32" s="203" customFormat="1" ht="69.95" customHeight="1" x14ac:dyDescent="0.15">
      <c r="A30" s="432"/>
      <c r="B30" s="182">
        <f>$I$7</f>
        <v>0</v>
      </c>
      <c r="C30" s="461">
        <f>$A$7</f>
        <v>0</v>
      </c>
      <c r="D30" s="461"/>
      <c r="E30" s="461"/>
      <c r="F30" s="461"/>
      <c r="G30" s="461"/>
      <c r="H30" s="461"/>
      <c r="I30" s="442"/>
      <c r="J30" s="76" t="s">
        <v>6</v>
      </c>
      <c r="K30" s="241"/>
      <c r="L30" s="77" t="s">
        <v>7</v>
      </c>
      <c r="M30" s="78">
        <f>K30*B30</f>
        <v>0</v>
      </c>
      <c r="N30" s="79"/>
      <c r="O30" s="128"/>
      <c r="P30" s="77" t="s">
        <v>7</v>
      </c>
      <c r="Q30" s="378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2"/>
      <c r="AC30" s="466"/>
      <c r="AD30" s="467"/>
      <c r="AE30" s="467"/>
      <c r="AF30" s="467"/>
    </row>
    <row r="31" spans="1:32" s="203" customFormat="1" ht="69.95" customHeight="1" x14ac:dyDescent="0.15">
      <c r="A31" s="464" t="s">
        <v>77</v>
      </c>
      <c r="B31" s="191">
        <f>$I$5</f>
        <v>593</v>
      </c>
      <c r="C31" s="465" t="str">
        <f>$A$5</f>
        <v>CR</v>
      </c>
      <c r="D31" s="465"/>
      <c r="E31" s="465"/>
      <c r="F31" s="465"/>
      <c r="G31" s="465"/>
      <c r="H31" s="465"/>
      <c r="I31" s="433" t="s">
        <v>110</v>
      </c>
      <c r="J31" s="192"/>
      <c r="K31" s="209">
        <v>3.3</v>
      </c>
      <c r="L31" s="194" t="s">
        <v>7</v>
      </c>
      <c r="M31" s="195">
        <f>K31*B31/100</f>
        <v>19.568999999999999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-19.568999999999999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thickBot="1" x14ac:dyDescent="0.2">
      <c r="A32" s="464"/>
      <c r="B32" s="191">
        <f>$I$6</f>
        <v>746</v>
      </c>
      <c r="C32" s="465" t="str">
        <f>$A$6</f>
        <v>BK</v>
      </c>
      <c r="D32" s="465"/>
      <c r="E32" s="465"/>
      <c r="F32" s="465"/>
      <c r="G32" s="465"/>
      <c r="H32" s="465"/>
      <c r="I32" s="434"/>
      <c r="J32" s="192"/>
      <c r="K32" s="208">
        <v>3.3</v>
      </c>
      <c r="L32" s="194" t="s">
        <v>7</v>
      </c>
      <c r="M32" s="195">
        <f>K32*B32/100</f>
        <v>24.617999999999999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-24.617999999999999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thickTop="1" x14ac:dyDescent="0.15">
      <c r="A33" s="464" t="s">
        <v>86</v>
      </c>
      <c r="B33" s="239">
        <f>$I$5</f>
        <v>593</v>
      </c>
      <c r="C33" s="456" t="str">
        <f>$A$5</f>
        <v>CR</v>
      </c>
      <c r="D33" s="456"/>
      <c r="E33" s="456"/>
      <c r="F33" s="456"/>
      <c r="G33" s="456"/>
      <c r="H33" s="456"/>
      <c r="I33" s="457" t="s">
        <v>76</v>
      </c>
      <c r="J33" s="240"/>
      <c r="K33" s="241">
        <v>3.5</v>
      </c>
      <c r="L33" s="168" t="s">
        <v>7</v>
      </c>
      <c r="M33" s="242">
        <f>K33*B33/50</f>
        <v>41.51</v>
      </c>
      <c r="N33" s="243"/>
      <c r="O33" s="242"/>
      <c r="P33" s="244" t="s">
        <v>7</v>
      </c>
      <c r="Q33" s="376">
        <v>45959</v>
      </c>
      <c r="R33" s="242">
        <v>42</v>
      </c>
      <c r="S33" s="244" t="s">
        <v>9</v>
      </c>
      <c r="T33" s="245">
        <f t="shared" si="3"/>
        <v>0.49000000000000199</v>
      </c>
      <c r="U33" s="246"/>
      <c r="V33" s="247"/>
      <c r="W33" s="242"/>
      <c r="X33" s="242"/>
      <c r="Y33" s="459" t="s">
        <v>94</v>
      </c>
      <c r="Z33" s="260"/>
      <c r="AA33" s="249"/>
      <c r="AB33" s="566" t="s">
        <v>188</v>
      </c>
    </row>
    <row r="34" spans="1:32" s="261" customFormat="1" ht="69.95" customHeight="1" x14ac:dyDescent="0.15">
      <c r="A34" s="464"/>
      <c r="B34" s="239">
        <f>$I$6</f>
        <v>746</v>
      </c>
      <c r="C34" s="456" t="str">
        <f>$A$6</f>
        <v>BK</v>
      </c>
      <c r="D34" s="456"/>
      <c r="E34" s="456"/>
      <c r="F34" s="456"/>
      <c r="G34" s="456"/>
      <c r="H34" s="456"/>
      <c r="I34" s="564"/>
      <c r="J34" s="240"/>
      <c r="K34" s="241">
        <v>3.5</v>
      </c>
      <c r="L34" s="168" t="s">
        <v>7</v>
      </c>
      <c r="M34" s="242">
        <f>K34*B34/50</f>
        <v>52.22</v>
      </c>
      <c r="N34" s="243"/>
      <c r="O34" s="253"/>
      <c r="P34" s="168" t="s">
        <v>7</v>
      </c>
      <c r="Q34" s="377"/>
      <c r="R34" s="247">
        <v>53</v>
      </c>
      <c r="S34" s="255" t="s">
        <v>9</v>
      </c>
      <c r="T34" s="245">
        <f t="shared" si="3"/>
        <v>0.78000000000000114</v>
      </c>
      <c r="U34" s="256"/>
      <c r="V34" s="256"/>
      <c r="W34" s="257"/>
      <c r="X34" s="258"/>
      <c r="Y34" s="565"/>
      <c r="Z34" s="259"/>
      <c r="AA34" s="249"/>
      <c r="AB34" s="361"/>
      <c r="AC34" s="462"/>
      <c r="AD34" s="463"/>
      <c r="AE34" s="463"/>
      <c r="AF34" s="463"/>
    </row>
    <row r="35" spans="1:32" s="261" customFormat="1" ht="69.95" customHeight="1" x14ac:dyDescent="0.15">
      <c r="A35" s="464"/>
      <c r="B35" s="239">
        <f>$I$7</f>
        <v>0</v>
      </c>
      <c r="C35" s="456">
        <f>$A$7</f>
        <v>0</v>
      </c>
      <c r="D35" s="456"/>
      <c r="E35" s="456"/>
      <c r="F35" s="456"/>
      <c r="G35" s="456"/>
      <c r="H35" s="456"/>
      <c r="I35" s="458"/>
      <c r="J35" s="240"/>
      <c r="K35" s="241"/>
      <c r="L35" s="168" t="s">
        <v>7</v>
      </c>
      <c r="M35" s="242">
        <f>K35*B35/50</f>
        <v>0</v>
      </c>
      <c r="N35" s="243"/>
      <c r="O35" s="253"/>
      <c r="P35" s="168" t="s">
        <v>7</v>
      </c>
      <c r="Q35" s="378"/>
      <c r="R35" s="247"/>
      <c r="S35" s="255" t="s">
        <v>9</v>
      </c>
      <c r="T35" s="245">
        <f t="shared" si="3"/>
        <v>0</v>
      </c>
      <c r="U35" s="256"/>
      <c r="V35" s="256"/>
      <c r="W35" s="257"/>
      <c r="X35" s="258"/>
      <c r="Y35" s="460"/>
      <c r="Z35" s="259"/>
      <c r="AA35" s="249"/>
      <c r="AB35" s="362"/>
      <c r="AC35" s="462"/>
      <c r="AD35" s="463"/>
      <c r="AE35" s="463"/>
      <c r="AF35" s="463"/>
    </row>
    <row r="36" spans="1:32" s="203" customFormat="1" ht="69.95" customHeight="1" x14ac:dyDescent="0.15">
      <c r="A36" s="464" t="s">
        <v>116</v>
      </c>
      <c r="B36" s="191">
        <f>$I$5</f>
        <v>593</v>
      </c>
      <c r="C36" s="465" t="str">
        <f>$A$5</f>
        <v>CR</v>
      </c>
      <c r="D36" s="465"/>
      <c r="E36" s="465"/>
      <c r="F36" s="465"/>
      <c r="G36" s="465"/>
      <c r="H36" s="465"/>
      <c r="I36" s="433" t="s">
        <v>76</v>
      </c>
      <c r="J36" s="192"/>
      <c r="K36" s="209">
        <v>2.4</v>
      </c>
      <c r="L36" s="194" t="s">
        <v>7</v>
      </c>
      <c r="M36" s="195">
        <f>K36*B36/50</f>
        <v>28.464000000000002</v>
      </c>
      <c r="N36" s="196"/>
      <c r="O36" s="195"/>
      <c r="P36" s="197" t="s">
        <v>7</v>
      </c>
      <c r="Q36" s="435"/>
      <c r="R36" s="195"/>
      <c r="S36" s="197" t="s">
        <v>9</v>
      </c>
      <c r="T36" s="198">
        <f t="shared" si="3"/>
        <v>-28.464000000000002</v>
      </c>
      <c r="U36" s="199"/>
      <c r="V36" s="200"/>
      <c r="W36" s="195"/>
      <c r="X36" s="195"/>
      <c r="Y36" s="437" t="s">
        <v>94</v>
      </c>
      <c r="Z36" s="201"/>
      <c r="AA36" s="202"/>
      <c r="AB36" s="439"/>
    </row>
    <row r="37" spans="1:32" s="203" customFormat="1" ht="69.95" customHeight="1" x14ac:dyDescent="0.15">
      <c r="A37" s="464"/>
      <c r="B37" s="191">
        <f>$I$6</f>
        <v>746</v>
      </c>
      <c r="C37" s="465" t="str">
        <f>$A$6</f>
        <v>BK</v>
      </c>
      <c r="D37" s="465"/>
      <c r="E37" s="465"/>
      <c r="F37" s="465"/>
      <c r="G37" s="465"/>
      <c r="H37" s="465"/>
      <c r="I37" s="434"/>
      <c r="J37" s="192"/>
      <c r="K37" s="208">
        <v>2.4</v>
      </c>
      <c r="L37" s="194" t="s">
        <v>7</v>
      </c>
      <c r="M37" s="195">
        <f>K37*B37/50</f>
        <v>35.808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-35.808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31" t="s">
        <v>88</v>
      </c>
      <c r="B38" s="239">
        <f>$I$5</f>
        <v>593</v>
      </c>
      <c r="C38" s="456" t="str">
        <f>$A$5</f>
        <v>CR</v>
      </c>
      <c r="D38" s="456"/>
      <c r="E38" s="456"/>
      <c r="F38" s="456" t="str">
        <f>$A$5</f>
        <v>CR</v>
      </c>
      <c r="G38" s="456"/>
      <c r="H38" s="456"/>
      <c r="I38" s="457" t="s">
        <v>62</v>
      </c>
      <c r="J38" s="240"/>
      <c r="K38" s="263">
        <v>130</v>
      </c>
      <c r="L38" s="168" t="s">
        <v>61</v>
      </c>
      <c r="M38" s="242">
        <f t="shared" ref="M38:M40" si="5">K38*B38/2500</f>
        <v>30.835999999999999</v>
      </c>
      <c r="N38" s="243"/>
      <c r="O38" s="242"/>
      <c r="P38" s="244" t="s">
        <v>10</v>
      </c>
      <c r="Q38" s="376">
        <v>45959</v>
      </c>
      <c r="R38" s="242">
        <v>31</v>
      </c>
      <c r="S38" s="244" t="s">
        <v>10</v>
      </c>
      <c r="T38" s="245">
        <f t="shared" ref="T38:T40" si="6">R38-M38</f>
        <v>0.16400000000000148</v>
      </c>
      <c r="U38" s="246"/>
      <c r="V38" s="247"/>
      <c r="W38" s="242"/>
      <c r="X38" s="242"/>
      <c r="Y38" s="459" t="s">
        <v>94</v>
      </c>
      <c r="Z38" s="260"/>
      <c r="AA38" s="249"/>
      <c r="AB38" s="360" t="s">
        <v>188</v>
      </c>
    </row>
    <row r="39" spans="1:32" s="176" customFormat="1" ht="69.95" customHeight="1" x14ac:dyDescent="0.15">
      <c r="A39" s="559"/>
      <c r="B39" s="264">
        <f>$I$6</f>
        <v>746</v>
      </c>
      <c r="C39" s="413" t="str">
        <f>$A$6</f>
        <v>BK</v>
      </c>
      <c r="D39" s="414"/>
      <c r="E39" s="415"/>
      <c r="F39" s="413" t="str">
        <f>$A$6</f>
        <v>BK</v>
      </c>
      <c r="G39" s="414"/>
      <c r="H39" s="415"/>
      <c r="I39" s="564"/>
      <c r="J39" s="265"/>
      <c r="K39" s="263">
        <v>130</v>
      </c>
      <c r="L39" s="266" t="s">
        <v>61</v>
      </c>
      <c r="M39" s="242">
        <f t="shared" si="5"/>
        <v>38.792000000000002</v>
      </c>
      <c r="N39" s="267"/>
      <c r="O39" s="268"/>
      <c r="P39" s="266" t="s">
        <v>10</v>
      </c>
      <c r="Q39" s="377"/>
      <c r="R39" s="269">
        <v>39</v>
      </c>
      <c r="S39" s="252" t="s">
        <v>10</v>
      </c>
      <c r="T39" s="270">
        <f t="shared" si="6"/>
        <v>0.20799999999999841</v>
      </c>
      <c r="U39" s="271"/>
      <c r="V39" s="271"/>
      <c r="W39" s="272"/>
      <c r="X39" s="273"/>
      <c r="Y39" s="565"/>
      <c r="Z39" s="274"/>
      <c r="AA39" s="275"/>
      <c r="AB39" s="361"/>
      <c r="AC39" s="451"/>
      <c r="AD39" s="452"/>
      <c r="AE39" s="452"/>
      <c r="AF39" s="452"/>
    </row>
    <row r="40" spans="1:32" s="176" customFormat="1" ht="69.95" customHeight="1" x14ac:dyDescent="0.15">
      <c r="A40" s="432"/>
      <c r="B40" s="264">
        <f>$I$7</f>
        <v>0</v>
      </c>
      <c r="C40" s="413">
        <f>$A$7</f>
        <v>0</v>
      </c>
      <c r="D40" s="414"/>
      <c r="E40" s="415"/>
      <c r="F40" s="413">
        <f>$A$7</f>
        <v>0</v>
      </c>
      <c r="G40" s="414"/>
      <c r="H40" s="415"/>
      <c r="I40" s="458"/>
      <c r="J40" s="265"/>
      <c r="K40" s="263"/>
      <c r="L40" s="266" t="s">
        <v>61</v>
      </c>
      <c r="M40" s="242">
        <f t="shared" si="5"/>
        <v>0</v>
      </c>
      <c r="N40" s="267"/>
      <c r="O40" s="268"/>
      <c r="P40" s="266" t="s">
        <v>10</v>
      </c>
      <c r="Q40" s="377"/>
      <c r="R40" s="269"/>
      <c r="S40" s="252" t="s">
        <v>10</v>
      </c>
      <c r="T40" s="270">
        <f t="shared" si="6"/>
        <v>0</v>
      </c>
      <c r="U40" s="271"/>
      <c r="V40" s="271"/>
      <c r="W40" s="272"/>
      <c r="X40" s="273"/>
      <c r="Y40" s="460"/>
      <c r="Z40" s="274"/>
      <c r="AA40" s="275"/>
      <c r="AB40" s="361"/>
      <c r="AC40" s="451"/>
      <c r="AD40" s="452"/>
      <c r="AE40" s="452"/>
      <c r="AF40" s="452"/>
    </row>
    <row r="41" spans="1:32" s="261" customFormat="1" ht="69.95" customHeight="1" x14ac:dyDescent="0.15">
      <c r="A41" s="431" t="s">
        <v>87</v>
      </c>
      <c r="B41" s="239">
        <f>$I$5</f>
        <v>593</v>
      </c>
      <c r="C41" s="456" t="str">
        <f>$A$5</f>
        <v>CR</v>
      </c>
      <c r="D41" s="456"/>
      <c r="E41" s="456"/>
      <c r="F41" s="456" t="str">
        <f>$A$5</f>
        <v>CR</v>
      </c>
      <c r="G41" s="456"/>
      <c r="H41" s="456"/>
      <c r="I41" s="457" t="s">
        <v>60</v>
      </c>
      <c r="J41" s="240"/>
      <c r="K41" s="263">
        <v>220</v>
      </c>
      <c r="L41" s="168" t="s">
        <v>61</v>
      </c>
      <c r="M41" s="242">
        <f>K41*B41/4000</f>
        <v>32.615000000000002</v>
      </c>
      <c r="N41" s="243"/>
      <c r="O41" s="242"/>
      <c r="P41" s="244" t="s">
        <v>10</v>
      </c>
      <c r="Q41" s="376">
        <v>45959</v>
      </c>
      <c r="R41" s="242">
        <v>33</v>
      </c>
      <c r="S41" s="244" t="s">
        <v>10</v>
      </c>
      <c r="T41" s="245">
        <f t="shared" si="3"/>
        <v>0.38499999999999801</v>
      </c>
      <c r="U41" s="246"/>
      <c r="V41" s="247"/>
      <c r="W41" s="242"/>
      <c r="X41" s="242"/>
      <c r="Y41" s="459" t="s">
        <v>94</v>
      </c>
      <c r="Z41" s="260"/>
      <c r="AA41" s="249"/>
      <c r="AB41" s="360" t="s">
        <v>188</v>
      </c>
    </row>
    <row r="42" spans="1:32" s="176" customFormat="1" ht="69.95" customHeight="1" x14ac:dyDescent="0.15">
      <c r="A42" s="559"/>
      <c r="B42" s="264">
        <f>$I$6</f>
        <v>746</v>
      </c>
      <c r="C42" s="413" t="str">
        <f>$A$6</f>
        <v>BK</v>
      </c>
      <c r="D42" s="414"/>
      <c r="E42" s="415"/>
      <c r="F42" s="413" t="str">
        <f>$A$6</f>
        <v>BK</v>
      </c>
      <c r="G42" s="414"/>
      <c r="H42" s="415"/>
      <c r="I42" s="564"/>
      <c r="J42" s="265"/>
      <c r="K42" s="263">
        <v>220</v>
      </c>
      <c r="L42" s="266" t="s">
        <v>61</v>
      </c>
      <c r="M42" s="242">
        <f>K42*B42/4000</f>
        <v>41.03</v>
      </c>
      <c r="N42" s="267"/>
      <c r="O42" s="268"/>
      <c r="P42" s="266" t="s">
        <v>10</v>
      </c>
      <c r="Q42" s="377"/>
      <c r="R42" s="269">
        <v>42</v>
      </c>
      <c r="S42" s="252" t="s">
        <v>10</v>
      </c>
      <c r="T42" s="270">
        <f t="shared" si="3"/>
        <v>0.96999999999999886</v>
      </c>
      <c r="U42" s="271"/>
      <c r="V42" s="271"/>
      <c r="W42" s="272"/>
      <c r="X42" s="273"/>
      <c r="Y42" s="565"/>
      <c r="Z42" s="274"/>
      <c r="AA42" s="275"/>
      <c r="AB42" s="361"/>
      <c r="AC42" s="451"/>
      <c r="AD42" s="452"/>
      <c r="AE42" s="452"/>
      <c r="AF42" s="452"/>
    </row>
    <row r="43" spans="1:32" s="176" customFormat="1" ht="69.95" customHeight="1" x14ac:dyDescent="0.15">
      <c r="A43" s="432"/>
      <c r="B43" s="264">
        <f>$I$7</f>
        <v>0</v>
      </c>
      <c r="C43" s="413">
        <f>$A$7</f>
        <v>0</v>
      </c>
      <c r="D43" s="414"/>
      <c r="E43" s="415"/>
      <c r="F43" s="413">
        <f>$A$7</f>
        <v>0</v>
      </c>
      <c r="G43" s="414"/>
      <c r="H43" s="415"/>
      <c r="I43" s="458"/>
      <c r="J43" s="265"/>
      <c r="K43" s="263"/>
      <c r="L43" s="266" t="s">
        <v>61</v>
      </c>
      <c r="M43" s="242">
        <f>K43*B43/4000</f>
        <v>0</v>
      </c>
      <c r="N43" s="267"/>
      <c r="O43" s="268"/>
      <c r="P43" s="266" t="s">
        <v>10</v>
      </c>
      <c r="Q43" s="377"/>
      <c r="R43" s="269"/>
      <c r="S43" s="252" t="s">
        <v>10</v>
      </c>
      <c r="T43" s="270">
        <f t="shared" si="3"/>
        <v>0</v>
      </c>
      <c r="U43" s="271"/>
      <c r="V43" s="271"/>
      <c r="W43" s="272"/>
      <c r="X43" s="273"/>
      <c r="Y43" s="460"/>
      <c r="Z43" s="274"/>
      <c r="AA43" s="275"/>
      <c r="AB43" s="361"/>
      <c r="AC43" s="451"/>
      <c r="AD43" s="452"/>
      <c r="AE43" s="452"/>
      <c r="AF43" s="452"/>
    </row>
    <row r="44" spans="1:32" s="203" customFormat="1" ht="69.95" customHeight="1" x14ac:dyDescent="0.15">
      <c r="A44" s="431" t="s">
        <v>215</v>
      </c>
      <c r="B44" s="182">
        <f>$I$5</f>
        <v>593</v>
      </c>
      <c r="C44" s="461" t="str">
        <f>$A$5</f>
        <v>CR</v>
      </c>
      <c r="D44" s="461"/>
      <c r="E44" s="461"/>
      <c r="F44" s="461" t="str">
        <f>$A$5</f>
        <v>CR</v>
      </c>
      <c r="G44" s="461"/>
      <c r="H44" s="461"/>
      <c r="I44" s="457" t="s">
        <v>169</v>
      </c>
      <c r="J44" s="76"/>
      <c r="K44" s="139">
        <v>10</v>
      </c>
      <c r="L44" s="77" t="s">
        <v>61</v>
      </c>
      <c r="M44" s="78">
        <f>K44*B44/3000</f>
        <v>1.9766666666666666</v>
      </c>
      <c r="N44" s="79"/>
      <c r="O44" s="78"/>
      <c r="P44" s="80" t="s">
        <v>10</v>
      </c>
      <c r="Q44" s="376">
        <v>45959</v>
      </c>
      <c r="R44" s="78">
        <v>2</v>
      </c>
      <c r="S44" s="80" t="s">
        <v>10</v>
      </c>
      <c r="T44" s="81">
        <f t="shared" si="3"/>
        <v>2.3333333333333428E-2</v>
      </c>
      <c r="U44" s="82"/>
      <c r="V44" s="137"/>
      <c r="W44" s="78"/>
      <c r="X44" s="78"/>
      <c r="Y44" s="445" t="s">
        <v>94</v>
      </c>
      <c r="Z44" s="141"/>
      <c r="AA44" s="135"/>
      <c r="AB44" s="360" t="s">
        <v>188</v>
      </c>
    </row>
    <row r="45" spans="1:32" s="206" customFormat="1" ht="69.95" customHeight="1" x14ac:dyDescent="0.15">
      <c r="A45" s="559"/>
      <c r="B45" s="186">
        <f>$I$6</f>
        <v>746</v>
      </c>
      <c r="C45" s="395" t="str">
        <f>$A$6</f>
        <v>BK</v>
      </c>
      <c r="D45" s="396"/>
      <c r="E45" s="397"/>
      <c r="F45" s="395" t="str">
        <f>$A$6</f>
        <v>BK</v>
      </c>
      <c r="G45" s="396"/>
      <c r="H45" s="397"/>
      <c r="I45" s="564"/>
      <c r="J45" s="144"/>
      <c r="K45" s="139">
        <v>10</v>
      </c>
      <c r="L45" s="145" t="s">
        <v>61</v>
      </c>
      <c r="M45" s="78">
        <f>K45*B45/3000</f>
        <v>2.4866666666666668</v>
      </c>
      <c r="N45" s="146"/>
      <c r="O45" s="147"/>
      <c r="P45" s="145" t="s">
        <v>10</v>
      </c>
      <c r="Q45" s="377"/>
      <c r="R45" s="161">
        <v>2</v>
      </c>
      <c r="S45" s="148" t="s">
        <v>10</v>
      </c>
      <c r="T45" s="84">
        <f t="shared" si="3"/>
        <v>-0.4866666666666668</v>
      </c>
      <c r="U45" s="149"/>
      <c r="V45" s="149"/>
      <c r="W45" s="150"/>
      <c r="X45" s="151"/>
      <c r="Y45" s="557"/>
      <c r="Z45" s="134"/>
      <c r="AA45" s="135"/>
      <c r="AB45" s="361"/>
      <c r="AC45" s="567"/>
      <c r="AD45" s="568"/>
      <c r="AE45" s="568"/>
      <c r="AF45" s="568"/>
    </row>
    <row r="46" spans="1:32" s="206" customFormat="1" ht="69.95" customHeight="1" x14ac:dyDescent="0.15">
      <c r="A46" s="432"/>
      <c r="B46" s="186">
        <f>$I$7</f>
        <v>0</v>
      </c>
      <c r="C46" s="395">
        <f>$A$7</f>
        <v>0</v>
      </c>
      <c r="D46" s="396"/>
      <c r="E46" s="397"/>
      <c r="F46" s="395">
        <f>$A$7</f>
        <v>0</v>
      </c>
      <c r="G46" s="396"/>
      <c r="H46" s="397"/>
      <c r="I46" s="458"/>
      <c r="J46" s="144"/>
      <c r="K46" s="139"/>
      <c r="L46" s="145" t="s">
        <v>61</v>
      </c>
      <c r="M46" s="78">
        <f>K46*B46/3000</f>
        <v>0</v>
      </c>
      <c r="N46" s="146"/>
      <c r="O46" s="147"/>
      <c r="P46" s="145" t="s">
        <v>10</v>
      </c>
      <c r="Q46" s="377"/>
      <c r="R46" s="161"/>
      <c r="S46" s="148" t="s">
        <v>10</v>
      </c>
      <c r="T46" s="84">
        <f t="shared" si="3"/>
        <v>0</v>
      </c>
      <c r="U46" s="149"/>
      <c r="V46" s="149"/>
      <c r="W46" s="150"/>
      <c r="X46" s="151"/>
      <c r="Y46" s="446"/>
      <c r="Z46" s="134"/>
      <c r="AA46" s="135"/>
      <c r="AB46" s="361"/>
      <c r="AC46" s="567"/>
      <c r="AD46" s="568"/>
      <c r="AE46" s="568"/>
      <c r="AF46" s="568"/>
    </row>
    <row r="47" spans="1:32" s="206" customFormat="1" ht="69.95" customHeight="1" x14ac:dyDescent="0.15">
      <c r="A47" s="431" t="s">
        <v>117</v>
      </c>
      <c r="B47" s="191">
        <f t="shared" ref="B47:B49" si="7">$I$5</f>
        <v>593</v>
      </c>
      <c r="C47" s="422" t="str">
        <f t="shared" ref="C47:C49" si="8">$A$5</f>
        <v>CR</v>
      </c>
      <c r="D47" s="423"/>
      <c r="E47" s="424"/>
      <c r="F47" s="425"/>
      <c r="G47" s="423"/>
      <c r="H47" s="424"/>
      <c r="I47" s="433" t="s">
        <v>80</v>
      </c>
      <c r="J47" s="192"/>
      <c r="K47" s="193">
        <v>1</v>
      </c>
      <c r="L47" s="194" t="s">
        <v>65</v>
      </c>
      <c r="M47" s="195">
        <f t="shared" ref="M47:M79" si="9">K47*B47</f>
        <v>593</v>
      </c>
      <c r="N47" s="196"/>
      <c r="O47" s="195"/>
      <c r="P47" s="194" t="s">
        <v>65</v>
      </c>
      <c r="Q47" s="435"/>
      <c r="R47" s="195"/>
      <c r="S47" s="194" t="s">
        <v>65</v>
      </c>
      <c r="T47" s="205">
        <f t="shared" si="3"/>
        <v>-593</v>
      </c>
      <c r="U47" s="199"/>
      <c r="V47" s="199"/>
      <c r="W47" s="208"/>
      <c r="X47" s="198"/>
      <c r="Y47" s="437" t="s">
        <v>57</v>
      </c>
      <c r="Z47" s="231"/>
      <c r="AA47" s="232"/>
      <c r="AB47" s="439"/>
    </row>
    <row r="48" spans="1:32" s="206" customFormat="1" ht="69.95" customHeight="1" x14ac:dyDescent="0.15">
      <c r="A48" s="432"/>
      <c r="B48" s="204">
        <f>$I$6</f>
        <v>746</v>
      </c>
      <c r="C48" s="453" t="str">
        <f>$A$6</f>
        <v>BK</v>
      </c>
      <c r="D48" s="454"/>
      <c r="E48" s="455"/>
      <c r="F48" s="425"/>
      <c r="G48" s="423"/>
      <c r="H48" s="424"/>
      <c r="I48" s="434"/>
      <c r="J48" s="192"/>
      <c r="K48" s="193">
        <v>1</v>
      </c>
      <c r="L48" s="194" t="s">
        <v>65</v>
      </c>
      <c r="M48" s="195">
        <f t="shared" si="9"/>
        <v>746</v>
      </c>
      <c r="N48" s="233"/>
      <c r="O48" s="195"/>
      <c r="P48" s="194" t="s">
        <v>65</v>
      </c>
      <c r="Q48" s="436"/>
      <c r="R48" s="195"/>
      <c r="S48" s="194" t="s">
        <v>65</v>
      </c>
      <c r="T48" s="198">
        <f t="shared" si="3"/>
        <v>-746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206" customFormat="1" ht="69.95" customHeight="1" x14ac:dyDescent="0.15">
      <c r="A49" s="431" t="s">
        <v>78</v>
      </c>
      <c r="B49" s="191">
        <f t="shared" si="7"/>
        <v>593</v>
      </c>
      <c r="C49" s="422" t="str">
        <f t="shared" si="8"/>
        <v>CR</v>
      </c>
      <c r="D49" s="423"/>
      <c r="E49" s="424"/>
      <c r="F49" s="425"/>
      <c r="G49" s="423"/>
      <c r="H49" s="424"/>
      <c r="I49" s="207"/>
      <c r="J49" s="192"/>
      <c r="K49" s="193">
        <v>1</v>
      </c>
      <c r="L49" s="194" t="s">
        <v>65</v>
      </c>
      <c r="M49" s="195">
        <f t="shared" si="9"/>
        <v>593</v>
      </c>
      <c r="N49" s="196"/>
      <c r="O49" s="195"/>
      <c r="P49" s="194" t="s">
        <v>65</v>
      </c>
      <c r="Q49" s="435"/>
      <c r="R49" s="195"/>
      <c r="S49" s="194" t="s">
        <v>65</v>
      </c>
      <c r="T49" s="205">
        <f t="shared" si="3"/>
        <v>-593</v>
      </c>
      <c r="U49" s="199"/>
      <c r="V49" s="199"/>
      <c r="W49" s="208"/>
      <c r="X49" s="198"/>
      <c r="Y49" s="437" t="s">
        <v>57</v>
      </c>
      <c r="Z49" s="231"/>
      <c r="AA49" s="232"/>
      <c r="AB49" s="439"/>
    </row>
    <row r="50" spans="1:32" s="206" customFormat="1" ht="69.95" customHeight="1" thickBot="1" x14ac:dyDescent="0.2">
      <c r="A50" s="432"/>
      <c r="B50" s="204">
        <f>$I$6</f>
        <v>746</v>
      </c>
      <c r="C50" s="453" t="str">
        <f>$A$6</f>
        <v>BK</v>
      </c>
      <c r="D50" s="454"/>
      <c r="E50" s="455"/>
      <c r="F50" s="425"/>
      <c r="G50" s="423"/>
      <c r="H50" s="424"/>
      <c r="I50" s="207"/>
      <c r="J50" s="192"/>
      <c r="K50" s="193">
        <v>1</v>
      </c>
      <c r="L50" s="194" t="s">
        <v>65</v>
      </c>
      <c r="M50" s="195">
        <f t="shared" si="9"/>
        <v>746</v>
      </c>
      <c r="N50" s="233"/>
      <c r="O50" s="195"/>
      <c r="P50" s="194" t="s">
        <v>65</v>
      </c>
      <c r="Q50" s="436"/>
      <c r="R50" s="195"/>
      <c r="S50" s="194" t="s">
        <v>65</v>
      </c>
      <c r="T50" s="198">
        <f t="shared" si="3"/>
        <v>-746</v>
      </c>
      <c r="U50" s="199"/>
      <c r="V50" s="200"/>
      <c r="W50" s="195"/>
      <c r="X50" s="195"/>
      <c r="Y50" s="438"/>
      <c r="Z50" s="201"/>
      <c r="AA50" s="202"/>
      <c r="AB50" s="440"/>
      <c r="AC50" s="234"/>
      <c r="AD50" s="230"/>
      <c r="AE50" s="230"/>
      <c r="AF50" s="230"/>
    </row>
    <row r="51" spans="1:32" s="206" customFormat="1" ht="69.95" customHeight="1" thickTop="1" x14ac:dyDescent="0.15">
      <c r="A51" s="431" t="s">
        <v>100</v>
      </c>
      <c r="B51" s="182">
        <f t="shared" ref="B51:B65" si="10">$I$5</f>
        <v>593</v>
      </c>
      <c r="C51" s="368" t="str">
        <f t="shared" ref="C51:C65" si="11">$A$5</f>
        <v>CR</v>
      </c>
      <c r="D51" s="369"/>
      <c r="E51" s="370"/>
      <c r="F51" s="428"/>
      <c r="G51" s="369"/>
      <c r="H51" s="370"/>
      <c r="I51" s="441" t="s">
        <v>142</v>
      </c>
      <c r="J51" s="76"/>
      <c r="K51" s="139">
        <v>1</v>
      </c>
      <c r="L51" s="77" t="s">
        <v>63</v>
      </c>
      <c r="M51" s="78">
        <f t="shared" si="9"/>
        <v>593</v>
      </c>
      <c r="N51" s="79"/>
      <c r="O51" s="78"/>
      <c r="P51" s="80" t="s">
        <v>63</v>
      </c>
      <c r="Q51" s="443">
        <v>45959</v>
      </c>
      <c r="R51" s="78">
        <v>593</v>
      </c>
      <c r="S51" s="80" t="s">
        <v>63</v>
      </c>
      <c r="T51" s="84">
        <f t="shared" si="3"/>
        <v>0</v>
      </c>
      <c r="U51" s="82"/>
      <c r="V51" s="82"/>
      <c r="W51" s="83"/>
      <c r="X51" s="81"/>
      <c r="Y51" s="445" t="s">
        <v>94</v>
      </c>
      <c r="Z51" s="86"/>
      <c r="AA51" s="85"/>
      <c r="AB51" s="566" t="s">
        <v>188</v>
      </c>
    </row>
    <row r="52" spans="1:32" s="206" customFormat="1" ht="69.95" customHeight="1" x14ac:dyDescent="0.15">
      <c r="A52" s="559"/>
      <c r="B52" s="186">
        <f>$I$6</f>
        <v>746</v>
      </c>
      <c r="C52" s="395" t="str">
        <f>$A$6</f>
        <v>BK</v>
      </c>
      <c r="D52" s="396"/>
      <c r="E52" s="397"/>
      <c r="F52" s="428"/>
      <c r="G52" s="369"/>
      <c r="H52" s="370"/>
      <c r="I52" s="563"/>
      <c r="J52" s="76"/>
      <c r="K52" s="139">
        <v>1</v>
      </c>
      <c r="L52" s="77" t="s">
        <v>63</v>
      </c>
      <c r="M52" s="78">
        <f t="shared" si="9"/>
        <v>746</v>
      </c>
      <c r="N52" s="140"/>
      <c r="O52" s="78"/>
      <c r="P52" s="80" t="s">
        <v>63</v>
      </c>
      <c r="Q52" s="447"/>
      <c r="R52" s="78">
        <v>746</v>
      </c>
      <c r="S52" s="80" t="s">
        <v>63</v>
      </c>
      <c r="T52" s="81">
        <f t="shared" si="3"/>
        <v>0</v>
      </c>
      <c r="U52" s="82"/>
      <c r="V52" s="137"/>
      <c r="W52" s="78"/>
      <c r="X52" s="78"/>
      <c r="Y52" s="557"/>
      <c r="Z52" s="141"/>
      <c r="AA52" s="135"/>
      <c r="AB52" s="361"/>
      <c r="AC52" s="234"/>
      <c r="AD52" s="230"/>
      <c r="AE52" s="230"/>
      <c r="AF52" s="230"/>
    </row>
    <row r="53" spans="1:32" s="206" customFormat="1" ht="69.95" customHeight="1" thickBot="1" x14ac:dyDescent="0.2">
      <c r="A53" s="432"/>
      <c r="B53" s="186">
        <f>$I$7</f>
        <v>0</v>
      </c>
      <c r="C53" s="395">
        <f>$A$7</f>
        <v>0</v>
      </c>
      <c r="D53" s="396"/>
      <c r="E53" s="397"/>
      <c r="F53" s="428"/>
      <c r="G53" s="369"/>
      <c r="H53" s="370"/>
      <c r="I53" s="442"/>
      <c r="J53" s="76"/>
      <c r="K53" s="139"/>
      <c r="L53" s="77" t="s">
        <v>63</v>
      </c>
      <c r="M53" s="78">
        <f t="shared" si="9"/>
        <v>0</v>
      </c>
      <c r="N53" s="140"/>
      <c r="O53" s="78"/>
      <c r="P53" s="80" t="s">
        <v>63</v>
      </c>
      <c r="Q53" s="444"/>
      <c r="R53" s="78"/>
      <c r="S53" s="80" t="s">
        <v>63</v>
      </c>
      <c r="T53" s="81">
        <f t="shared" si="3"/>
        <v>0</v>
      </c>
      <c r="U53" s="82"/>
      <c r="V53" s="137"/>
      <c r="W53" s="78"/>
      <c r="X53" s="78"/>
      <c r="Y53" s="446"/>
      <c r="Z53" s="141"/>
      <c r="AA53" s="135"/>
      <c r="AB53" s="362"/>
      <c r="AC53" s="234"/>
      <c r="AD53" s="230"/>
      <c r="AE53" s="230"/>
      <c r="AF53" s="230"/>
    </row>
    <row r="54" spans="1:32" s="206" customFormat="1" ht="69.95" customHeight="1" thickTop="1" x14ac:dyDescent="0.15">
      <c r="A54" s="431" t="s">
        <v>103</v>
      </c>
      <c r="B54" s="182">
        <f t="shared" ref="B54" si="12">$I$5</f>
        <v>593</v>
      </c>
      <c r="C54" s="368" t="str">
        <f t="shared" ref="C54" si="13">$A$5</f>
        <v>CR</v>
      </c>
      <c r="D54" s="369"/>
      <c r="E54" s="370"/>
      <c r="F54" s="428"/>
      <c r="G54" s="429"/>
      <c r="H54" s="430"/>
      <c r="I54" s="75"/>
      <c r="J54" s="76"/>
      <c r="K54" s="139">
        <v>1</v>
      </c>
      <c r="L54" s="77" t="s">
        <v>65</v>
      </c>
      <c r="M54" s="78">
        <f>K54*B54</f>
        <v>593</v>
      </c>
      <c r="N54" s="79"/>
      <c r="O54" s="78"/>
      <c r="P54" s="80" t="s">
        <v>65</v>
      </c>
      <c r="Q54" s="376">
        <v>45959</v>
      </c>
      <c r="R54" s="78">
        <v>593</v>
      </c>
      <c r="S54" s="80" t="s">
        <v>65</v>
      </c>
      <c r="T54" s="84">
        <f>R54-M54</f>
        <v>0</v>
      </c>
      <c r="U54" s="82"/>
      <c r="V54" s="82"/>
      <c r="W54" s="83"/>
      <c r="X54" s="81"/>
      <c r="Y54" s="445" t="s">
        <v>94</v>
      </c>
      <c r="Z54" s="86"/>
      <c r="AA54" s="85"/>
      <c r="AB54" s="566" t="s">
        <v>188</v>
      </c>
    </row>
    <row r="55" spans="1:32" s="206" customFormat="1" ht="69.95" customHeight="1" x14ac:dyDescent="0.15">
      <c r="A55" s="559"/>
      <c r="B55" s="186">
        <f>$I$6</f>
        <v>746</v>
      </c>
      <c r="C55" s="368" t="str">
        <f>$A$6</f>
        <v>BK</v>
      </c>
      <c r="D55" s="369"/>
      <c r="E55" s="370"/>
      <c r="F55" s="428"/>
      <c r="G55" s="429"/>
      <c r="H55" s="430"/>
      <c r="I55" s="75"/>
      <c r="J55" s="76"/>
      <c r="K55" s="139">
        <v>1</v>
      </c>
      <c r="L55" s="77" t="s">
        <v>65</v>
      </c>
      <c r="M55" s="78">
        <f>K55*B55</f>
        <v>746</v>
      </c>
      <c r="N55" s="140"/>
      <c r="O55" s="78"/>
      <c r="P55" s="80" t="s">
        <v>65</v>
      </c>
      <c r="Q55" s="377"/>
      <c r="R55" s="78">
        <v>746</v>
      </c>
      <c r="S55" s="80" t="s">
        <v>65</v>
      </c>
      <c r="T55" s="81">
        <f>R55-M55</f>
        <v>0</v>
      </c>
      <c r="U55" s="82"/>
      <c r="V55" s="137"/>
      <c r="W55" s="78"/>
      <c r="X55" s="78"/>
      <c r="Y55" s="557"/>
      <c r="Z55" s="141"/>
      <c r="AA55" s="135"/>
      <c r="AB55" s="361"/>
      <c r="AC55" s="234"/>
      <c r="AD55" s="230"/>
      <c r="AE55" s="230"/>
      <c r="AF55" s="230"/>
    </row>
    <row r="56" spans="1:32" s="206" customFormat="1" ht="69.95" customHeight="1" x14ac:dyDescent="0.15">
      <c r="A56" s="432"/>
      <c r="B56" s="186">
        <f>$I$7</f>
        <v>0</v>
      </c>
      <c r="C56" s="368">
        <f>$A$7</f>
        <v>0</v>
      </c>
      <c r="D56" s="369"/>
      <c r="E56" s="370"/>
      <c r="F56" s="428"/>
      <c r="G56" s="429"/>
      <c r="H56" s="430"/>
      <c r="I56" s="75"/>
      <c r="J56" s="76"/>
      <c r="K56" s="139"/>
      <c r="L56" s="77" t="s">
        <v>65</v>
      </c>
      <c r="M56" s="78">
        <f>K56*B56</f>
        <v>0</v>
      </c>
      <c r="N56" s="140"/>
      <c r="O56" s="78"/>
      <c r="P56" s="80" t="s">
        <v>65</v>
      </c>
      <c r="Q56" s="378"/>
      <c r="R56" s="78"/>
      <c r="S56" s="80" t="s">
        <v>65</v>
      </c>
      <c r="T56" s="81">
        <f>R56-M56</f>
        <v>0</v>
      </c>
      <c r="U56" s="82"/>
      <c r="V56" s="137"/>
      <c r="W56" s="78"/>
      <c r="X56" s="78"/>
      <c r="Y56" s="446"/>
      <c r="Z56" s="141"/>
      <c r="AA56" s="135"/>
      <c r="AB56" s="362"/>
      <c r="AC56" s="234"/>
      <c r="AD56" s="230"/>
      <c r="AE56" s="230"/>
      <c r="AF56" s="230"/>
    </row>
    <row r="57" spans="1:32" s="55" customFormat="1" ht="69.95" customHeight="1" x14ac:dyDescent="0.15">
      <c r="A57" s="431" t="s">
        <v>164</v>
      </c>
      <c r="B57" s="191">
        <f t="shared" ref="B57" si="14">$I$5</f>
        <v>593</v>
      </c>
      <c r="C57" s="422" t="str">
        <f t="shared" ref="C57" si="15">$A$5</f>
        <v>CR</v>
      </c>
      <c r="D57" s="423"/>
      <c r="E57" s="424"/>
      <c r="F57" s="425"/>
      <c r="G57" s="426"/>
      <c r="H57" s="427"/>
      <c r="I57" s="433" t="s">
        <v>104</v>
      </c>
      <c r="J57" s="192"/>
      <c r="K57" s="304">
        <v>0.6</v>
      </c>
      <c r="L57" s="194" t="s">
        <v>129</v>
      </c>
      <c r="M57" s="195">
        <f t="shared" ref="M57:M59" si="16">K57*B57</f>
        <v>355.8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ref="T57:T59" si="17">R57-M57</f>
        <v>-355.8</v>
      </c>
      <c r="U57" s="199"/>
      <c r="V57" s="199"/>
      <c r="W57" s="208"/>
      <c r="X57" s="198"/>
      <c r="Y57" s="437" t="s">
        <v>130</v>
      </c>
      <c r="Z57" s="231"/>
      <c r="AA57" s="232"/>
      <c r="AB57" s="439"/>
    </row>
    <row r="58" spans="1:32" s="55" customFormat="1" ht="69.95" customHeight="1" x14ac:dyDescent="0.15">
      <c r="A58" s="559"/>
      <c r="B58" s="204">
        <f>$I$6</f>
        <v>746</v>
      </c>
      <c r="C58" s="422" t="str">
        <f>$A$6</f>
        <v>BK</v>
      </c>
      <c r="D58" s="423"/>
      <c r="E58" s="424"/>
      <c r="F58" s="425"/>
      <c r="G58" s="426"/>
      <c r="H58" s="427"/>
      <c r="I58" s="560"/>
      <c r="J58" s="192"/>
      <c r="K58" s="304">
        <v>0.6</v>
      </c>
      <c r="L58" s="194" t="s">
        <v>129</v>
      </c>
      <c r="M58" s="195">
        <f t="shared" si="16"/>
        <v>447.59999999999997</v>
      </c>
      <c r="N58" s="233"/>
      <c r="O58" s="195"/>
      <c r="P58" s="197" t="s">
        <v>63</v>
      </c>
      <c r="Q58" s="561"/>
      <c r="R58" s="195"/>
      <c r="S58" s="197" t="s">
        <v>63</v>
      </c>
      <c r="T58" s="198">
        <f t="shared" si="17"/>
        <v>-447.59999999999997</v>
      </c>
      <c r="U58" s="199"/>
      <c r="V58" s="200"/>
      <c r="W58" s="195"/>
      <c r="X58" s="195"/>
      <c r="Y58" s="562"/>
      <c r="Z58" s="201"/>
      <c r="AA58" s="202"/>
      <c r="AB58" s="558"/>
      <c r="AC58" s="142"/>
      <c r="AD58" s="179"/>
      <c r="AE58" s="179"/>
      <c r="AF58" s="179"/>
    </row>
    <row r="59" spans="1:32" s="55" customFormat="1" ht="69.95" customHeight="1" x14ac:dyDescent="0.15">
      <c r="A59" s="432"/>
      <c r="B59" s="204">
        <f>$I$7</f>
        <v>0</v>
      </c>
      <c r="C59" s="422">
        <f>$A$7</f>
        <v>0</v>
      </c>
      <c r="D59" s="423"/>
      <c r="E59" s="424"/>
      <c r="F59" s="425"/>
      <c r="G59" s="426"/>
      <c r="H59" s="427"/>
      <c r="I59" s="434"/>
      <c r="J59" s="192"/>
      <c r="K59" s="304">
        <v>0.6</v>
      </c>
      <c r="L59" s="194" t="s">
        <v>129</v>
      </c>
      <c r="M59" s="195">
        <f t="shared" si="16"/>
        <v>0</v>
      </c>
      <c r="N59" s="233"/>
      <c r="O59" s="195"/>
      <c r="P59" s="197" t="s">
        <v>63</v>
      </c>
      <c r="Q59" s="561"/>
      <c r="R59" s="195"/>
      <c r="S59" s="197" t="s">
        <v>63</v>
      </c>
      <c r="T59" s="198">
        <f t="shared" si="17"/>
        <v>0</v>
      </c>
      <c r="U59" s="199"/>
      <c r="V59" s="200"/>
      <c r="W59" s="195"/>
      <c r="X59" s="195"/>
      <c r="Y59" s="438"/>
      <c r="Z59" s="201"/>
      <c r="AA59" s="202"/>
      <c r="AB59" s="558"/>
      <c r="AC59" s="142"/>
      <c r="AD59" s="179"/>
      <c r="AE59" s="179"/>
      <c r="AF59" s="179"/>
    </row>
    <row r="60" spans="1:32" s="206" customFormat="1" ht="69.95" customHeight="1" x14ac:dyDescent="0.15">
      <c r="A60" s="431" t="s">
        <v>143</v>
      </c>
      <c r="B60" s="191">
        <f t="shared" ref="B60" si="18">$I$5</f>
        <v>593</v>
      </c>
      <c r="C60" s="422" t="str">
        <f t="shared" ref="C60" si="19">$A$5</f>
        <v>CR</v>
      </c>
      <c r="D60" s="423"/>
      <c r="E60" s="424"/>
      <c r="F60" s="425"/>
      <c r="G60" s="426"/>
      <c r="H60" s="427"/>
      <c r="I60" s="433" t="s">
        <v>102</v>
      </c>
      <c r="J60" s="192"/>
      <c r="K60" s="304">
        <v>0.6</v>
      </c>
      <c r="L60" s="194" t="s">
        <v>129</v>
      </c>
      <c r="M60" s="195">
        <f t="shared" si="9"/>
        <v>355.8</v>
      </c>
      <c r="N60" s="196"/>
      <c r="O60" s="195"/>
      <c r="P60" s="197" t="s">
        <v>63</v>
      </c>
      <c r="Q60" s="561"/>
      <c r="R60" s="195"/>
      <c r="S60" s="197" t="s">
        <v>63</v>
      </c>
      <c r="T60" s="205">
        <f t="shared" si="3"/>
        <v>-355.8</v>
      </c>
      <c r="U60" s="199"/>
      <c r="V60" s="199"/>
      <c r="W60" s="208"/>
      <c r="X60" s="198"/>
      <c r="Y60" s="437" t="s">
        <v>130</v>
      </c>
      <c r="Z60" s="231"/>
      <c r="AA60" s="232"/>
      <c r="AB60" s="558"/>
    </row>
    <row r="61" spans="1:32" s="206" customFormat="1" ht="69.95" customHeight="1" x14ac:dyDescent="0.15">
      <c r="A61" s="559"/>
      <c r="B61" s="204">
        <f>$I$6</f>
        <v>746</v>
      </c>
      <c r="C61" s="422" t="str">
        <f>$A$6</f>
        <v>BK</v>
      </c>
      <c r="D61" s="423"/>
      <c r="E61" s="424"/>
      <c r="F61" s="425"/>
      <c r="G61" s="426"/>
      <c r="H61" s="427"/>
      <c r="I61" s="560"/>
      <c r="J61" s="192"/>
      <c r="K61" s="304">
        <v>0.6</v>
      </c>
      <c r="L61" s="194" t="s">
        <v>129</v>
      </c>
      <c r="M61" s="195">
        <f t="shared" si="9"/>
        <v>447.59999999999997</v>
      </c>
      <c r="N61" s="233"/>
      <c r="O61" s="195"/>
      <c r="P61" s="197" t="s">
        <v>63</v>
      </c>
      <c r="Q61" s="561"/>
      <c r="R61" s="195"/>
      <c r="S61" s="197" t="s">
        <v>63</v>
      </c>
      <c r="T61" s="198">
        <f t="shared" si="3"/>
        <v>-447.59999999999997</v>
      </c>
      <c r="U61" s="199"/>
      <c r="V61" s="200"/>
      <c r="W61" s="195"/>
      <c r="X61" s="195"/>
      <c r="Y61" s="562"/>
      <c r="Z61" s="201"/>
      <c r="AA61" s="202"/>
      <c r="AB61" s="558"/>
      <c r="AC61" s="234"/>
      <c r="AD61" s="230"/>
      <c r="AE61" s="230"/>
      <c r="AF61" s="230"/>
    </row>
    <row r="62" spans="1:32" s="206" customFormat="1" ht="69.95" customHeight="1" x14ac:dyDescent="0.15">
      <c r="A62" s="432"/>
      <c r="B62" s="204">
        <f>$I$7</f>
        <v>0</v>
      </c>
      <c r="C62" s="422">
        <f>$A$7</f>
        <v>0</v>
      </c>
      <c r="D62" s="423"/>
      <c r="E62" s="424"/>
      <c r="F62" s="425"/>
      <c r="G62" s="426"/>
      <c r="H62" s="427"/>
      <c r="I62" s="434"/>
      <c r="J62" s="192"/>
      <c r="K62" s="304">
        <v>0.6</v>
      </c>
      <c r="L62" s="194" t="s">
        <v>129</v>
      </c>
      <c r="M62" s="195">
        <f t="shared" si="9"/>
        <v>0</v>
      </c>
      <c r="N62" s="233"/>
      <c r="O62" s="195"/>
      <c r="P62" s="197" t="s">
        <v>63</v>
      </c>
      <c r="Q62" s="436"/>
      <c r="R62" s="195"/>
      <c r="S62" s="197" t="s">
        <v>63</v>
      </c>
      <c r="T62" s="198">
        <f t="shared" si="3"/>
        <v>0</v>
      </c>
      <c r="U62" s="199"/>
      <c r="V62" s="200"/>
      <c r="W62" s="195"/>
      <c r="X62" s="195"/>
      <c r="Y62" s="438"/>
      <c r="Z62" s="201"/>
      <c r="AA62" s="202"/>
      <c r="AB62" s="440"/>
    </row>
    <row r="63" spans="1:32" s="206" customFormat="1" ht="69.95" customHeight="1" x14ac:dyDescent="0.15">
      <c r="A63" s="431" t="s">
        <v>90</v>
      </c>
      <c r="B63" s="191">
        <f t="shared" si="10"/>
        <v>593</v>
      </c>
      <c r="C63" s="422" t="str">
        <f t="shared" si="11"/>
        <v>CR</v>
      </c>
      <c r="D63" s="423"/>
      <c r="E63" s="424"/>
      <c r="F63" s="425"/>
      <c r="G63" s="426"/>
      <c r="H63" s="427"/>
      <c r="I63" s="207" t="s">
        <v>79</v>
      </c>
      <c r="J63" s="192"/>
      <c r="K63" s="193">
        <v>1</v>
      </c>
      <c r="L63" s="194" t="s">
        <v>63</v>
      </c>
      <c r="M63" s="195">
        <f t="shared" si="9"/>
        <v>593</v>
      </c>
      <c r="N63" s="196"/>
      <c r="O63" s="195"/>
      <c r="P63" s="197" t="s">
        <v>63</v>
      </c>
      <c r="Q63" s="435"/>
      <c r="R63" s="195"/>
      <c r="S63" s="197" t="s">
        <v>63</v>
      </c>
      <c r="T63" s="205">
        <f t="shared" si="3"/>
        <v>-593</v>
      </c>
      <c r="U63" s="199"/>
      <c r="V63" s="199"/>
      <c r="W63" s="208"/>
      <c r="X63" s="198"/>
      <c r="Y63" s="437" t="s">
        <v>64</v>
      </c>
      <c r="Z63" s="231"/>
      <c r="AA63" s="232"/>
      <c r="AB63" s="439"/>
      <c r="AC63" s="234"/>
      <c r="AD63" s="230"/>
      <c r="AE63" s="230"/>
      <c r="AF63" s="230"/>
    </row>
    <row r="64" spans="1:32" s="206" customFormat="1" ht="69.95" customHeight="1" x14ac:dyDescent="0.15">
      <c r="A64" s="432"/>
      <c r="B64" s="204">
        <f>$I$6</f>
        <v>746</v>
      </c>
      <c r="C64" s="422" t="str">
        <f>$A$6</f>
        <v>BK</v>
      </c>
      <c r="D64" s="423"/>
      <c r="E64" s="424"/>
      <c r="F64" s="425"/>
      <c r="G64" s="426"/>
      <c r="H64" s="427"/>
      <c r="I64" s="207" t="s">
        <v>79</v>
      </c>
      <c r="J64" s="192"/>
      <c r="K64" s="193">
        <v>1</v>
      </c>
      <c r="L64" s="194" t="s">
        <v>63</v>
      </c>
      <c r="M64" s="195">
        <f t="shared" si="9"/>
        <v>746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-746</v>
      </c>
      <c r="U64" s="199"/>
      <c r="V64" s="200"/>
      <c r="W64" s="195"/>
      <c r="X64" s="195"/>
      <c r="Y64" s="438"/>
      <c r="Z64" s="201"/>
      <c r="AA64" s="202"/>
      <c r="AB64" s="440"/>
      <c r="AC64" s="234"/>
      <c r="AD64" s="230"/>
      <c r="AE64" s="230"/>
      <c r="AF64" s="230"/>
    </row>
    <row r="65" spans="1:32" s="176" customFormat="1" ht="69.95" customHeight="1" x14ac:dyDescent="0.15">
      <c r="A65" s="431" t="s">
        <v>91</v>
      </c>
      <c r="B65" s="182">
        <f t="shared" si="10"/>
        <v>593</v>
      </c>
      <c r="C65" s="368" t="str">
        <f t="shared" si="11"/>
        <v>CR</v>
      </c>
      <c r="D65" s="369"/>
      <c r="E65" s="370"/>
      <c r="F65" s="428"/>
      <c r="G65" s="429"/>
      <c r="H65" s="430"/>
      <c r="I65" s="75" t="s">
        <v>75</v>
      </c>
      <c r="J65" s="76"/>
      <c r="K65" s="139">
        <v>1</v>
      </c>
      <c r="L65" s="77" t="s">
        <v>63</v>
      </c>
      <c r="M65" s="78">
        <f t="shared" si="9"/>
        <v>593</v>
      </c>
      <c r="N65" s="79"/>
      <c r="O65" s="78"/>
      <c r="P65" s="80" t="s">
        <v>63</v>
      </c>
      <c r="Q65" s="443">
        <v>45959</v>
      </c>
      <c r="R65" s="78">
        <v>593</v>
      </c>
      <c r="S65" s="80" t="s">
        <v>63</v>
      </c>
      <c r="T65" s="84">
        <f t="shared" si="3"/>
        <v>0</v>
      </c>
      <c r="U65" s="82"/>
      <c r="V65" s="82"/>
      <c r="W65" s="83"/>
      <c r="X65" s="81"/>
      <c r="Y65" s="445" t="s">
        <v>64</v>
      </c>
      <c r="Z65" s="86"/>
      <c r="AA65" s="85"/>
      <c r="AB65" s="360" t="s">
        <v>190</v>
      </c>
    </row>
    <row r="66" spans="1:32" s="176" customFormat="1" ht="69.95" customHeight="1" x14ac:dyDescent="0.15">
      <c r="A66" s="559"/>
      <c r="B66" s="186">
        <f>$I$6</f>
        <v>746</v>
      </c>
      <c r="C66" s="368" t="str">
        <f>$A$6</f>
        <v>BK</v>
      </c>
      <c r="D66" s="369"/>
      <c r="E66" s="370"/>
      <c r="F66" s="428"/>
      <c r="G66" s="429"/>
      <c r="H66" s="430"/>
      <c r="I66" s="75" t="s">
        <v>75</v>
      </c>
      <c r="J66" s="76"/>
      <c r="K66" s="139">
        <v>1</v>
      </c>
      <c r="L66" s="77" t="s">
        <v>63</v>
      </c>
      <c r="M66" s="78">
        <f t="shared" si="9"/>
        <v>746</v>
      </c>
      <c r="N66" s="140"/>
      <c r="O66" s="78"/>
      <c r="P66" s="80" t="s">
        <v>63</v>
      </c>
      <c r="Q66" s="447"/>
      <c r="R66" s="78">
        <v>746</v>
      </c>
      <c r="S66" s="80" t="s">
        <v>63</v>
      </c>
      <c r="T66" s="81">
        <f t="shared" si="3"/>
        <v>0</v>
      </c>
      <c r="U66" s="82"/>
      <c r="V66" s="137"/>
      <c r="W66" s="78"/>
      <c r="X66" s="78"/>
      <c r="Y66" s="557"/>
      <c r="Z66" s="141"/>
      <c r="AA66" s="135"/>
      <c r="AB66" s="361"/>
      <c r="AC66" s="287"/>
      <c r="AD66" s="251"/>
      <c r="AE66" s="251"/>
      <c r="AF66" s="251"/>
    </row>
    <row r="67" spans="1:32" s="176" customFormat="1" ht="69.95" customHeight="1" x14ac:dyDescent="0.15">
      <c r="A67" s="432"/>
      <c r="B67" s="186">
        <f>$I$7</f>
        <v>0</v>
      </c>
      <c r="C67" s="368">
        <f>$A$7</f>
        <v>0</v>
      </c>
      <c r="D67" s="369"/>
      <c r="E67" s="370"/>
      <c r="F67" s="428"/>
      <c r="G67" s="429"/>
      <c r="H67" s="430"/>
      <c r="I67" s="75" t="s">
        <v>75</v>
      </c>
      <c r="J67" s="76"/>
      <c r="K67" s="139"/>
      <c r="L67" s="77" t="s">
        <v>63</v>
      </c>
      <c r="M67" s="78">
        <f t="shared" si="9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362"/>
      <c r="AC67" s="287"/>
      <c r="AD67" s="251"/>
      <c r="AE67" s="251"/>
      <c r="AF67" s="251"/>
    </row>
    <row r="68" spans="1:32" s="206" customFormat="1" ht="69.95" customHeight="1" x14ac:dyDescent="0.15">
      <c r="A68" s="431" t="s">
        <v>114</v>
      </c>
      <c r="B68" s="191">
        <f t="shared" ref="B68" si="20">$I$5</f>
        <v>593</v>
      </c>
      <c r="C68" s="422" t="str">
        <f t="shared" ref="C68" si="21">$A$5</f>
        <v>CR</v>
      </c>
      <c r="D68" s="423"/>
      <c r="E68" s="424"/>
      <c r="F68" s="425"/>
      <c r="G68" s="426"/>
      <c r="H68" s="427"/>
      <c r="I68" s="433" t="s">
        <v>122</v>
      </c>
      <c r="J68" s="192"/>
      <c r="K68" s="193">
        <v>1</v>
      </c>
      <c r="L68" s="194" t="s">
        <v>63</v>
      </c>
      <c r="M68" s="195">
        <f t="shared" si="9"/>
        <v>593</v>
      </c>
      <c r="N68" s="196"/>
      <c r="O68" s="195"/>
      <c r="P68" s="194" t="s">
        <v>63</v>
      </c>
      <c r="Q68" s="435"/>
      <c r="R68" s="195"/>
      <c r="S68" s="194" t="s">
        <v>63</v>
      </c>
      <c r="T68" s="205">
        <f t="shared" si="3"/>
        <v>-593</v>
      </c>
      <c r="U68" s="199"/>
      <c r="V68" s="199"/>
      <c r="W68" s="208"/>
      <c r="X68" s="198"/>
      <c r="Y68" s="437" t="s">
        <v>64</v>
      </c>
      <c r="Z68" s="231"/>
      <c r="AA68" s="232"/>
      <c r="AB68" s="439"/>
    </row>
    <row r="69" spans="1:32" s="206" customFormat="1" ht="69.95" customHeight="1" x14ac:dyDescent="0.15">
      <c r="A69" s="559"/>
      <c r="B69" s="204">
        <f>$I$6</f>
        <v>746</v>
      </c>
      <c r="C69" s="422" t="str">
        <f>$A$6</f>
        <v>BK</v>
      </c>
      <c r="D69" s="423"/>
      <c r="E69" s="424"/>
      <c r="F69" s="425"/>
      <c r="G69" s="426"/>
      <c r="H69" s="427"/>
      <c r="I69" s="560"/>
      <c r="J69" s="192"/>
      <c r="K69" s="193">
        <v>1</v>
      </c>
      <c r="L69" s="194" t="s">
        <v>63</v>
      </c>
      <c r="M69" s="195">
        <f t="shared" si="9"/>
        <v>746</v>
      </c>
      <c r="N69" s="233"/>
      <c r="O69" s="195"/>
      <c r="P69" s="194" t="s">
        <v>63</v>
      </c>
      <c r="Q69" s="561"/>
      <c r="R69" s="195"/>
      <c r="S69" s="194" t="s">
        <v>63</v>
      </c>
      <c r="T69" s="198">
        <f t="shared" si="3"/>
        <v>-746</v>
      </c>
      <c r="U69" s="199"/>
      <c r="V69" s="200"/>
      <c r="W69" s="195"/>
      <c r="X69" s="195"/>
      <c r="Y69" s="562"/>
      <c r="Z69" s="201"/>
      <c r="AA69" s="202"/>
      <c r="AB69" s="558"/>
      <c r="AC69" s="234"/>
      <c r="AD69" s="230"/>
      <c r="AE69" s="230"/>
      <c r="AF69" s="230"/>
    </row>
    <row r="70" spans="1:32" s="206" customFormat="1" ht="69.95" customHeight="1" x14ac:dyDescent="0.15">
      <c r="A70" s="559"/>
      <c r="B70" s="204">
        <f>$I$7</f>
        <v>0</v>
      </c>
      <c r="C70" s="422">
        <f>$A$7</f>
        <v>0</v>
      </c>
      <c r="D70" s="423"/>
      <c r="E70" s="424"/>
      <c r="F70" s="425"/>
      <c r="G70" s="426"/>
      <c r="H70" s="427"/>
      <c r="I70" s="560"/>
      <c r="J70" s="192"/>
      <c r="K70" s="193">
        <v>1</v>
      </c>
      <c r="L70" s="194" t="s">
        <v>63</v>
      </c>
      <c r="M70" s="195">
        <f t="shared" si="9"/>
        <v>0</v>
      </c>
      <c r="N70" s="233"/>
      <c r="O70" s="195"/>
      <c r="P70" s="194" t="s">
        <v>63</v>
      </c>
      <c r="Q70" s="561"/>
      <c r="R70" s="195"/>
      <c r="S70" s="194" t="s">
        <v>63</v>
      </c>
      <c r="T70" s="198">
        <f t="shared" si="3"/>
        <v>0</v>
      </c>
      <c r="U70" s="199"/>
      <c r="V70" s="200"/>
      <c r="W70" s="195"/>
      <c r="X70" s="195"/>
      <c r="Y70" s="562"/>
      <c r="Z70" s="201"/>
      <c r="AA70" s="202"/>
      <c r="AB70" s="440"/>
      <c r="AC70" s="234"/>
      <c r="AD70" s="230"/>
      <c r="AE70" s="230"/>
      <c r="AF70" s="230"/>
    </row>
    <row r="71" spans="1:32" s="206" customFormat="1" ht="54.95" customHeight="1" x14ac:dyDescent="0.15">
      <c r="A71" s="431" t="s">
        <v>131</v>
      </c>
      <c r="B71" s="191">
        <f t="shared" ref="B71" si="22">$I$5</f>
        <v>593</v>
      </c>
      <c r="C71" s="422" t="str">
        <f t="shared" ref="C71" si="23">$A$5</f>
        <v>CR</v>
      </c>
      <c r="D71" s="423"/>
      <c r="E71" s="424"/>
      <c r="F71" s="425"/>
      <c r="G71" s="426"/>
      <c r="H71" s="427"/>
      <c r="I71" s="207" t="s">
        <v>109</v>
      </c>
      <c r="J71" s="192"/>
      <c r="K71" s="193">
        <v>2</v>
      </c>
      <c r="L71" s="194" t="s">
        <v>63</v>
      </c>
      <c r="M71" s="195">
        <f t="shared" si="9"/>
        <v>1186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-1186</v>
      </c>
      <c r="U71" s="199"/>
      <c r="V71" s="199"/>
      <c r="W71" s="208"/>
      <c r="X71" s="198"/>
      <c r="Y71" s="437" t="s">
        <v>64</v>
      </c>
      <c r="Z71" s="231"/>
      <c r="AA71" s="232"/>
      <c r="AB71" s="439"/>
    </row>
    <row r="72" spans="1:32" s="206" customFormat="1" ht="54.95" customHeight="1" x14ac:dyDescent="0.15">
      <c r="A72" s="559"/>
      <c r="B72" s="204">
        <f>$I$6</f>
        <v>746</v>
      </c>
      <c r="C72" s="422" t="str">
        <f>$A$6</f>
        <v>BK</v>
      </c>
      <c r="D72" s="423"/>
      <c r="E72" s="424"/>
      <c r="F72" s="425"/>
      <c r="G72" s="426"/>
      <c r="H72" s="427"/>
      <c r="I72" s="207" t="s">
        <v>109</v>
      </c>
      <c r="J72" s="192"/>
      <c r="K72" s="193">
        <v>2</v>
      </c>
      <c r="L72" s="194" t="s">
        <v>63</v>
      </c>
      <c r="M72" s="195">
        <f t="shared" si="9"/>
        <v>1492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-1492</v>
      </c>
      <c r="U72" s="199"/>
      <c r="V72" s="200"/>
      <c r="W72" s="195"/>
      <c r="X72" s="195"/>
      <c r="Y72" s="562"/>
      <c r="Z72" s="201"/>
      <c r="AA72" s="202"/>
      <c r="AB72" s="558"/>
    </row>
    <row r="73" spans="1:32" s="206" customFormat="1" ht="54.95" customHeight="1" x14ac:dyDescent="0.15">
      <c r="A73" s="432"/>
      <c r="B73" s="204">
        <f>$I$7</f>
        <v>0</v>
      </c>
      <c r="C73" s="422">
        <f>$A$7</f>
        <v>0</v>
      </c>
      <c r="D73" s="423"/>
      <c r="E73" s="424"/>
      <c r="F73" s="425"/>
      <c r="G73" s="426"/>
      <c r="H73" s="427"/>
      <c r="I73" s="207" t="s">
        <v>109</v>
      </c>
      <c r="J73" s="192"/>
      <c r="K73" s="193">
        <v>2</v>
      </c>
      <c r="L73" s="194" t="s">
        <v>63</v>
      </c>
      <c r="M73" s="195">
        <f t="shared" si="9"/>
        <v>0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0</v>
      </c>
      <c r="U73" s="199"/>
      <c r="V73" s="200"/>
      <c r="W73" s="195"/>
      <c r="X73" s="195"/>
      <c r="Y73" s="438"/>
      <c r="Z73" s="201"/>
      <c r="AA73" s="202"/>
      <c r="AB73" s="440"/>
    </row>
    <row r="74" spans="1:32" s="206" customFormat="1" ht="54.95" customHeight="1" x14ac:dyDescent="0.15">
      <c r="A74" s="431" t="s">
        <v>137</v>
      </c>
      <c r="B74" s="191">
        <f t="shared" ref="B74" si="24">$I$5</f>
        <v>593</v>
      </c>
      <c r="C74" s="422" t="str">
        <f t="shared" ref="C74" si="25">$A$5</f>
        <v>CR</v>
      </c>
      <c r="D74" s="423"/>
      <c r="E74" s="424"/>
      <c r="F74" s="425"/>
      <c r="G74" s="426"/>
      <c r="H74" s="427"/>
      <c r="I74" s="433"/>
      <c r="J74" s="192"/>
      <c r="K74" s="193">
        <v>1</v>
      </c>
      <c r="L74" s="194" t="s">
        <v>65</v>
      </c>
      <c r="M74" s="195">
        <f t="shared" si="9"/>
        <v>593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-593</v>
      </c>
      <c r="U74" s="199"/>
      <c r="V74" s="199"/>
      <c r="W74" s="208"/>
      <c r="X74" s="198"/>
      <c r="Y74" s="437" t="s">
        <v>64</v>
      </c>
      <c r="Z74" s="288"/>
      <c r="AA74" s="288"/>
      <c r="AB74" s="569"/>
    </row>
    <row r="75" spans="1:32" s="206" customFormat="1" ht="54.95" customHeight="1" x14ac:dyDescent="0.15">
      <c r="A75" s="559"/>
      <c r="B75" s="204">
        <f>$I$6</f>
        <v>746</v>
      </c>
      <c r="C75" s="422" t="str">
        <f>$A$6</f>
        <v>BK</v>
      </c>
      <c r="D75" s="423"/>
      <c r="E75" s="424"/>
      <c r="F75" s="425"/>
      <c r="G75" s="426"/>
      <c r="H75" s="427"/>
      <c r="I75" s="560"/>
      <c r="J75" s="192"/>
      <c r="K75" s="193">
        <v>1</v>
      </c>
      <c r="L75" s="194" t="s">
        <v>65</v>
      </c>
      <c r="M75" s="195">
        <f t="shared" si="9"/>
        <v>746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-746</v>
      </c>
      <c r="U75" s="199"/>
      <c r="V75" s="200"/>
      <c r="W75" s="195"/>
      <c r="X75" s="195"/>
      <c r="Y75" s="562"/>
      <c r="Z75" s="288"/>
      <c r="AA75" s="288"/>
      <c r="AB75" s="570"/>
    </row>
    <row r="76" spans="1:32" s="206" customFormat="1" ht="54.95" customHeight="1" x14ac:dyDescent="0.15">
      <c r="A76" s="432"/>
      <c r="B76" s="204">
        <f>$I$7</f>
        <v>0</v>
      </c>
      <c r="C76" s="422">
        <f>$A$7</f>
        <v>0</v>
      </c>
      <c r="D76" s="423"/>
      <c r="E76" s="424"/>
      <c r="F76" s="425"/>
      <c r="G76" s="426"/>
      <c r="H76" s="427"/>
      <c r="I76" s="434"/>
      <c r="J76" s="192"/>
      <c r="K76" s="193">
        <v>1</v>
      </c>
      <c r="L76" s="194" t="s">
        <v>65</v>
      </c>
      <c r="M76" s="195">
        <f t="shared" si="9"/>
        <v>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0</v>
      </c>
      <c r="U76" s="199"/>
      <c r="V76" s="200"/>
      <c r="W76" s="195"/>
      <c r="X76" s="195"/>
      <c r="Y76" s="438"/>
      <c r="Z76" s="288"/>
      <c r="AA76" s="288"/>
      <c r="AB76" s="571"/>
    </row>
    <row r="77" spans="1:32" s="206" customFormat="1" ht="69.95" customHeight="1" x14ac:dyDescent="0.15">
      <c r="A77" s="431" t="s">
        <v>120</v>
      </c>
      <c r="B77" s="191">
        <f t="shared" ref="B77" si="26">$I$5</f>
        <v>593</v>
      </c>
      <c r="C77" s="422" t="str">
        <f t="shared" ref="C77" si="27">$A$5</f>
        <v>CR</v>
      </c>
      <c r="D77" s="423"/>
      <c r="E77" s="424"/>
      <c r="F77" s="425"/>
      <c r="G77" s="426"/>
      <c r="H77" s="427"/>
      <c r="I77" s="433" t="s">
        <v>76</v>
      </c>
      <c r="J77" s="192"/>
      <c r="K77" s="193">
        <v>1</v>
      </c>
      <c r="L77" s="194" t="s">
        <v>63</v>
      </c>
      <c r="M77" s="195">
        <f t="shared" si="9"/>
        <v>593</v>
      </c>
      <c r="N77" s="196"/>
      <c r="O77" s="195"/>
      <c r="P77" s="197" t="s">
        <v>63</v>
      </c>
      <c r="Q77" s="435"/>
      <c r="R77" s="195"/>
      <c r="S77" s="197" t="s">
        <v>63</v>
      </c>
      <c r="T77" s="205">
        <f t="shared" si="3"/>
        <v>-593</v>
      </c>
      <c r="U77" s="199"/>
      <c r="V77" s="199"/>
      <c r="W77" s="208"/>
      <c r="X77" s="198"/>
      <c r="Y77" s="437" t="s">
        <v>64</v>
      </c>
      <c r="Z77" s="288"/>
      <c r="AA77" s="288"/>
      <c r="AB77" s="569"/>
    </row>
    <row r="78" spans="1:32" s="206" customFormat="1" ht="69.95" customHeight="1" x14ac:dyDescent="0.15">
      <c r="A78" s="559"/>
      <c r="B78" s="204">
        <f>$I$6</f>
        <v>746</v>
      </c>
      <c r="C78" s="422" t="str">
        <f>$A$6</f>
        <v>BK</v>
      </c>
      <c r="D78" s="423"/>
      <c r="E78" s="424"/>
      <c r="F78" s="425"/>
      <c r="G78" s="426"/>
      <c r="H78" s="427"/>
      <c r="I78" s="560"/>
      <c r="J78" s="192"/>
      <c r="K78" s="193">
        <v>1</v>
      </c>
      <c r="L78" s="194" t="s">
        <v>63</v>
      </c>
      <c r="M78" s="195">
        <f t="shared" si="9"/>
        <v>746</v>
      </c>
      <c r="N78" s="233"/>
      <c r="O78" s="195"/>
      <c r="P78" s="197" t="s">
        <v>63</v>
      </c>
      <c r="Q78" s="561"/>
      <c r="R78" s="195"/>
      <c r="S78" s="197" t="s">
        <v>63</v>
      </c>
      <c r="T78" s="198">
        <f t="shared" si="3"/>
        <v>-746</v>
      </c>
      <c r="U78" s="199"/>
      <c r="V78" s="200"/>
      <c r="W78" s="195"/>
      <c r="X78" s="195"/>
      <c r="Y78" s="562"/>
      <c r="Z78" s="288"/>
      <c r="AA78" s="288"/>
      <c r="AB78" s="570"/>
      <c r="AC78" s="234"/>
      <c r="AD78" s="230"/>
      <c r="AE78" s="230"/>
      <c r="AF78" s="230"/>
    </row>
    <row r="79" spans="1:32" s="176" customFormat="1" ht="54.95" customHeight="1" x14ac:dyDescent="0.15">
      <c r="A79" s="432"/>
      <c r="B79" s="204">
        <f>$I$7</f>
        <v>0</v>
      </c>
      <c r="C79" s="422">
        <f>$A$7</f>
        <v>0</v>
      </c>
      <c r="D79" s="423"/>
      <c r="E79" s="424"/>
      <c r="F79" s="425"/>
      <c r="G79" s="426"/>
      <c r="H79" s="427"/>
      <c r="I79" s="434"/>
      <c r="J79" s="192"/>
      <c r="K79" s="193">
        <v>1</v>
      </c>
      <c r="L79" s="194" t="s">
        <v>63</v>
      </c>
      <c r="M79" s="195">
        <f t="shared" si="9"/>
        <v>0</v>
      </c>
      <c r="N79" s="233"/>
      <c r="O79" s="195"/>
      <c r="P79" s="197" t="s">
        <v>63</v>
      </c>
      <c r="Q79" s="436"/>
      <c r="R79" s="195"/>
      <c r="S79" s="197" t="s">
        <v>63</v>
      </c>
      <c r="T79" s="198">
        <f t="shared" si="3"/>
        <v>0</v>
      </c>
      <c r="U79" s="199"/>
      <c r="V79" s="200"/>
      <c r="W79" s="195"/>
      <c r="X79" s="195"/>
      <c r="Y79" s="438"/>
      <c r="Z79" s="288"/>
      <c r="AA79" s="288"/>
      <c r="AB79" s="571"/>
    </row>
    <row r="80" spans="1:32" s="176" customFormat="1" ht="54.95" customHeight="1" x14ac:dyDescent="0.15">
      <c r="A80" s="431" t="s">
        <v>119</v>
      </c>
      <c r="B80" s="191">
        <f t="shared" ref="B80" si="28">$I$5</f>
        <v>593</v>
      </c>
      <c r="C80" s="422" t="str">
        <f t="shared" ref="C80" si="29">$A$5</f>
        <v>CR</v>
      </c>
      <c r="D80" s="423"/>
      <c r="E80" s="424"/>
      <c r="F80" s="425"/>
      <c r="G80" s="426"/>
      <c r="H80" s="427"/>
      <c r="I80" s="433" t="s">
        <v>121</v>
      </c>
      <c r="J80" s="192"/>
      <c r="K80" s="193">
        <v>2</v>
      </c>
      <c r="L80" s="194" t="s">
        <v>63</v>
      </c>
      <c r="M80" s="195">
        <f>K80*B80</f>
        <v>1186</v>
      </c>
      <c r="N80" s="196"/>
      <c r="O80" s="195"/>
      <c r="P80" s="197" t="s">
        <v>63</v>
      </c>
      <c r="Q80" s="435"/>
      <c r="R80" s="195"/>
      <c r="S80" s="197" t="s">
        <v>63</v>
      </c>
      <c r="T80" s="205">
        <f>R80-M80</f>
        <v>-1186</v>
      </c>
      <c r="U80" s="199"/>
      <c r="V80" s="199"/>
      <c r="W80" s="208"/>
      <c r="X80" s="198"/>
      <c r="Y80" s="437" t="s">
        <v>64</v>
      </c>
      <c r="Z80" s="231"/>
      <c r="AA80" s="232"/>
      <c r="AB80" s="439"/>
    </row>
    <row r="81" spans="1:28" s="176" customFormat="1" ht="54.95" customHeight="1" thickBot="1" x14ac:dyDescent="0.2">
      <c r="A81" s="432"/>
      <c r="B81" s="204">
        <f>$I$6</f>
        <v>746</v>
      </c>
      <c r="C81" s="422" t="str">
        <f>$A$6</f>
        <v>BK</v>
      </c>
      <c r="D81" s="423"/>
      <c r="E81" s="424"/>
      <c r="F81" s="425"/>
      <c r="G81" s="426"/>
      <c r="H81" s="427"/>
      <c r="I81" s="434"/>
      <c r="J81" s="192"/>
      <c r="K81" s="193">
        <v>2</v>
      </c>
      <c r="L81" s="194" t="s">
        <v>63</v>
      </c>
      <c r="M81" s="195">
        <f>K81*B81</f>
        <v>1492</v>
      </c>
      <c r="N81" s="233"/>
      <c r="O81" s="195"/>
      <c r="P81" s="197" t="s">
        <v>63</v>
      </c>
      <c r="Q81" s="436"/>
      <c r="R81" s="195"/>
      <c r="S81" s="197" t="s">
        <v>63</v>
      </c>
      <c r="T81" s="198">
        <f>R81-M81</f>
        <v>-1492</v>
      </c>
      <c r="U81" s="199"/>
      <c r="V81" s="200"/>
      <c r="W81" s="195"/>
      <c r="X81" s="195"/>
      <c r="Y81" s="438"/>
      <c r="Z81" s="201"/>
      <c r="AA81" s="202"/>
      <c r="AB81" s="440"/>
    </row>
    <row r="82" spans="1:28" s="176" customFormat="1" ht="54.95" customHeight="1" thickTop="1" x14ac:dyDescent="0.15">
      <c r="A82" s="572" t="s">
        <v>66</v>
      </c>
      <c r="B82" s="164">
        <f>C11</f>
        <v>600</v>
      </c>
      <c r="C82" s="407" t="e">
        <f>#REF!</f>
        <v>#REF!</v>
      </c>
      <c r="D82" s="408"/>
      <c r="E82" s="409"/>
      <c r="F82" s="371"/>
      <c r="G82" s="372"/>
      <c r="H82" s="373"/>
      <c r="I82" s="276"/>
      <c r="J82" s="255"/>
      <c r="K82" s="263">
        <v>1</v>
      </c>
      <c r="L82" s="168" t="s">
        <v>63</v>
      </c>
      <c r="M82" s="169">
        <f t="shared" si="4"/>
        <v>600</v>
      </c>
      <c r="N82" s="171"/>
      <c r="O82" s="277"/>
      <c r="P82" s="169" t="s">
        <v>63</v>
      </c>
      <c r="Q82" s="376">
        <v>45959</v>
      </c>
      <c r="R82" s="277">
        <v>600</v>
      </c>
      <c r="S82" s="169" t="s">
        <v>63</v>
      </c>
      <c r="T82" s="278">
        <f t="shared" si="3"/>
        <v>0</v>
      </c>
      <c r="U82" s="279"/>
      <c r="V82" s="280"/>
      <c r="W82" s="278"/>
      <c r="X82" s="278"/>
      <c r="Y82" s="374" t="s">
        <v>72</v>
      </c>
      <c r="Z82" s="374"/>
      <c r="AA82" s="374"/>
      <c r="AB82" s="566" t="s">
        <v>188</v>
      </c>
    </row>
    <row r="83" spans="1:28" s="176" customFormat="1" ht="54.95" customHeight="1" x14ac:dyDescent="0.15">
      <c r="A83" s="573"/>
      <c r="B83" s="164">
        <f>D11</f>
        <v>560</v>
      </c>
      <c r="C83" s="410"/>
      <c r="D83" s="411"/>
      <c r="E83" s="412"/>
      <c r="F83" s="371"/>
      <c r="G83" s="372"/>
      <c r="H83" s="373"/>
      <c r="I83" s="276"/>
      <c r="J83" s="255"/>
      <c r="K83" s="167">
        <v>1</v>
      </c>
      <c r="L83" s="168" t="s">
        <v>63</v>
      </c>
      <c r="M83" s="169">
        <f t="shared" si="4"/>
        <v>560</v>
      </c>
      <c r="N83" s="171"/>
      <c r="O83" s="277"/>
      <c r="P83" s="169" t="s">
        <v>63</v>
      </c>
      <c r="Q83" s="377"/>
      <c r="R83" s="277">
        <v>560</v>
      </c>
      <c r="S83" s="169" t="s">
        <v>63</v>
      </c>
      <c r="T83" s="278">
        <f t="shared" si="3"/>
        <v>0</v>
      </c>
      <c r="U83" s="279"/>
      <c r="V83" s="280"/>
      <c r="W83" s="278"/>
      <c r="X83" s="278"/>
      <c r="Y83" s="375"/>
      <c r="Z83" s="375"/>
      <c r="AA83" s="375"/>
      <c r="AB83" s="361"/>
    </row>
    <row r="84" spans="1:28" s="176" customFormat="1" ht="54.95" customHeight="1" x14ac:dyDescent="0.15">
      <c r="A84" s="573"/>
      <c r="B84" s="164">
        <f>E11</f>
        <v>179</v>
      </c>
      <c r="C84" s="410"/>
      <c r="D84" s="411"/>
      <c r="E84" s="412"/>
      <c r="F84" s="371"/>
      <c r="G84" s="372"/>
      <c r="H84" s="373"/>
      <c r="I84" s="276"/>
      <c r="J84" s="255"/>
      <c r="K84" s="167">
        <v>1</v>
      </c>
      <c r="L84" s="168" t="s">
        <v>63</v>
      </c>
      <c r="M84" s="169">
        <f t="shared" si="4"/>
        <v>179</v>
      </c>
      <c r="N84" s="171"/>
      <c r="O84" s="277"/>
      <c r="P84" s="169" t="s">
        <v>63</v>
      </c>
      <c r="Q84" s="377"/>
      <c r="R84" s="277">
        <v>179</v>
      </c>
      <c r="S84" s="169" t="s">
        <v>63</v>
      </c>
      <c r="T84" s="278">
        <f t="shared" si="3"/>
        <v>0</v>
      </c>
      <c r="U84" s="279"/>
      <c r="V84" s="280"/>
      <c r="W84" s="278"/>
      <c r="X84" s="278"/>
      <c r="Y84" s="375"/>
      <c r="Z84" s="375"/>
      <c r="AA84" s="375"/>
      <c r="AB84" s="361"/>
    </row>
    <row r="85" spans="1:28" s="176" customFormat="1" ht="54.95" customHeight="1" x14ac:dyDescent="0.15">
      <c r="A85" s="574"/>
      <c r="B85" s="164">
        <f>F11</f>
        <v>0</v>
      </c>
      <c r="C85" s="413"/>
      <c r="D85" s="414"/>
      <c r="E85" s="415"/>
      <c r="F85" s="371"/>
      <c r="G85" s="372"/>
      <c r="H85" s="373"/>
      <c r="I85" s="276"/>
      <c r="J85" s="255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8"/>
      <c r="R85" s="277"/>
      <c r="S85" s="169" t="s">
        <v>63</v>
      </c>
      <c r="T85" s="278">
        <f t="shared" si="3"/>
        <v>0</v>
      </c>
      <c r="U85" s="279"/>
      <c r="V85" s="280"/>
      <c r="W85" s="278"/>
      <c r="X85" s="278"/>
      <c r="Y85" s="379"/>
      <c r="Z85" s="379"/>
      <c r="AA85" s="379"/>
      <c r="AB85" s="362"/>
    </row>
    <row r="86" spans="1:28" s="176" customFormat="1" ht="54.95" customHeight="1" x14ac:dyDescent="0.15">
      <c r="A86" s="572" t="s">
        <v>68</v>
      </c>
      <c r="B86" s="164">
        <f>C5+C8</f>
        <v>280</v>
      </c>
      <c r="C86" s="456" t="str">
        <f>A5</f>
        <v>CR</v>
      </c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280</v>
      </c>
      <c r="N86" s="171"/>
      <c r="O86" s="277"/>
      <c r="P86" s="169" t="s">
        <v>63</v>
      </c>
      <c r="Q86" s="376">
        <v>45959</v>
      </c>
      <c r="R86" s="277">
        <v>280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4" t="s">
        <v>72</v>
      </c>
      <c r="Z86" s="374"/>
      <c r="AA86" s="374"/>
      <c r="AB86" s="404" t="s">
        <v>188</v>
      </c>
    </row>
    <row r="87" spans="1:28" s="176" customFormat="1" ht="54.95" customHeight="1" x14ac:dyDescent="0.15">
      <c r="A87" s="573"/>
      <c r="B87" s="164">
        <f>D5+D8</f>
        <v>260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260</v>
      </c>
      <c r="N87" s="171"/>
      <c r="O87" s="277"/>
      <c r="P87" s="169" t="s">
        <v>63</v>
      </c>
      <c r="Q87" s="377"/>
      <c r="R87" s="277">
        <v>260</v>
      </c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405"/>
    </row>
    <row r="88" spans="1:28" s="176" customFormat="1" ht="54.95" customHeight="1" x14ac:dyDescent="0.15">
      <c r="A88" s="573"/>
      <c r="B88" s="164">
        <f>E5+E8</f>
        <v>53</v>
      </c>
      <c r="C88" s="456"/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53</v>
      </c>
      <c r="N88" s="171"/>
      <c r="O88" s="277"/>
      <c r="P88" s="169" t="s">
        <v>63</v>
      </c>
      <c r="Q88" s="377"/>
      <c r="R88" s="277">
        <v>53</v>
      </c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405"/>
    </row>
    <row r="89" spans="1:28" s="176" customFormat="1" ht="54.95" customHeight="1" x14ac:dyDescent="0.15">
      <c r="A89" s="573"/>
      <c r="B89" s="164">
        <f>C6+C9</f>
        <v>320</v>
      </c>
      <c r="C89" s="456" t="str">
        <f>A6</f>
        <v>BK</v>
      </c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4"/>
        <v>320</v>
      </c>
      <c r="N89" s="171"/>
      <c r="O89" s="277"/>
      <c r="P89" s="169" t="s">
        <v>63</v>
      </c>
      <c r="Q89" s="377"/>
      <c r="R89" s="168">
        <v>320</v>
      </c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405"/>
    </row>
    <row r="90" spans="1:28" s="176" customFormat="1" ht="54.95" customHeight="1" x14ac:dyDescent="0.15">
      <c r="A90" s="573"/>
      <c r="B90" s="164">
        <f>D6+D9</f>
        <v>300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4"/>
        <v>300</v>
      </c>
      <c r="N90" s="171"/>
      <c r="O90" s="277"/>
      <c r="P90" s="169" t="s">
        <v>63</v>
      </c>
      <c r="Q90" s="377"/>
      <c r="R90" s="168">
        <v>300</v>
      </c>
      <c r="S90" s="169" t="s">
        <v>63</v>
      </c>
      <c r="T90" s="278">
        <f t="shared" si="3"/>
        <v>0</v>
      </c>
      <c r="U90" s="281"/>
      <c r="V90" s="282"/>
      <c r="W90" s="278"/>
      <c r="X90" s="278"/>
      <c r="Y90" s="375"/>
      <c r="Z90" s="375"/>
      <c r="AA90" s="375"/>
      <c r="AB90" s="405"/>
    </row>
    <row r="91" spans="1:28" s="176" customFormat="1" ht="54.95" customHeight="1" x14ac:dyDescent="0.15">
      <c r="A91" s="573"/>
      <c r="B91" s="164">
        <f>E6+E9</f>
        <v>126</v>
      </c>
      <c r="C91" s="456"/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4"/>
        <v>126</v>
      </c>
      <c r="N91" s="171"/>
      <c r="O91" s="277"/>
      <c r="P91" s="169" t="s">
        <v>63</v>
      </c>
      <c r="Q91" s="377"/>
      <c r="R91" s="277">
        <v>126</v>
      </c>
      <c r="S91" s="169" t="s">
        <v>63</v>
      </c>
      <c r="T91" s="278">
        <f>R91-M91</f>
        <v>0</v>
      </c>
      <c r="U91" s="281"/>
      <c r="V91" s="282"/>
      <c r="W91" s="278"/>
      <c r="X91" s="278"/>
      <c r="Y91" s="375"/>
      <c r="Z91" s="375"/>
      <c r="AA91" s="375"/>
      <c r="AB91" s="405"/>
    </row>
    <row r="92" spans="1:28" s="176" customFormat="1" ht="54.95" customHeight="1" x14ac:dyDescent="0.15">
      <c r="A92" s="573"/>
      <c r="B92" s="164">
        <f>C7+C10</f>
        <v>0</v>
      </c>
      <c r="C92" s="456">
        <f>A7</f>
        <v>0</v>
      </c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ref="M92:M110" si="30">K92*B92</f>
        <v>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>R92-M92</f>
        <v>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573"/>
      <c r="B93" s="164">
        <f>D7+D10</f>
        <v>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30"/>
        <v>0</v>
      </c>
      <c r="N93" s="171"/>
      <c r="O93" s="277"/>
      <c r="P93" s="169" t="s">
        <v>63</v>
      </c>
      <c r="Q93" s="377"/>
      <c r="R93" s="277"/>
      <c r="S93" s="169" t="s">
        <v>63</v>
      </c>
      <c r="T93" s="278">
        <f>R93-M93</f>
        <v>0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573"/>
      <c r="B94" s="164">
        <f>E7+E10</f>
        <v>0</v>
      </c>
      <c r="C94" s="456"/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30"/>
        <v>0</v>
      </c>
      <c r="N94" s="171"/>
      <c r="O94" s="277"/>
      <c r="P94" s="169" t="s">
        <v>63</v>
      </c>
      <c r="Q94" s="378"/>
      <c r="R94" s="168"/>
      <c r="S94" s="169" t="s">
        <v>63</v>
      </c>
      <c r="T94" s="278">
        <f>R94-M94</f>
        <v>0</v>
      </c>
      <c r="U94" s="281"/>
      <c r="V94" s="282"/>
      <c r="W94" s="278"/>
      <c r="X94" s="278"/>
      <c r="Y94" s="379"/>
      <c r="Z94" s="379"/>
      <c r="AA94" s="379"/>
      <c r="AB94" s="406"/>
    </row>
    <row r="95" spans="1:28" s="176" customFormat="1" ht="54.95" customHeight="1" x14ac:dyDescent="0.15">
      <c r="A95" s="572" t="s">
        <v>69</v>
      </c>
      <c r="B95" s="164">
        <f>C5</f>
        <v>280</v>
      </c>
      <c r="C95" s="456" t="str">
        <f>A5</f>
        <v>CR</v>
      </c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30"/>
        <v>280</v>
      </c>
      <c r="N95" s="171"/>
      <c r="O95" s="277"/>
      <c r="P95" s="169" t="s">
        <v>63</v>
      </c>
      <c r="Q95" s="376">
        <v>45996</v>
      </c>
      <c r="R95" s="277">
        <v>280</v>
      </c>
      <c r="S95" s="169" t="s">
        <v>63</v>
      </c>
      <c r="T95" s="278">
        <f t="shared" si="3"/>
        <v>0</v>
      </c>
      <c r="U95" s="281"/>
      <c r="V95" s="282"/>
      <c r="W95" s="278"/>
      <c r="X95" s="278"/>
      <c r="Y95" s="374" t="s">
        <v>67</v>
      </c>
      <c r="Z95" s="374"/>
      <c r="AA95" s="374"/>
      <c r="AB95" s="360" t="s">
        <v>212</v>
      </c>
    </row>
    <row r="96" spans="1:28" s="176" customFormat="1" ht="54.95" customHeight="1" x14ac:dyDescent="0.15">
      <c r="A96" s="573"/>
      <c r="B96" s="164">
        <f>D5</f>
        <v>260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30"/>
        <v>260</v>
      </c>
      <c r="N96" s="171"/>
      <c r="O96" s="277"/>
      <c r="P96" s="169" t="s">
        <v>63</v>
      </c>
      <c r="Q96" s="377"/>
      <c r="R96" s="277">
        <v>260</v>
      </c>
      <c r="S96" s="169" t="s">
        <v>63</v>
      </c>
      <c r="T96" s="278">
        <f t="shared" si="3"/>
        <v>0</v>
      </c>
      <c r="U96" s="281"/>
      <c r="V96" s="282"/>
      <c r="W96" s="278"/>
      <c r="X96" s="278"/>
      <c r="Y96" s="375"/>
      <c r="Z96" s="375"/>
      <c r="AA96" s="375"/>
      <c r="AB96" s="361"/>
    </row>
    <row r="97" spans="1:28" s="176" customFormat="1" ht="54.95" customHeight="1" x14ac:dyDescent="0.15">
      <c r="A97" s="573"/>
      <c r="B97" s="164">
        <f>E5</f>
        <v>53</v>
      </c>
      <c r="C97" s="456"/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30"/>
        <v>53</v>
      </c>
      <c r="N97" s="171"/>
      <c r="O97" s="277"/>
      <c r="P97" s="169" t="s">
        <v>63</v>
      </c>
      <c r="Q97" s="377"/>
      <c r="R97" s="277">
        <v>53</v>
      </c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361"/>
    </row>
    <row r="98" spans="1:28" s="176" customFormat="1" ht="54.95" customHeight="1" x14ac:dyDescent="0.15">
      <c r="A98" s="573"/>
      <c r="B98" s="164">
        <f>C6</f>
        <v>320</v>
      </c>
      <c r="C98" s="456" t="str">
        <f>A6</f>
        <v>BK</v>
      </c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30"/>
        <v>320</v>
      </c>
      <c r="N98" s="171"/>
      <c r="O98" s="277"/>
      <c r="P98" s="169" t="s">
        <v>63</v>
      </c>
      <c r="Q98" s="377"/>
      <c r="R98" s="168">
        <v>320</v>
      </c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361"/>
    </row>
    <row r="99" spans="1:28" s="176" customFormat="1" ht="54.95" customHeight="1" x14ac:dyDescent="0.15">
      <c r="A99" s="573"/>
      <c r="B99" s="164">
        <f>D6</f>
        <v>300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30"/>
        <v>300</v>
      </c>
      <c r="N99" s="171"/>
      <c r="O99" s="277"/>
      <c r="P99" s="169" t="s">
        <v>63</v>
      </c>
      <c r="Q99" s="377"/>
      <c r="R99" s="168">
        <v>300</v>
      </c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9"/>
      <c r="AA99" s="379"/>
      <c r="AB99" s="361"/>
    </row>
    <row r="100" spans="1:28" s="55" customFormat="1" ht="54.95" customHeight="1" x14ac:dyDescent="0.15">
      <c r="A100" s="573"/>
      <c r="B100" s="164">
        <f>E6</f>
        <v>126</v>
      </c>
      <c r="C100" s="456"/>
      <c r="D100" s="456"/>
      <c r="E100" s="456"/>
      <c r="F100" s="371"/>
      <c r="G100" s="372"/>
      <c r="H100" s="373"/>
      <c r="I100" s="276"/>
      <c r="J100" s="276"/>
      <c r="K100" s="167">
        <v>1</v>
      </c>
      <c r="L100" s="168" t="s">
        <v>63</v>
      </c>
      <c r="M100" s="169">
        <f t="shared" si="30"/>
        <v>126</v>
      </c>
      <c r="N100" s="171"/>
      <c r="O100" s="277"/>
      <c r="P100" s="169" t="s">
        <v>63</v>
      </c>
      <c r="Q100" s="377"/>
      <c r="R100" s="277">
        <v>126</v>
      </c>
      <c r="S100" s="169" t="s">
        <v>63</v>
      </c>
      <c r="T100" s="278">
        <f t="shared" si="3"/>
        <v>0</v>
      </c>
      <c r="U100" s="281"/>
      <c r="V100" s="282"/>
      <c r="W100" s="278"/>
      <c r="X100" s="278"/>
      <c r="Y100" s="375"/>
      <c r="Z100" s="374"/>
      <c r="AA100" s="374"/>
      <c r="AB100" s="361"/>
    </row>
    <row r="101" spans="1:28" s="55" customFormat="1" ht="54.95" customHeight="1" x14ac:dyDescent="0.15">
      <c r="A101" s="573"/>
      <c r="B101" s="164">
        <f>C7</f>
        <v>0</v>
      </c>
      <c r="C101" s="456">
        <f>A7</f>
        <v>0</v>
      </c>
      <c r="D101" s="456"/>
      <c r="E101" s="456"/>
      <c r="F101" s="371"/>
      <c r="G101" s="372"/>
      <c r="H101" s="373"/>
      <c r="I101" s="276"/>
      <c r="J101" s="276"/>
      <c r="K101" s="167">
        <v>1</v>
      </c>
      <c r="L101" s="168" t="s">
        <v>63</v>
      </c>
      <c r="M101" s="169">
        <f t="shared" si="30"/>
        <v>0</v>
      </c>
      <c r="N101" s="171"/>
      <c r="O101" s="277"/>
      <c r="P101" s="169" t="s">
        <v>63</v>
      </c>
      <c r="Q101" s="377"/>
      <c r="R101" s="277"/>
      <c r="S101" s="169" t="s">
        <v>63</v>
      </c>
      <c r="T101" s="278">
        <f t="shared" si="3"/>
        <v>0</v>
      </c>
      <c r="U101" s="281"/>
      <c r="V101" s="282"/>
      <c r="W101" s="278"/>
      <c r="X101" s="278"/>
      <c r="Y101" s="375"/>
      <c r="Z101" s="375"/>
      <c r="AA101" s="375"/>
      <c r="AB101" s="361"/>
    </row>
    <row r="102" spans="1:28" s="55" customFormat="1" ht="54.95" customHeight="1" x14ac:dyDescent="0.15">
      <c r="A102" s="573"/>
      <c r="B102" s="164">
        <f>D7</f>
        <v>0</v>
      </c>
      <c r="C102" s="456"/>
      <c r="D102" s="456"/>
      <c r="E102" s="456"/>
      <c r="F102" s="371"/>
      <c r="G102" s="372"/>
      <c r="H102" s="373"/>
      <c r="I102" s="276"/>
      <c r="J102" s="276"/>
      <c r="K102" s="167">
        <v>1</v>
      </c>
      <c r="L102" s="168" t="s">
        <v>63</v>
      </c>
      <c r="M102" s="169">
        <f t="shared" si="30"/>
        <v>0</v>
      </c>
      <c r="N102" s="171"/>
      <c r="O102" s="277"/>
      <c r="P102" s="169" t="s">
        <v>63</v>
      </c>
      <c r="Q102" s="377"/>
      <c r="R102" s="277"/>
      <c r="S102" s="169" t="s">
        <v>63</v>
      </c>
      <c r="T102" s="278">
        <f t="shared" si="3"/>
        <v>0</v>
      </c>
      <c r="U102" s="281"/>
      <c r="V102" s="282"/>
      <c r="W102" s="278"/>
      <c r="X102" s="278"/>
      <c r="Y102" s="375"/>
      <c r="Z102" s="375"/>
      <c r="AA102" s="375"/>
      <c r="AB102" s="361"/>
    </row>
    <row r="103" spans="1:28" s="176" customFormat="1" ht="54.95" customHeight="1" x14ac:dyDescent="0.15">
      <c r="A103" s="573"/>
      <c r="B103" s="164">
        <f>E7</f>
        <v>0</v>
      </c>
      <c r="C103" s="456"/>
      <c r="D103" s="456"/>
      <c r="E103" s="456"/>
      <c r="F103" s="371"/>
      <c r="G103" s="372"/>
      <c r="H103" s="373"/>
      <c r="I103" s="276"/>
      <c r="J103" s="276"/>
      <c r="K103" s="167">
        <v>1</v>
      </c>
      <c r="L103" s="168" t="s">
        <v>63</v>
      </c>
      <c r="M103" s="169">
        <f t="shared" si="30"/>
        <v>0</v>
      </c>
      <c r="N103" s="171"/>
      <c r="O103" s="277"/>
      <c r="P103" s="169" t="s">
        <v>63</v>
      </c>
      <c r="Q103" s="378"/>
      <c r="R103" s="168"/>
      <c r="S103" s="169" t="s">
        <v>63</v>
      </c>
      <c r="T103" s="278">
        <f t="shared" si="3"/>
        <v>0</v>
      </c>
      <c r="U103" s="281"/>
      <c r="V103" s="282"/>
      <c r="W103" s="278"/>
      <c r="X103" s="278"/>
      <c r="Y103" s="379"/>
      <c r="Z103" s="375"/>
      <c r="AA103" s="375"/>
      <c r="AB103" s="362"/>
    </row>
    <row r="104" spans="1:28" s="55" customFormat="1" ht="54.95" customHeight="1" x14ac:dyDescent="0.15">
      <c r="A104" s="572" t="s">
        <v>70</v>
      </c>
      <c r="B104" s="87">
        <f>C11</f>
        <v>600</v>
      </c>
      <c r="C104" s="389" t="s">
        <v>71</v>
      </c>
      <c r="D104" s="390"/>
      <c r="E104" s="391"/>
      <c r="F104" s="368"/>
      <c r="G104" s="369"/>
      <c r="H104" s="370"/>
      <c r="I104" s="152"/>
      <c r="J104" s="90"/>
      <c r="K104" s="156">
        <v>1</v>
      </c>
      <c r="L104" s="77" t="s">
        <v>63</v>
      </c>
      <c r="M104" s="88">
        <f t="shared" si="30"/>
        <v>600</v>
      </c>
      <c r="N104" s="89"/>
      <c r="O104" s="153"/>
      <c r="P104" s="88" t="s">
        <v>63</v>
      </c>
      <c r="Q104" s="398">
        <v>45959</v>
      </c>
      <c r="R104" s="93">
        <v>600</v>
      </c>
      <c r="S104" s="88" t="s">
        <v>63</v>
      </c>
      <c r="T104" s="154">
        <f t="shared" si="3"/>
        <v>0</v>
      </c>
      <c r="U104" s="91"/>
      <c r="V104" s="159"/>
      <c r="W104" s="159"/>
      <c r="X104" s="159"/>
      <c r="Y104" s="401" t="s">
        <v>94</v>
      </c>
      <c r="Z104" s="416"/>
      <c r="AA104" s="416"/>
      <c r="AB104" s="419" t="s">
        <v>188</v>
      </c>
    </row>
    <row r="105" spans="1:28" s="55" customFormat="1" ht="54.95" customHeight="1" x14ac:dyDescent="0.15">
      <c r="A105" s="573"/>
      <c r="B105" s="87">
        <f>D11</f>
        <v>560</v>
      </c>
      <c r="C105" s="392"/>
      <c r="D105" s="393"/>
      <c r="E105" s="394"/>
      <c r="F105" s="368"/>
      <c r="G105" s="369"/>
      <c r="H105" s="370"/>
      <c r="I105" s="152"/>
      <c r="J105" s="90"/>
      <c r="K105" s="156">
        <v>1</v>
      </c>
      <c r="L105" s="77" t="s">
        <v>63</v>
      </c>
      <c r="M105" s="88">
        <f t="shared" si="30"/>
        <v>560</v>
      </c>
      <c r="N105" s="89"/>
      <c r="O105" s="153"/>
      <c r="P105" s="88" t="s">
        <v>63</v>
      </c>
      <c r="Q105" s="399"/>
      <c r="R105" s="93">
        <v>560</v>
      </c>
      <c r="S105" s="88" t="s">
        <v>63</v>
      </c>
      <c r="T105" s="154">
        <f t="shared" si="3"/>
        <v>0</v>
      </c>
      <c r="U105" s="91"/>
      <c r="V105" s="159"/>
      <c r="W105" s="159"/>
      <c r="X105" s="159"/>
      <c r="Y105" s="402"/>
      <c r="Z105" s="417"/>
      <c r="AA105" s="417"/>
      <c r="AB105" s="420"/>
    </row>
    <row r="106" spans="1:28" ht="54.95" customHeight="1" x14ac:dyDescent="0.15">
      <c r="A106" s="573"/>
      <c r="B106" s="87">
        <f>E11</f>
        <v>179</v>
      </c>
      <c r="C106" s="392"/>
      <c r="D106" s="393"/>
      <c r="E106" s="394"/>
      <c r="F106" s="368"/>
      <c r="G106" s="369"/>
      <c r="H106" s="370"/>
      <c r="I106" s="152"/>
      <c r="J106" s="90"/>
      <c r="K106" s="156">
        <v>1</v>
      </c>
      <c r="L106" s="77" t="s">
        <v>63</v>
      </c>
      <c r="M106" s="88">
        <f t="shared" si="30"/>
        <v>179</v>
      </c>
      <c r="N106" s="89"/>
      <c r="O106" s="153"/>
      <c r="P106" s="88" t="s">
        <v>63</v>
      </c>
      <c r="Q106" s="399"/>
      <c r="R106" s="93">
        <v>179</v>
      </c>
      <c r="S106" s="88" t="s">
        <v>63</v>
      </c>
      <c r="T106" s="154">
        <f t="shared" si="3"/>
        <v>0</v>
      </c>
      <c r="U106" s="91"/>
      <c r="V106" s="159"/>
      <c r="W106" s="159"/>
      <c r="X106" s="159"/>
      <c r="Y106" s="402"/>
      <c r="Z106" s="417"/>
      <c r="AA106" s="417"/>
      <c r="AB106" s="420"/>
    </row>
    <row r="107" spans="1:28" ht="54.95" customHeight="1" x14ac:dyDescent="0.15">
      <c r="A107" s="574"/>
      <c r="B107" s="87">
        <f>F11</f>
        <v>0</v>
      </c>
      <c r="C107" s="395"/>
      <c r="D107" s="396"/>
      <c r="E107" s="397"/>
      <c r="F107" s="368"/>
      <c r="G107" s="369"/>
      <c r="H107" s="370"/>
      <c r="I107" s="152"/>
      <c r="J107" s="90"/>
      <c r="K107" s="156">
        <v>1</v>
      </c>
      <c r="L107" s="77" t="s">
        <v>63</v>
      </c>
      <c r="M107" s="88">
        <f t="shared" si="30"/>
        <v>0</v>
      </c>
      <c r="N107" s="89"/>
      <c r="O107" s="153"/>
      <c r="P107" s="88" t="s">
        <v>63</v>
      </c>
      <c r="Q107" s="400"/>
      <c r="R107" s="162"/>
      <c r="S107" s="88" t="s">
        <v>63</v>
      </c>
      <c r="T107" s="154">
        <f t="shared" si="3"/>
        <v>0</v>
      </c>
      <c r="U107" s="91"/>
      <c r="V107" s="159"/>
      <c r="W107" s="159"/>
      <c r="X107" s="159"/>
      <c r="Y107" s="403"/>
      <c r="Z107" s="418"/>
      <c r="AA107" s="418"/>
      <c r="AB107" s="421"/>
    </row>
    <row r="108" spans="1:28" ht="37.5" x14ac:dyDescent="0.15">
      <c r="A108" s="163" t="s">
        <v>73</v>
      </c>
      <c r="B108" s="164">
        <f>I11</f>
        <v>1339</v>
      </c>
      <c r="C108" s="371" t="s">
        <v>71</v>
      </c>
      <c r="D108" s="372"/>
      <c r="E108" s="373"/>
      <c r="F108" s="371"/>
      <c r="G108" s="372"/>
      <c r="H108" s="373"/>
      <c r="I108" s="165"/>
      <c r="J108" s="166"/>
      <c r="K108" s="167">
        <v>1</v>
      </c>
      <c r="L108" s="168" t="s">
        <v>63</v>
      </c>
      <c r="M108" s="88">
        <f t="shared" si="30"/>
        <v>1339</v>
      </c>
      <c r="N108" s="170"/>
      <c r="O108" s="170"/>
      <c r="P108" s="169" t="s">
        <v>63</v>
      </c>
      <c r="Q108" s="363">
        <v>45959</v>
      </c>
      <c r="R108" s="165">
        <v>1339</v>
      </c>
      <c r="S108" s="169" t="s">
        <v>63</v>
      </c>
      <c r="T108" s="154">
        <f t="shared" si="3"/>
        <v>0</v>
      </c>
      <c r="U108" s="170"/>
      <c r="V108" s="172"/>
      <c r="W108" s="172"/>
      <c r="X108" s="172"/>
      <c r="Y108" s="173" t="s">
        <v>72</v>
      </c>
      <c r="Z108" s="97"/>
      <c r="AA108" s="98"/>
      <c r="AB108" s="575" t="s">
        <v>188</v>
      </c>
    </row>
    <row r="109" spans="1:28" ht="38.25" customHeight="1" x14ac:dyDescent="0.15">
      <c r="A109" s="163" t="s">
        <v>81</v>
      </c>
      <c r="B109" s="87">
        <f>I11</f>
        <v>1339</v>
      </c>
      <c r="C109" s="368" t="s">
        <v>71</v>
      </c>
      <c r="D109" s="369"/>
      <c r="E109" s="370"/>
      <c r="F109" s="368"/>
      <c r="G109" s="369"/>
      <c r="H109" s="370"/>
      <c r="I109" s="93"/>
      <c r="J109" s="90"/>
      <c r="K109" s="156">
        <v>1</v>
      </c>
      <c r="L109" s="77" t="s">
        <v>63</v>
      </c>
      <c r="M109" s="88">
        <f>K109*B109</f>
        <v>1339</v>
      </c>
      <c r="N109" s="91"/>
      <c r="O109" s="91"/>
      <c r="P109" s="169" t="s">
        <v>63</v>
      </c>
      <c r="Q109" s="364"/>
      <c r="R109" s="165">
        <v>1339</v>
      </c>
      <c r="S109" s="169" t="s">
        <v>63</v>
      </c>
      <c r="T109" s="154">
        <f t="shared" si="3"/>
        <v>0</v>
      </c>
      <c r="U109" s="91"/>
      <c r="V109" s="91"/>
      <c r="W109" s="91"/>
      <c r="X109" s="91"/>
      <c r="Y109" s="160" t="s">
        <v>72</v>
      </c>
      <c r="Z109" s="289"/>
      <c r="AA109" s="289"/>
      <c r="AB109" s="589"/>
    </row>
    <row r="110" spans="1:28" ht="37.5" x14ac:dyDescent="0.15">
      <c r="A110" s="284" t="s">
        <v>74</v>
      </c>
      <c r="B110" s="87">
        <f>I11</f>
        <v>1339</v>
      </c>
      <c r="C110" s="368" t="s">
        <v>71</v>
      </c>
      <c r="D110" s="369"/>
      <c r="E110" s="370"/>
      <c r="F110" s="368"/>
      <c r="G110" s="369"/>
      <c r="H110" s="370"/>
      <c r="I110" s="93"/>
      <c r="J110" s="93"/>
      <c r="K110" s="156">
        <v>1</v>
      </c>
      <c r="L110" s="77" t="s">
        <v>63</v>
      </c>
      <c r="M110" s="88">
        <f t="shared" si="30"/>
        <v>1339</v>
      </c>
      <c r="N110" s="91"/>
      <c r="O110" s="91"/>
      <c r="P110" s="89" t="s">
        <v>63</v>
      </c>
      <c r="Q110" s="365"/>
      <c r="R110" s="93">
        <v>1400</v>
      </c>
      <c r="S110" s="89" t="s">
        <v>63</v>
      </c>
      <c r="T110" s="154">
        <f t="shared" si="3"/>
        <v>61</v>
      </c>
      <c r="U110" s="91"/>
      <c r="V110" s="91"/>
      <c r="W110" s="91"/>
      <c r="X110" s="91"/>
      <c r="Y110" s="160" t="s">
        <v>72</v>
      </c>
      <c r="Z110" s="289"/>
      <c r="AA110" s="289"/>
      <c r="AB110" s="576"/>
    </row>
    <row r="111" spans="1:28" x14ac:dyDescent="0.15">
      <c r="A111" s="285"/>
      <c r="B111" s="366"/>
      <c r="C111" s="366"/>
      <c r="D111" s="177"/>
      <c r="E111" s="177"/>
      <c r="F111" s="100"/>
      <c r="G111" s="100"/>
      <c r="H111" s="100"/>
      <c r="I111" s="177"/>
      <c r="J111" s="177"/>
      <c r="K111" s="101"/>
      <c r="L111" s="102"/>
      <c r="M111" s="103"/>
      <c r="N111" s="104"/>
      <c r="O111" s="104"/>
      <c r="P111" s="177"/>
      <c r="Q111" s="105"/>
      <c r="R111" s="105"/>
      <c r="S111" s="106"/>
      <c r="T111" s="107"/>
      <c r="U111" s="108"/>
      <c r="V111" s="108"/>
      <c r="W111" s="109"/>
      <c r="X111" s="107"/>
      <c r="Y111" s="110"/>
    </row>
    <row r="112" spans="1:28" x14ac:dyDescent="0.15">
      <c r="A112" s="285"/>
      <c r="B112" s="366"/>
      <c r="C112" s="366"/>
      <c r="D112" s="177"/>
      <c r="E112" s="177"/>
      <c r="F112" s="367"/>
      <c r="G112" s="367"/>
      <c r="H112" s="367"/>
      <c r="I112" s="177"/>
      <c r="J112" s="177"/>
      <c r="K112" s="101"/>
      <c r="L112" s="102"/>
      <c r="M112" s="103"/>
      <c r="N112" s="104"/>
      <c r="O112" s="104"/>
      <c r="P112" s="177"/>
      <c r="Q112" s="105"/>
      <c r="R112" s="105"/>
      <c r="S112" s="106"/>
      <c r="T112" s="107"/>
      <c r="U112" s="108"/>
      <c r="V112" s="108"/>
      <c r="W112" s="109"/>
      <c r="X112" s="107"/>
      <c r="Y112" s="112"/>
    </row>
    <row r="113" spans="1:29" x14ac:dyDescent="0.15">
      <c r="J113" s="177"/>
    </row>
    <row r="114" spans="1:29" x14ac:dyDescent="0.15">
      <c r="J114" s="177"/>
    </row>
    <row r="116" spans="1:29" s="114" customFormat="1" x14ac:dyDescent="0.15">
      <c r="A116" s="286"/>
      <c r="B116" s="113"/>
      <c r="C116" s="1"/>
      <c r="D116" s="1"/>
      <c r="E116" s="1"/>
      <c r="F116" s="1"/>
      <c r="G116" s="1"/>
      <c r="H116" s="1"/>
      <c r="I116" s="1"/>
      <c r="J116" s="1"/>
      <c r="L116" s="115"/>
      <c r="M116" s="116"/>
      <c r="N116" s="117"/>
      <c r="O116" s="117"/>
      <c r="P116" s="1"/>
      <c r="Q116" s="118"/>
      <c r="R116" s="118"/>
      <c r="S116" s="115"/>
      <c r="T116" s="119"/>
      <c r="U116" s="1"/>
      <c r="V116" s="1"/>
      <c r="W116" s="120"/>
      <c r="X116" s="121"/>
      <c r="Y116" s="1"/>
      <c r="Z116" s="1"/>
      <c r="AA116" s="1"/>
      <c r="AB116" s="1"/>
      <c r="AC116" s="1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</sheetData>
  <mergeCells count="391">
    <mergeCell ref="AB108:AB110"/>
    <mergeCell ref="Q108:Q110"/>
    <mergeCell ref="Y38:Y40"/>
    <mergeCell ref="F109:H109"/>
    <mergeCell ref="C110:E110"/>
    <mergeCell ref="F110:H110"/>
    <mergeCell ref="B111:C111"/>
    <mergeCell ref="B112:C112"/>
    <mergeCell ref="F112:H112"/>
    <mergeCell ref="AA104:AA107"/>
    <mergeCell ref="AB104:AB107"/>
    <mergeCell ref="F105:H105"/>
    <mergeCell ref="F106:H106"/>
    <mergeCell ref="F107:H107"/>
    <mergeCell ref="C108:E108"/>
    <mergeCell ref="F108:H108"/>
    <mergeCell ref="C109:E109"/>
    <mergeCell ref="F85:H85"/>
    <mergeCell ref="AB95:AB103"/>
    <mergeCell ref="F92:H92"/>
    <mergeCell ref="F93:H93"/>
    <mergeCell ref="F94:H94"/>
    <mergeCell ref="F95:H95"/>
    <mergeCell ref="Z86:Z94"/>
    <mergeCell ref="A104:A107"/>
    <mergeCell ref="C104:E107"/>
    <mergeCell ref="F104:H104"/>
    <mergeCell ref="Q104:Q107"/>
    <mergeCell ref="Y104:Y107"/>
    <mergeCell ref="Z104:Z107"/>
    <mergeCell ref="Z100:Z103"/>
    <mergeCell ref="AA100:AA103"/>
    <mergeCell ref="C101:E103"/>
    <mergeCell ref="F101:H101"/>
    <mergeCell ref="F102:H102"/>
    <mergeCell ref="F103:H103"/>
    <mergeCell ref="Q95:Q103"/>
    <mergeCell ref="Y95:Y103"/>
    <mergeCell ref="Z95:Z99"/>
    <mergeCell ref="AA95:AA99"/>
    <mergeCell ref="A95:A103"/>
    <mergeCell ref="C95:E97"/>
    <mergeCell ref="C98:E100"/>
    <mergeCell ref="F96:H96"/>
    <mergeCell ref="F97:H97"/>
    <mergeCell ref="F98:H98"/>
    <mergeCell ref="F99:H99"/>
    <mergeCell ref="F100:H100"/>
    <mergeCell ref="AA86:AA94"/>
    <mergeCell ref="AB86:AB94"/>
    <mergeCell ref="F87:H87"/>
    <mergeCell ref="F88:H88"/>
    <mergeCell ref="A86:A94"/>
    <mergeCell ref="C86:E88"/>
    <mergeCell ref="F86:H86"/>
    <mergeCell ref="Q86:Q94"/>
    <mergeCell ref="Y86:Y94"/>
    <mergeCell ref="C89:E91"/>
    <mergeCell ref="F89:H89"/>
    <mergeCell ref="F90:H90"/>
    <mergeCell ref="F91:H91"/>
    <mergeCell ref="C92:E94"/>
    <mergeCell ref="Y80:Y81"/>
    <mergeCell ref="AB80:AB81"/>
    <mergeCell ref="C81:E81"/>
    <mergeCell ref="F81:H81"/>
    <mergeCell ref="A82:A85"/>
    <mergeCell ref="C82:E85"/>
    <mergeCell ref="F82:H82"/>
    <mergeCell ref="Q82:Q85"/>
    <mergeCell ref="Y82:Y85"/>
    <mergeCell ref="Z82:Z85"/>
    <mergeCell ref="AA82:AA85"/>
    <mergeCell ref="AB82:AB85"/>
    <mergeCell ref="F83:H83"/>
    <mergeCell ref="F84:H84"/>
    <mergeCell ref="A80:A81"/>
    <mergeCell ref="C80:E80"/>
    <mergeCell ref="F80:H80"/>
    <mergeCell ref="I80:I81"/>
    <mergeCell ref="Q80:Q81"/>
    <mergeCell ref="Y74:Y76"/>
    <mergeCell ref="C75:E75"/>
    <mergeCell ref="AB71:AB73"/>
    <mergeCell ref="C72:E72"/>
    <mergeCell ref="F72:H72"/>
    <mergeCell ref="C73:E73"/>
    <mergeCell ref="F73:H73"/>
    <mergeCell ref="AB77:AB79"/>
    <mergeCell ref="C78:E78"/>
    <mergeCell ref="F78:H78"/>
    <mergeCell ref="C79:E79"/>
    <mergeCell ref="F79:H79"/>
    <mergeCell ref="Y77:Y79"/>
    <mergeCell ref="C74:E74"/>
    <mergeCell ref="F74:H74"/>
    <mergeCell ref="I74:I76"/>
    <mergeCell ref="Q74:Q76"/>
    <mergeCell ref="AB74:AB76"/>
    <mergeCell ref="A77:A79"/>
    <mergeCell ref="C77:E77"/>
    <mergeCell ref="F77:H77"/>
    <mergeCell ref="I77:I79"/>
    <mergeCell ref="Q77:Q79"/>
    <mergeCell ref="F75:H75"/>
    <mergeCell ref="C76:E76"/>
    <mergeCell ref="F76:H76"/>
    <mergeCell ref="A74:A76"/>
    <mergeCell ref="A65:A67"/>
    <mergeCell ref="C65:E65"/>
    <mergeCell ref="F65:H65"/>
    <mergeCell ref="Q65:Q67"/>
    <mergeCell ref="Y65:Y67"/>
    <mergeCell ref="AB65:AB67"/>
    <mergeCell ref="C66:E66"/>
    <mergeCell ref="F66:H66"/>
    <mergeCell ref="C67:E67"/>
    <mergeCell ref="F67:H67"/>
    <mergeCell ref="AB68:AB70"/>
    <mergeCell ref="C69:E69"/>
    <mergeCell ref="F69:H69"/>
    <mergeCell ref="C70:E70"/>
    <mergeCell ref="F70:H70"/>
    <mergeCell ref="A71:A73"/>
    <mergeCell ref="C71:E71"/>
    <mergeCell ref="F71:H71"/>
    <mergeCell ref="Q71:Q73"/>
    <mergeCell ref="Y71:Y73"/>
    <mergeCell ref="A68:A70"/>
    <mergeCell ref="C68:E68"/>
    <mergeCell ref="F68:H68"/>
    <mergeCell ref="I68:I70"/>
    <mergeCell ref="Q68:Q70"/>
    <mergeCell ref="Y68:Y70"/>
    <mergeCell ref="A63:A64"/>
    <mergeCell ref="C63:E63"/>
    <mergeCell ref="F63:H63"/>
    <mergeCell ref="Q63:Q64"/>
    <mergeCell ref="Y63:Y64"/>
    <mergeCell ref="AB63:AB64"/>
    <mergeCell ref="C64:E64"/>
    <mergeCell ref="F64:H64"/>
    <mergeCell ref="AB57:AB62"/>
    <mergeCell ref="C58:E58"/>
    <mergeCell ref="F58:H58"/>
    <mergeCell ref="C59:E59"/>
    <mergeCell ref="F59:H59"/>
    <mergeCell ref="A60:A62"/>
    <mergeCell ref="C60:E60"/>
    <mergeCell ref="F60:H60"/>
    <mergeCell ref="I60:I62"/>
    <mergeCell ref="Y60:Y62"/>
    <mergeCell ref="A57:A59"/>
    <mergeCell ref="C57:E57"/>
    <mergeCell ref="F57:H57"/>
    <mergeCell ref="I57:I59"/>
    <mergeCell ref="Q57:Q62"/>
    <mergeCell ref="Y57:Y59"/>
    <mergeCell ref="C61:E61"/>
    <mergeCell ref="F61:H61"/>
    <mergeCell ref="C62:E62"/>
    <mergeCell ref="F62:H62"/>
    <mergeCell ref="A54:A56"/>
    <mergeCell ref="C54:E54"/>
    <mergeCell ref="F54:H54"/>
    <mergeCell ref="Q54:Q56"/>
    <mergeCell ref="Y54:Y56"/>
    <mergeCell ref="AB54:AB56"/>
    <mergeCell ref="C55:E55"/>
    <mergeCell ref="F55:H55"/>
    <mergeCell ref="C56:E56"/>
    <mergeCell ref="F56:H56"/>
    <mergeCell ref="Y51:Y53"/>
    <mergeCell ref="C52:E52"/>
    <mergeCell ref="F52:H52"/>
    <mergeCell ref="C53:E53"/>
    <mergeCell ref="F53:H53"/>
    <mergeCell ref="Q51:Q53"/>
    <mergeCell ref="AB51:AB53"/>
    <mergeCell ref="AB47:AB48"/>
    <mergeCell ref="C48:E48"/>
    <mergeCell ref="F48:H48"/>
    <mergeCell ref="A49:A50"/>
    <mergeCell ref="C49:E49"/>
    <mergeCell ref="F49:H49"/>
    <mergeCell ref="Q49:Q50"/>
    <mergeCell ref="Y49:Y50"/>
    <mergeCell ref="AB49:AB50"/>
    <mergeCell ref="C50:E50"/>
    <mergeCell ref="A47:A48"/>
    <mergeCell ref="C47:E47"/>
    <mergeCell ref="F47:H47"/>
    <mergeCell ref="I47:I48"/>
    <mergeCell ref="Q47:Q48"/>
    <mergeCell ref="Y47:Y48"/>
    <mergeCell ref="A44:A46"/>
    <mergeCell ref="C44:E44"/>
    <mergeCell ref="F44:H44"/>
    <mergeCell ref="I44:I46"/>
    <mergeCell ref="Q44:Q46"/>
    <mergeCell ref="Y44:Y46"/>
    <mergeCell ref="F50:H50"/>
    <mergeCell ref="A51:A53"/>
    <mergeCell ref="C51:E51"/>
    <mergeCell ref="F51:H51"/>
    <mergeCell ref="I51:I53"/>
    <mergeCell ref="AB41:AB43"/>
    <mergeCell ref="C42:E42"/>
    <mergeCell ref="F42:H42"/>
    <mergeCell ref="AC42:AF42"/>
    <mergeCell ref="C43:E43"/>
    <mergeCell ref="F43:H43"/>
    <mergeCell ref="AC43:AF43"/>
    <mergeCell ref="Y41:Y43"/>
    <mergeCell ref="AB44:AB46"/>
    <mergeCell ref="C45:E45"/>
    <mergeCell ref="F45:H45"/>
    <mergeCell ref="AC45:AF45"/>
    <mergeCell ref="C46:E46"/>
    <mergeCell ref="F46:H46"/>
    <mergeCell ref="AC46:AF46"/>
    <mergeCell ref="AB36:AB37"/>
    <mergeCell ref="C37:E37"/>
    <mergeCell ref="F37:H37"/>
    <mergeCell ref="AC37:AF37"/>
    <mergeCell ref="Y36:Y37"/>
    <mergeCell ref="C39:E39"/>
    <mergeCell ref="F39:H39"/>
    <mergeCell ref="AC39:AF39"/>
    <mergeCell ref="C40:E40"/>
    <mergeCell ref="F40:H40"/>
    <mergeCell ref="AC40:AF40"/>
    <mergeCell ref="C38:E38"/>
    <mergeCell ref="F38:H38"/>
    <mergeCell ref="I38:I40"/>
    <mergeCell ref="Q38:Q40"/>
    <mergeCell ref="AB38:AB40"/>
    <mergeCell ref="A41:A43"/>
    <mergeCell ref="C41:E41"/>
    <mergeCell ref="F41:H41"/>
    <mergeCell ref="I41:I43"/>
    <mergeCell ref="A36:A37"/>
    <mergeCell ref="C36:E36"/>
    <mergeCell ref="F36:H36"/>
    <mergeCell ref="I36:I37"/>
    <mergeCell ref="Q36:Q37"/>
    <mergeCell ref="A38:A40"/>
    <mergeCell ref="Q41:Q43"/>
    <mergeCell ref="AB33:AB35"/>
    <mergeCell ref="C34:E34"/>
    <mergeCell ref="F34:H34"/>
    <mergeCell ref="AC34:AF34"/>
    <mergeCell ref="C35:E35"/>
    <mergeCell ref="F35:H35"/>
    <mergeCell ref="AC35:AF35"/>
    <mergeCell ref="AB31:AB32"/>
    <mergeCell ref="C32:E32"/>
    <mergeCell ref="F32:H32"/>
    <mergeCell ref="AC32:AF32"/>
    <mergeCell ref="A33:A35"/>
    <mergeCell ref="C33:E33"/>
    <mergeCell ref="F33:H33"/>
    <mergeCell ref="I33:I35"/>
    <mergeCell ref="Q33:Q35"/>
    <mergeCell ref="Y33:Y35"/>
    <mergeCell ref="A31:A32"/>
    <mergeCell ref="C31:E31"/>
    <mergeCell ref="F31:H31"/>
    <mergeCell ref="I31:I32"/>
    <mergeCell ref="Q31:Q32"/>
    <mergeCell ref="Y31:Y32"/>
    <mergeCell ref="AC29:AF29"/>
    <mergeCell ref="C30:E30"/>
    <mergeCell ref="F30:H30"/>
    <mergeCell ref="AC30:AF30"/>
    <mergeCell ref="AB25:AB30"/>
    <mergeCell ref="C26:E26"/>
    <mergeCell ref="F26:H26"/>
    <mergeCell ref="C27:E27"/>
    <mergeCell ref="F27:H27"/>
    <mergeCell ref="A28:A30"/>
    <mergeCell ref="C28:E28"/>
    <mergeCell ref="F28:H28"/>
    <mergeCell ref="I28:I30"/>
    <mergeCell ref="Y28:Y30"/>
    <mergeCell ref="Y23:Y24"/>
    <mergeCell ref="AB23:AB24"/>
    <mergeCell ref="C24:E24"/>
    <mergeCell ref="F24:H24"/>
    <mergeCell ref="A25:A27"/>
    <mergeCell ref="C25:E25"/>
    <mergeCell ref="F25:H25"/>
    <mergeCell ref="I25:I27"/>
    <mergeCell ref="Q25:Q30"/>
    <mergeCell ref="Y25:Y27"/>
    <mergeCell ref="C29:E29"/>
    <mergeCell ref="F29:H29"/>
    <mergeCell ref="AB20:AB22"/>
    <mergeCell ref="C21:E21"/>
    <mergeCell ref="F21:H21"/>
    <mergeCell ref="C22:E22"/>
    <mergeCell ref="F22:H22"/>
    <mergeCell ref="A23:A24"/>
    <mergeCell ref="C23:E23"/>
    <mergeCell ref="F23:H23"/>
    <mergeCell ref="I23:I24"/>
    <mergeCell ref="Q23:Q24"/>
    <mergeCell ref="A20:A22"/>
    <mergeCell ref="C20:E20"/>
    <mergeCell ref="F20:H20"/>
    <mergeCell ref="I20:I22"/>
    <mergeCell ref="Q20:Q22"/>
    <mergeCell ref="Y20:Y22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B15:AB17"/>
    <mergeCell ref="AC15:AF15"/>
    <mergeCell ref="C16:E16"/>
    <mergeCell ref="F16:H16"/>
    <mergeCell ref="C17:E17"/>
    <mergeCell ref="F17:H17"/>
    <mergeCell ref="A15:A17"/>
    <mergeCell ref="C15:E15"/>
    <mergeCell ref="F15:H15"/>
    <mergeCell ref="I15:I17"/>
    <mergeCell ref="Q15:Q17"/>
    <mergeCell ref="Y15:Y17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colBreaks count="1" manualBreakCount="1">
    <brk id="2" max="87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BE07-C323-4218-8C39-122ED1181D06}">
  <sheetPr>
    <tabColor rgb="FFFF0000"/>
  </sheetPr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B83D-BDDB-44F9-8977-414B53A0371F}">
  <sheetPr>
    <pageSetUpPr fitToPage="1"/>
  </sheetPr>
  <dimension ref="A1:AF112"/>
  <sheetViews>
    <sheetView view="pageBreakPreview" zoomScale="75" zoomScaleNormal="100" zoomScaleSheetLayoutView="75" workbookViewId="0">
      <selection activeCell="U58" sqref="U58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200</v>
      </c>
      <c r="C2" s="548"/>
      <c r="D2" s="548"/>
      <c r="E2" s="548"/>
      <c r="F2" s="548"/>
      <c r="G2" s="549"/>
      <c r="H2" s="180" t="s">
        <v>1</v>
      </c>
      <c r="I2" s="550">
        <f>I11</f>
        <v>1207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280</v>
      </c>
      <c r="D5" s="182">
        <v>290</v>
      </c>
      <c r="E5" s="182">
        <v>134</v>
      </c>
      <c r="F5" s="182"/>
      <c r="G5" s="182"/>
      <c r="H5" s="542" t="s">
        <v>24</v>
      </c>
      <c r="I5" s="524">
        <f t="shared" ref="I5:I11" si="0">SUM(C5:G5)</f>
        <v>704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106</v>
      </c>
      <c r="B6" s="523"/>
      <c r="C6" s="182">
        <v>223</v>
      </c>
      <c r="D6" s="182">
        <v>230</v>
      </c>
      <c r="E6" s="182">
        <v>50</v>
      </c>
      <c r="F6" s="182"/>
      <c r="G6" s="182"/>
      <c r="H6" s="537"/>
      <c r="I6" s="524">
        <f t="shared" si="0"/>
        <v>503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45980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503</v>
      </c>
      <c r="D11" s="181">
        <f>SUM(D5:D10)</f>
        <v>520</v>
      </c>
      <c r="E11" s="181">
        <f>SUM(E5:E10)</f>
        <v>184</v>
      </c>
      <c r="F11" s="181">
        <f>SUM(F5:F10)</f>
        <v>0</v>
      </c>
      <c r="G11" s="181">
        <f>SUM(G5:G10)</f>
        <v>0</v>
      </c>
      <c r="H11" s="182"/>
      <c r="I11" s="481">
        <f t="shared" si="0"/>
        <v>1207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46092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513.06000000000006</v>
      </c>
      <c r="D12" s="43">
        <f>D11*1.02</f>
        <v>530.4</v>
      </c>
      <c r="E12" s="43">
        <f>E11*1.02</f>
        <v>187.68</v>
      </c>
      <c r="F12" s="43">
        <f>F11*1.02</f>
        <v>0</v>
      </c>
      <c r="G12" s="43">
        <f>G11*1.02</f>
        <v>0</v>
      </c>
      <c r="H12" s="44"/>
      <c r="I12" s="486">
        <f>I11*1.02</f>
        <v>1231.1400000000001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6" si="1">$I$5</f>
        <v>704</v>
      </c>
      <c r="C15" s="474" t="str">
        <f t="shared" ref="C15:C26" si="2">$A$5</f>
        <v>BK</v>
      </c>
      <c r="D15" s="475"/>
      <c r="E15" s="476"/>
      <c r="F15" s="474"/>
      <c r="G15" s="475"/>
      <c r="H15" s="476"/>
      <c r="I15" s="297" t="s">
        <v>214</v>
      </c>
      <c r="J15" s="65" t="s">
        <v>6</v>
      </c>
      <c r="K15" s="66">
        <v>1.44</v>
      </c>
      <c r="L15" s="67" t="s">
        <v>7</v>
      </c>
      <c r="M15" s="68">
        <f>K15*B15</f>
        <v>1013.76</v>
      </c>
      <c r="N15" s="69"/>
      <c r="O15" s="70"/>
      <c r="P15" s="67" t="s">
        <v>7</v>
      </c>
      <c r="Q15" s="478">
        <v>45996</v>
      </c>
      <c r="R15" s="293">
        <v>1015</v>
      </c>
      <c r="S15" s="71" t="s">
        <v>7</v>
      </c>
      <c r="T15" s="123">
        <f t="shared" ref="T15:T100" si="3">R15-M15</f>
        <v>1.2400000000000091</v>
      </c>
      <c r="U15" s="72"/>
      <c r="V15" s="72"/>
      <c r="W15" s="73"/>
      <c r="X15" s="74"/>
      <c r="Y15" s="479" t="s">
        <v>126</v>
      </c>
      <c r="Z15" s="63"/>
      <c r="AA15" s="64"/>
      <c r="AB15" s="360" t="s">
        <v>211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503</v>
      </c>
      <c r="C16" s="368" t="str">
        <f>$A$6</f>
        <v>NA</v>
      </c>
      <c r="D16" s="369"/>
      <c r="E16" s="370"/>
      <c r="F16" s="368"/>
      <c r="G16" s="369"/>
      <c r="H16" s="370"/>
      <c r="I16" s="75" t="s">
        <v>214</v>
      </c>
      <c r="J16" s="76" t="s">
        <v>6</v>
      </c>
      <c r="K16" s="83">
        <v>1.44</v>
      </c>
      <c r="L16" s="77" t="s">
        <v>7</v>
      </c>
      <c r="M16" s="78">
        <f t="shared" ref="M16:M79" si="4">K16*B16</f>
        <v>724.31999999999994</v>
      </c>
      <c r="N16" s="79"/>
      <c r="O16" s="128"/>
      <c r="P16" s="77" t="s">
        <v>7</v>
      </c>
      <c r="Q16" s="447"/>
      <c r="R16" s="137">
        <v>725</v>
      </c>
      <c r="S16" s="75" t="s">
        <v>7</v>
      </c>
      <c r="T16" s="81">
        <f t="shared" si="3"/>
        <v>0.68000000000006366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296"/>
      <c r="J17" s="76" t="s">
        <v>6</v>
      </c>
      <c r="K17" s="83"/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704</v>
      </c>
      <c r="C18" s="461" t="str">
        <f t="shared" si="2"/>
        <v>BK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503</v>
      </c>
      <c r="C19" s="461" t="str">
        <f>$A$6</f>
        <v>NA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704</v>
      </c>
      <c r="C20" s="465" t="str">
        <f t="shared" ref="C20" si="6">$A$5</f>
        <v>BK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>
        <v>7.0000000000000007E-2</v>
      </c>
      <c r="L20" s="194" t="s">
        <v>7</v>
      </c>
      <c r="M20" s="195">
        <f t="shared" si="4"/>
        <v>49.28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-49.28</v>
      </c>
      <c r="U20" s="199"/>
      <c r="V20" s="200"/>
      <c r="W20" s="195"/>
      <c r="X20" s="195"/>
      <c r="Y20" s="437" t="s">
        <v>93</v>
      </c>
      <c r="Z20" s="235"/>
      <c r="AA20" s="202"/>
      <c r="AB20" s="439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503</v>
      </c>
      <c r="C21" s="465" t="str">
        <f>$A$6</f>
        <v>NA</v>
      </c>
      <c r="D21" s="465"/>
      <c r="E21" s="465"/>
      <c r="F21" s="465"/>
      <c r="G21" s="465"/>
      <c r="H21" s="465"/>
      <c r="I21" s="560"/>
      <c r="J21" s="192" t="s">
        <v>6</v>
      </c>
      <c r="K21" s="209"/>
      <c r="L21" s="194" t="s">
        <v>7</v>
      </c>
      <c r="M21" s="195">
        <f t="shared" si="4"/>
        <v>0</v>
      </c>
      <c r="N21" s="196"/>
      <c r="O21" s="210"/>
      <c r="P21" s="194" t="s">
        <v>7</v>
      </c>
      <c r="Q21" s="561"/>
      <c r="R21" s="236"/>
      <c r="S21" s="207" t="s">
        <v>7</v>
      </c>
      <c r="T21" s="198">
        <f t="shared" si="3"/>
        <v>0</v>
      </c>
      <c r="U21" s="211"/>
      <c r="V21" s="211"/>
      <c r="W21" s="212"/>
      <c r="X21" s="213"/>
      <c r="Y21" s="562"/>
      <c r="Z21" s="214"/>
      <c r="AA21" s="202"/>
      <c r="AB21" s="55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0</v>
      </c>
      <c r="C22" s="465">
        <f>$A$7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440"/>
      <c r="AC22" s="229"/>
      <c r="AD22" s="230"/>
      <c r="AE22" s="230"/>
      <c r="AF22" s="230"/>
    </row>
    <row r="23" spans="1:32" s="55" customFormat="1" ht="69.95" customHeight="1" x14ac:dyDescent="0.15">
      <c r="A23" s="431" t="s">
        <v>85</v>
      </c>
      <c r="B23" s="182">
        <f t="shared" si="1"/>
        <v>704</v>
      </c>
      <c r="C23" s="461" t="str">
        <f t="shared" si="2"/>
        <v>BK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183.04000000000002</v>
      </c>
      <c r="N23" s="79"/>
      <c r="O23" s="78"/>
      <c r="P23" s="80" t="s">
        <v>7</v>
      </c>
      <c r="Q23" s="443">
        <v>45996</v>
      </c>
      <c r="R23" s="78">
        <v>184</v>
      </c>
      <c r="S23" s="80" t="s">
        <v>7</v>
      </c>
      <c r="T23" s="81">
        <f t="shared" si="3"/>
        <v>0.95999999999997954</v>
      </c>
      <c r="U23" s="82"/>
      <c r="V23" s="137"/>
      <c r="W23" s="78"/>
      <c r="X23" s="78"/>
      <c r="Y23" s="445" t="s">
        <v>93</v>
      </c>
      <c r="Z23" s="138"/>
      <c r="AA23" s="135"/>
      <c r="AB23" s="360" t="s">
        <v>209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503</v>
      </c>
      <c r="C24" s="461" t="str">
        <f>$A$6</f>
        <v>NA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130.78</v>
      </c>
      <c r="N24" s="79"/>
      <c r="O24" s="128"/>
      <c r="P24" s="77" t="s">
        <v>7</v>
      </c>
      <c r="Q24" s="447"/>
      <c r="R24" s="137">
        <v>131</v>
      </c>
      <c r="S24" s="75" t="s">
        <v>7</v>
      </c>
      <c r="T24" s="81">
        <f t="shared" si="3"/>
        <v>0.21999999999999886</v>
      </c>
      <c r="U24" s="131"/>
      <c r="V24" s="131"/>
      <c r="W24" s="132"/>
      <c r="X24" s="133"/>
      <c r="Y24" s="557"/>
      <c r="Z24" s="228"/>
      <c r="AA24" s="228"/>
      <c r="AB24" s="361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/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362"/>
      <c r="AC25" s="178"/>
      <c r="AD25" s="179"/>
      <c r="AE25" s="179"/>
      <c r="AF25" s="179"/>
    </row>
    <row r="26" spans="1:32" s="176" customFormat="1" ht="69.95" customHeight="1" x14ac:dyDescent="0.15">
      <c r="A26" s="431" t="s">
        <v>107</v>
      </c>
      <c r="B26" s="239">
        <f t="shared" si="1"/>
        <v>704</v>
      </c>
      <c r="C26" s="456" t="str">
        <f t="shared" si="2"/>
        <v>BK</v>
      </c>
      <c r="D26" s="456"/>
      <c r="E26" s="456"/>
      <c r="F26" s="456"/>
      <c r="G26" s="456"/>
      <c r="H26" s="456"/>
      <c r="I26" s="457" t="s">
        <v>58</v>
      </c>
      <c r="J26" s="240" t="s">
        <v>6</v>
      </c>
      <c r="K26" s="241">
        <v>0.09</v>
      </c>
      <c r="L26" s="168" t="s">
        <v>7</v>
      </c>
      <c r="M26" s="242">
        <f t="shared" si="4"/>
        <v>63.36</v>
      </c>
      <c r="N26" s="243"/>
      <c r="O26" s="242"/>
      <c r="P26" s="244" t="s">
        <v>7</v>
      </c>
      <c r="Q26" s="443">
        <v>45996</v>
      </c>
      <c r="R26" s="242">
        <v>63</v>
      </c>
      <c r="S26" s="244" t="s">
        <v>7</v>
      </c>
      <c r="T26" s="245">
        <f t="shared" si="3"/>
        <v>-0.35999999999999943</v>
      </c>
      <c r="U26" s="246"/>
      <c r="V26" s="247"/>
      <c r="W26" s="242"/>
      <c r="X26" s="242"/>
      <c r="Y26" s="459" t="s">
        <v>59</v>
      </c>
      <c r="Z26" s="248"/>
      <c r="AA26" s="249"/>
      <c r="AB26" s="448" t="s">
        <v>210</v>
      </c>
      <c r="AC26" s="250"/>
      <c r="AD26" s="251"/>
      <c r="AE26" s="251"/>
      <c r="AF26" s="251"/>
    </row>
    <row r="27" spans="1:32" s="176" customFormat="1" ht="69.95" customHeight="1" x14ac:dyDescent="0.15">
      <c r="A27" s="559"/>
      <c r="B27" s="239">
        <f>$I$6</f>
        <v>503</v>
      </c>
      <c r="C27" s="456" t="str">
        <f>$A$6</f>
        <v>NA</v>
      </c>
      <c r="D27" s="456"/>
      <c r="E27" s="456"/>
      <c r="F27" s="456"/>
      <c r="G27" s="456"/>
      <c r="H27" s="456"/>
      <c r="I27" s="564"/>
      <c r="J27" s="240" t="s">
        <v>6</v>
      </c>
      <c r="K27" s="241">
        <v>0.09</v>
      </c>
      <c r="L27" s="168" t="s">
        <v>7</v>
      </c>
      <c r="M27" s="242">
        <f t="shared" si="4"/>
        <v>45.269999999999996</v>
      </c>
      <c r="N27" s="243"/>
      <c r="O27" s="253"/>
      <c r="P27" s="168" t="s">
        <v>7</v>
      </c>
      <c r="Q27" s="447"/>
      <c r="R27" s="247">
        <v>45</v>
      </c>
      <c r="S27" s="255" t="s">
        <v>7</v>
      </c>
      <c r="T27" s="245">
        <f t="shared" si="3"/>
        <v>-0.26999999999999602</v>
      </c>
      <c r="U27" s="256"/>
      <c r="V27" s="256"/>
      <c r="W27" s="257"/>
      <c r="X27" s="258"/>
      <c r="Y27" s="565"/>
      <c r="Z27" s="259"/>
      <c r="AA27" s="249"/>
      <c r="AB27" s="449"/>
      <c r="AC27" s="250"/>
      <c r="AD27" s="251"/>
      <c r="AE27" s="251"/>
      <c r="AF27" s="251"/>
    </row>
    <row r="28" spans="1:32" s="176" customFormat="1" ht="69.95" customHeight="1" x14ac:dyDescent="0.15">
      <c r="A28" s="432"/>
      <c r="B28" s="239">
        <f>$I$7</f>
        <v>0</v>
      </c>
      <c r="C28" s="456">
        <f>$A$7</f>
        <v>0</v>
      </c>
      <c r="D28" s="456"/>
      <c r="E28" s="456"/>
      <c r="F28" s="456"/>
      <c r="G28" s="456"/>
      <c r="H28" s="456"/>
      <c r="I28" s="458"/>
      <c r="J28" s="240" t="s">
        <v>6</v>
      </c>
      <c r="K28" s="241"/>
      <c r="L28" s="168" t="s">
        <v>7</v>
      </c>
      <c r="M28" s="242">
        <f t="shared" si="4"/>
        <v>0</v>
      </c>
      <c r="N28" s="243"/>
      <c r="O28" s="253"/>
      <c r="P28" s="168" t="s">
        <v>7</v>
      </c>
      <c r="Q28" s="444"/>
      <c r="R28" s="254"/>
      <c r="S28" s="255" t="s">
        <v>7</v>
      </c>
      <c r="T28" s="245">
        <f t="shared" si="3"/>
        <v>0</v>
      </c>
      <c r="U28" s="256"/>
      <c r="V28" s="256"/>
      <c r="W28" s="257"/>
      <c r="X28" s="258"/>
      <c r="Y28" s="460"/>
      <c r="Z28" s="259"/>
      <c r="AA28" s="249"/>
      <c r="AB28" s="449"/>
      <c r="AC28" s="250"/>
      <c r="AD28" s="251"/>
      <c r="AE28" s="251"/>
      <c r="AF28" s="251"/>
    </row>
    <row r="29" spans="1:32" s="261" customFormat="1" ht="69.95" customHeight="1" x14ac:dyDescent="0.15">
      <c r="A29" s="431" t="s">
        <v>108</v>
      </c>
      <c r="B29" s="239">
        <f>$I$5</f>
        <v>704</v>
      </c>
      <c r="C29" s="456" t="str">
        <f>$A$5</f>
        <v>BK</v>
      </c>
      <c r="D29" s="456"/>
      <c r="E29" s="456"/>
      <c r="F29" s="456"/>
      <c r="G29" s="456"/>
      <c r="H29" s="456"/>
      <c r="I29" s="457" t="s">
        <v>8</v>
      </c>
      <c r="J29" s="240" t="s">
        <v>6</v>
      </c>
      <c r="K29" s="241">
        <v>0.18</v>
      </c>
      <c r="L29" s="168" t="s">
        <v>7</v>
      </c>
      <c r="M29" s="242">
        <f>K29*B29</f>
        <v>126.72</v>
      </c>
      <c r="N29" s="243"/>
      <c r="O29" s="242"/>
      <c r="P29" s="244" t="s">
        <v>7</v>
      </c>
      <c r="Q29" s="443">
        <v>45996</v>
      </c>
      <c r="R29" s="242">
        <v>127</v>
      </c>
      <c r="S29" s="244" t="s">
        <v>9</v>
      </c>
      <c r="T29" s="245">
        <f t="shared" si="3"/>
        <v>0.28000000000000114</v>
      </c>
      <c r="U29" s="246"/>
      <c r="V29" s="247"/>
      <c r="W29" s="242"/>
      <c r="X29" s="242"/>
      <c r="Y29" s="459" t="s">
        <v>59</v>
      </c>
      <c r="Z29" s="260"/>
      <c r="AA29" s="249"/>
      <c r="AB29" s="449"/>
    </row>
    <row r="30" spans="1:32" s="261" customFormat="1" ht="69.95" customHeight="1" x14ac:dyDescent="0.15">
      <c r="A30" s="559"/>
      <c r="B30" s="239">
        <f>$I$6</f>
        <v>503</v>
      </c>
      <c r="C30" s="456" t="str">
        <f>$A$6</f>
        <v>NA</v>
      </c>
      <c r="D30" s="456"/>
      <c r="E30" s="456"/>
      <c r="F30" s="456"/>
      <c r="G30" s="456"/>
      <c r="H30" s="456"/>
      <c r="I30" s="564"/>
      <c r="J30" s="240" t="s">
        <v>6</v>
      </c>
      <c r="K30" s="241">
        <v>0.18</v>
      </c>
      <c r="L30" s="168" t="s">
        <v>7</v>
      </c>
      <c r="M30" s="242">
        <f>K30*B30</f>
        <v>90.539999999999992</v>
      </c>
      <c r="N30" s="243"/>
      <c r="O30" s="253"/>
      <c r="P30" s="168" t="s">
        <v>7</v>
      </c>
      <c r="Q30" s="447"/>
      <c r="R30" s="247">
        <v>91</v>
      </c>
      <c r="S30" s="255" t="s">
        <v>9</v>
      </c>
      <c r="T30" s="245">
        <f t="shared" si="3"/>
        <v>0.46000000000000796</v>
      </c>
      <c r="U30" s="256"/>
      <c r="V30" s="256"/>
      <c r="W30" s="257"/>
      <c r="X30" s="258"/>
      <c r="Y30" s="565"/>
      <c r="Z30" s="259"/>
      <c r="AA30" s="249"/>
      <c r="AB30" s="449"/>
      <c r="AC30" s="462"/>
      <c r="AD30" s="463"/>
      <c r="AE30" s="463"/>
      <c r="AF30" s="463"/>
    </row>
    <row r="31" spans="1:32" s="261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/>
      <c r="L31" s="168" t="s">
        <v>7</v>
      </c>
      <c r="M31" s="242">
        <f>K31*B31</f>
        <v>0</v>
      </c>
      <c r="N31" s="243"/>
      <c r="O31" s="253"/>
      <c r="P31" s="168" t="s">
        <v>7</v>
      </c>
      <c r="Q31" s="444"/>
      <c r="R31" s="247"/>
      <c r="S31" s="255" t="s">
        <v>9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50"/>
      <c r="AC31" s="462"/>
      <c r="AD31" s="463"/>
      <c r="AE31" s="463"/>
      <c r="AF31" s="463"/>
    </row>
    <row r="32" spans="1:32" s="203" customFormat="1" ht="69.95" customHeight="1" x14ac:dyDescent="0.15">
      <c r="A32" s="464" t="s">
        <v>77</v>
      </c>
      <c r="B32" s="191">
        <f>$I$5</f>
        <v>704</v>
      </c>
      <c r="C32" s="465" t="str">
        <f>$A$5</f>
        <v>BK</v>
      </c>
      <c r="D32" s="465"/>
      <c r="E32" s="465"/>
      <c r="F32" s="465"/>
      <c r="G32" s="465"/>
      <c r="H32" s="465"/>
      <c r="I32" s="433" t="s">
        <v>110</v>
      </c>
      <c r="J32" s="192"/>
      <c r="K32" s="209">
        <v>1.8</v>
      </c>
      <c r="L32" s="194" t="s">
        <v>7</v>
      </c>
      <c r="M32" s="195">
        <f>K32*B32/100</f>
        <v>12.672000000000001</v>
      </c>
      <c r="N32" s="196"/>
      <c r="O32" s="195"/>
      <c r="P32" s="197" t="s">
        <v>7</v>
      </c>
      <c r="Q32" s="435"/>
      <c r="R32" s="195"/>
      <c r="S32" s="197" t="s">
        <v>9</v>
      </c>
      <c r="T32" s="198">
        <f t="shared" si="3"/>
        <v>-12.672000000000001</v>
      </c>
      <c r="U32" s="199"/>
      <c r="V32" s="200"/>
      <c r="W32" s="195"/>
      <c r="X32" s="195"/>
      <c r="Y32" s="437" t="s">
        <v>94</v>
      </c>
      <c r="Z32" s="201"/>
      <c r="AA32" s="202"/>
      <c r="AB32" s="439"/>
    </row>
    <row r="33" spans="1:32" s="203" customFormat="1" ht="69.95" customHeight="1" x14ac:dyDescent="0.15">
      <c r="A33" s="464"/>
      <c r="B33" s="191">
        <f>$I$6</f>
        <v>503</v>
      </c>
      <c r="C33" s="465" t="str">
        <f>$A$6</f>
        <v>NA</v>
      </c>
      <c r="D33" s="465"/>
      <c r="E33" s="465"/>
      <c r="F33" s="465"/>
      <c r="G33" s="465"/>
      <c r="H33" s="465"/>
      <c r="I33" s="560"/>
      <c r="J33" s="192"/>
      <c r="K33" s="208">
        <v>1.8</v>
      </c>
      <c r="L33" s="194" t="s">
        <v>7</v>
      </c>
      <c r="M33" s="195">
        <f>K33*B33/100</f>
        <v>9.0540000000000003</v>
      </c>
      <c r="N33" s="196"/>
      <c r="O33" s="210"/>
      <c r="P33" s="194" t="s">
        <v>7</v>
      </c>
      <c r="Q33" s="561"/>
      <c r="R33" s="200"/>
      <c r="S33" s="207" t="s">
        <v>9</v>
      </c>
      <c r="T33" s="198">
        <f t="shared" si="3"/>
        <v>-9.0540000000000003</v>
      </c>
      <c r="U33" s="211"/>
      <c r="V33" s="211"/>
      <c r="W33" s="212"/>
      <c r="X33" s="213"/>
      <c r="Y33" s="562"/>
      <c r="Z33" s="214"/>
      <c r="AA33" s="202"/>
      <c r="AB33" s="558"/>
      <c r="AC33" s="466"/>
      <c r="AD33" s="467"/>
      <c r="AE33" s="467"/>
      <c r="AF33" s="467"/>
    </row>
    <row r="34" spans="1:32" s="203" customFormat="1" ht="69.95" customHeight="1" x14ac:dyDescent="0.15">
      <c r="A34" s="464"/>
      <c r="B34" s="191">
        <f>$I$7</f>
        <v>0</v>
      </c>
      <c r="C34" s="465">
        <f>$A$7</f>
        <v>0</v>
      </c>
      <c r="D34" s="465"/>
      <c r="E34" s="465"/>
      <c r="F34" s="465"/>
      <c r="G34" s="465"/>
      <c r="H34" s="465"/>
      <c r="I34" s="434"/>
      <c r="J34" s="192"/>
      <c r="K34" s="208">
        <v>1.8</v>
      </c>
      <c r="L34" s="194" t="s">
        <v>7</v>
      </c>
      <c r="M34" s="195">
        <f>K34*B34/100</f>
        <v>0</v>
      </c>
      <c r="N34" s="196"/>
      <c r="O34" s="210"/>
      <c r="P34" s="194" t="s">
        <v>7</v>
      </c>
      <c r="Q34" s="436"/>
      <c r="R34" s="200"/>
      <c r="S34" s="207" t="s">
        <v>9</v>
      </c>
      <c r="T34" s="198">
        <f t="shared" si="3"/>
        <v>0</v>
      </c>
      <c r="U34" s="211"/>
      <c r="V34" s="211"/>
      <c r="W34" s="212"/>
      <c r="X34" s="213"/>
      <c r="Y34" s="438"/>
      <c r="Z34" s="214"/>
      <c r="AA34" s="202"/>
      <c r="AB34" s="440"/>
      <c r="AC34" s="466"/>
      <c r="AD34" s="467"/>
      <c r="AE34" s="467"/>
      <c r="AF34" s="467"/>
    </row>
    <row r="35" spans="1:32" s="261" customFormat="1" ht="69.95" customHeight="1" x14ac:dyDescent="0.15">
      <c r="A35" s="464" t="s">
        <v>86</v>
      </c>
      <c r="B35" s="239">
        <f>$I$5</f>
        <v>704</v>
      </c>
      <c r="C35" s="456" t="str">
        <f>$A$5</f>
        <v>BK</v>
      </c>
      <c r="D35" s="456"/>
      <c r="E35" s="456"/>
      <c r="F35" s="456"/>
      <c r="G35" s="456"/>
      <c r="H35" s="456"/>
      <c r="I35" s="457" t="s">
        <v>76</v>
      </c>
      <c r="J35" s="240"/>
      <c r="K35" s="241">
        <v>3.6</v>
      </c>
      <c r="L35" s="168" t="s">
        <v>7</v>
      </c>
      <c r="M35" s="242">
        <f t="shared" ref="M35:M40" si="7">K35*B35/50</f>
        <v>50.688000000000002</v>
      </c>
      <c r="N35" s="243"/>
      <c r="O35" s="242"/>
      <c r="P35" s="244" t="s">
        <v>7</v>
      </c>
      <c r="Q35" s="376">
        <v>45996</v>
      </c>
      <c r="R35" s="242">
        <v>51</v>
      </c>
      <c r="S35" s="244" t="s">
        <v>9</v>
      </c>
      <c r="T35" s="245">
        <f t="shared" si="3"/>
        <v>0.31199999999999761</v>
      </c>
      <c r="U35" s="246"/>
      <c r="V35" s="247"/>
      <c r="W35" s="242"/>
      <c r="X35" s="242"/>
      <c r="Y35" s="459" t="s">
        <v>94</v>
      </c>
      <c r="Z35" s="260"/>
      <c r="AA35" s="249"/>
      <c r="AB35" s="448" t="s">
        <v>210</v>
      </c>
    </row>
    <row r="36" spans="1:32" s="261" customFormat="1" ht="69.95" customHeight="1" x14ac:dyDescent="0.15">
      <c r="A36" s="464"/>
      <c r="B36" s="239">
        <f>$I$6</f>
        <v>503</v>
      </c>
      <c r="C36" s="456" t="str">
        <f>$A$6</f>
        <v>NA</v>
      </c>
      <c r="D36" s="456"/>
      <c r="E36" s="456"/>
      <c r="F36" s="456"/>
      <c r="G36" s="456"/>
      <c r="H36" s="456"/>
      <c r="I36" s="564"/>
      <c r="J36" s="240"/>
      <c r="K36" s="262">
        <v>3.6</v>
      </c>
      <c r="L36" s="168" t="s">
        <v>7</v>
      </c>
      <c r="M36" s="242">
        <f t="shared" si="7"/>
        <v>36.216000000000001</v>
      </c>
      <c r="N36" s="243"/>
      <c r="O36" s="253"/>
      <c r="P36" s="168" t="s">
        <v>7</v>
      </c>
      <c r="Q36" s="377"/>
      <c r="R36" s="247">
        <v>37</v>
      </c>
      <c r="S36" s="255" t="s">
        <v>9</v>
      </c>
      <c r="T36" s="245">
        <f t="shared" si="3"/>
        <v>0.78399999999999892</v>
      </c>
      <c r="U36" s="256"/>
      <c r="V36" s="256"/>
      <c r="W36" s="257"/>
      <c r="X36" s="258"/>
      <c r="Y36" s="565"/>
      <c r="Z36" s="259"/>
      <c r="AA36" s="249"/>
      <c r="AB36" s="449"/>
      <c r="AC36" s="462"/>
      <c r="AD36" s="463"/>
      <c r="AE36" s="463"/>
      <c r="AF36" s="463"/>
    </row>
    <row r="37" spans="1:32" s="261" customFormat="1" ht="69.95" customHeight="1" x14ac:dyDescent="0.15">
      <c r="A37" s="464"/>
      <c r="B37" s="239">
        <f>$I$7</f>
        <v>0</v>
      </c>
      <c r="C37" s="456">
        <f>$A$7</f>
        <v>0</v>
      </c>
      <c r="D37" s="456"/>
      <c r="E37" s="456"/>
      <c r="F37" s="456"/>
      <c r="G37" s="456"/>
      <c r="H37" s="456"/>
      <c r="I37" s="458"/>
      <c r="J37" s="240"/>
      <c r="K37" s="262"/>
      <c r="L37" s="168" t="s">
        <v>7</v>
      </c>
      <c r="M37" s="242">
        <f t="shared" si="7"/>
        <v>0</v>
      </c>
      <c r="N37" s="243"/>
      <c r="O37" s="253"/>
      <c r="P37" s="168" t="s">
        <v>7</v>
      </c>
      <c r="Q37" s="378"/>
      <c r="R37" s="247"/>
      <c r="S37" s="255" t="s">
        <v>9</v>
      </c>
      <c r="T37" s="245">
        <f t="shared" si="3"/>
        <v>0</v>
      </c>
      <c r="U37" s="256"/>
      <c r="V37" s="256"/>
      <c r="W37" s="257"/>
      <c r="X37" s="258"/>
      <c r="Y37" s="460"/>
      <c r="Z37" s="259"/>
      <c r="AA37" s="249"/>
      <c r="AB37" s="450"/>
      <c r="AC37" s="462"/>
      <c r="AD37" s="463"/>
      <c r="AE37" s="463"/>
      <c r="AF37" s="463"/>
    </row>
    <row r="38" spans="1:32" s="203" customFormat="1" ht="69.95" customHeight="1" x14ac:dyDescent="0.15">
      <c r="A38" s="464" t="s">
        <v>116</v>
      </c>
      <c r="B38" s="191">
        <f>$I$5</f>
        <v>704</v>
      </c>
      <c r="C38" s="465" t="str">
        <f>$A$5</f>
        <v>BK</v>
      </c>
      <c r="D38" s="465"/>
      <c r="E38" s="465"/>
      <c r="F38" s="465"/>
      <c r="G38" s="465"/>
      <c r="H38" s="465"/>
      <c r="I38" s="433" t="s">
        <v>76</v>
      </c>
      <c r="J38" s="192"/>
      <c r="K38" s="209">
        <v>2.4</v>
      </c>
      <c r="L38" s="194" t="s">
        <v>7</v>
      </c>
      <c r="M38" s="195">
        <f t="shared" si="7"/>
        <v>33.792000000000002</v>
      </c>
      <c r="N38" s="196"/>
      <c r="O38" s="195"/>
      <c r="P38" s="197" t="s">
        <v>7</v>
      </c>
      <c r="Q38" s="435"/>
      <c r="R38" s="195"/>
      <c r="S38" s="197" t="s">
        <v>9</v>
      </c>
      <c r="T38" s="198">
        <f t="shared" si="3"/>
        <v>-33.792000000000002</v>
      </c>
      <c r="U38" s="199"/>
      <c r="V38" s="200"/>
      <c r="W38" s="195"/>
      <c r="X38" s="195"/>
      <c r="Y38" s="437" t="s">
        <v>94</v>
      </c>
      <c r="Z38" s="201"/>
      <c r="AA38" s="202"/>
      <c r="AB38" s="439"/>
    </row>
    <row r="39" spans="1:32" s="203" customFormat="1" ht="69.95" customHeight="1" x14ac:dyDescent="0.15">
      <c r="A39" s="464"/>
      <c r="B39" s="191">
        <f>$I$6</f>
        <v>503</v>
      </c>
      <c r="C39" s="465" t="str">
        <f>$A$6</f>
        <v>NA</v>
      </c>
      <c r="D39" s="465"/>
      <c r="E39" s="465"/>
      <c r="F39" s="465"/>
      <c r="G39" s="465"/>
      <c r="H39" s="465"/>
      <c r="I39" s="560"/>
      <c r="J39" s="192"/>
      <c r="K39" s="208">
        <v>2.4</v>
      </c>
      <c r="L39" s="194" t="s">
        <v>7</v>
      </c>
      <c r="M39" s="195">
        <f t="shared" si="7"/>
        <v>24.144000000000002</v>
      </c>
      <c r="N39" s="196"/>
      <c r="O39" s="210"/>
      <c r="P39" s="194" t="s">
        <v>7</v>
      </c>
      <c r="Q39" s="561"/>
      <c r="R39" s="200"/>
      <c r="S39" s="207" t="s">
        <v>9</v>
      </c>
      <c r="T39" s="198">
        <f t="shared" si="3"/>
        <v>-24.144000000000002</v>
      </c>
      <c r="U39" s="211"/>
      <c r="V39" s="211"/>
      <c r="W39" s="212"/>
      <c r="X39" s="213"/>
      <c r="Y39" s="562"/>
      <c r="Z39" s="214"/>
      <c r="AA39" s="202"/>
      <c r="AB39" s="558"/>
      <c r="AC39" s="466"/>
      <c r="AD39" s="467"/>
      <c r="AE39" s="467"/>
      <c r="AF39" s="467"/>
    </row>
    <row r="40" spans="1:32" s="203" customFormat="1" ht="69.95" customHeight="1" x14ac:dyDescent="0.15">
      <c r="A40" s="464"/>
      <c r="B40" s="191">
        <f>$I$7</f>
        <v>0</v>
      </c>
      <c r="C40" s="465">
        <f>$A$7</f>
        <v>0</v>
      </c>
      <c r="D40" s="465"/>
      <c r="E40" s="465"/>
      <c r="F40" s="465"/>
      <c r="G40" s="465"/>
      <c r="H40" s="465"/>
      <c r="I40" s="434"/>
      <c r="J40" s="192"/>
      <c r="K40" s="208">
        <v>2.4</v>
      </c>
      <c r="L40" s="194" t="s">
        <v>7</v>
      </c>
      <c r="M40" s="195">
        <f t="shared" si="7"/>
        <v>0</v>
      </c>
      <c r="N40" s="196"/>
      <c r="O40" s="210"/>
      <c r="P40" s="194" t="s">
        <v>7</v>
      </c>
      <c r="Q40" s="436"/>
      <c r="R40" s="200"/>
      <c r="S40" s="207" t="s">
        <v>9</v>
      </c>
      <c r="T40" s="198">
        <f t="shared" si="3"/>
        <v>0</v>
      </c>
      <c r="U40" s="211"/>
      <c r="V40" s="211"/>
      <c r="W40" s="212"/>
      <c r="X40" s="213"/>
      <c r="Y40" s="438"/>
      <c r="Z40" s="214"/>
      <c r="AA40" s="202"/>
      <c r="AB40" s="440"/>
      <c r="AC40" s="466"/>
      <c r="AD40" s="467"/>
      <c r="AE40" s="467"/>
      <c r="AF40" s="467"/>
    </row>
    <row r="41" spans="1:32" s="261" customFormat="1" ht="69.95" customHeight="1" x14ac:dyDescent="0.15">
      <c r="A41" s="431" t="s">
        <v>156</v>
      </c>
      <c r="B41" s="239">
        <f>$I$5</f>
        <v>704</v>
      </c>
      <c r="C41" s="456" t="str">
        <f>$A$5</f>
        <v>BK</v>
      </c>
      <c r="D41" s="456"/>
      <c r="E41" s="456"/>
      <c r="F41" s="456" t="str">
        <f>$A$5</f>
        <v>BK</v>
      </c>
      <c r="G41" s="456"/>
      <c r="H41" s="456"/>
      <c r="I41" s="457" t="s">
        <v>62</v>
      </c>
      <c r="J41" s="240"/>
      <c r="K41" s="263">
        <v>130</v>
      </c>
      <c r="L41" s="168" t="s">
        <v>61</v>
      </c>
      <c r="M41" s="242">
        <f t="shared" ref="M41:M43" si="8">K41*B41/2500</f>
        <v>36.607999999999997</v>
      </c>
      <c r="N41" s="243"/>
      <c r="O41" s="242"/>
      <c r="P41" s="244" t="s">
        <v>10</v>
      </c>
      <c r="Q41" s="443">
        <v>45996</v>
      </c>
      <c r="R41" s="242">
        <v>37</v>
      </c>
      <c r="S41" s="244" t="s">
        <v>10</v>
      </c>
      <c r="T41" s="245">
        <f t="shared" ref="T41:T43" si="9">R41-M41</f>
        <v>0.39200000000000301</v>
      </c>
      <c r="U41" s="246"/>
      <c r="V41" s="247"/>
      <c r="W41" s="242"/>
      <c r="X41" s="242"/>
      <c r="Y41" s="459" t="s">
        <v>94</v>
      </c>
      <c r="Z41" s="260"/>
      <c r="AA41" s="249"/>
      <c r="AB41" s="360" t="s">
        <v>210</v>
      </c>
    </row>
    <row r="42" spans="1:32" s="176" customFormat="1" ht="69.95" customHeight="1" x14ac:dyDescent="0.15">
      <c r="A42" s="559"/>
      <c r="B42" s="264">
        <f>$I$6</f>
        <v>503</v>
      </c>
      <c r="C42" s="413" t="str">
        <f>$A$6</f>
        <v>NA</v>
      </c>
      <c r="D42" s="414"/>
      <c r="E42" s="415"/>
      <c r="F42" s="413" t="str">
        <f>$A$6</f>
        <v>NA</v>
      </c>
      <c r="G42" s="414"/>
      <c r="H42" s="415"/>
      <c r="I42" s="564"/>
      <c r="J42" s="265"/>
      <c r="K42" s="263">
        <v>130</v>
      </c>
      <c r="L42" s="266" t="s">
        <v>61</v>
      </c>
      <c r="M42" s="242">
        <f t="shared" si="8"/>
        <v>26.155999999999999</v>
      </c>
      <c r="N42" s="267"/>
      <c r="O42" s="268"/>
      <c r="P42" s="266" t="s">
        <v>10</v>
      </c>
      <c r="Q42" s="447"/>
      <c r="R42" s="269">
        <v>27</v>
      </c>
      <c r="S42" s="252" t="s">
        <v>10</v>
      </c>
      <c r="T42" s="270">
        <f t="shared" si="9"/>
        <v>0.84400000000000119</v>
      </c>
      <c r="U42" s="271"/>
      <c r="V42" s="271"/>
      <c r="W42" s="272"/>
      <c r="X42" s="273"/>
      <c r="Y42" s="565"/>
      <c r="Z42" s="274"/>
      <c r="AA42" s="275"/>
      <c r="AB42" s="361"/>
      <c r="AC42" s="451"/>
      <c r="AD42" s="452"/>
      <c r="AE42" s="452"/>
      <c r="AF42" s="452"/>
    </row>
    <row r="43" spans="1:32" s="176" customFormat="1" ht="69.95" customHeight="1" x14ac:dyDescent="0.15">
      <c r="A43" s="432"/>
      <c r="B43" s="239">
        <f>$I$7</f>
        <v>0</v>
      </c>
      <c r="C43" s="456">
        <f>$A$7</f>
        <v>0</v>
      </c>
      <c r="D43" s="456"/>
      <c r="E43" s="456"/>
      <c r="F43" s="413">
        <f>$A$7</f>
        <v>0</v>
      </c>
      <c r="G43" s="414"/>
      <c r="H43" s="415"/>
      <c r="I43" s="458"/>
      <c r="J43" s="265"/>
      <c r="K43" s="263"/>
      <c r="L43" s="266" t="s">
        <v>61</v>
      </c>
      <c r="M43" s="242">
        <f t="shared" si="8"/>
        <v>0</v>
      </c>
      <c r="N43" s="267"/>
      <c r="O43" s="268"/>
      <c r="P43" s="266" t="s">
        <v>10</v>
      </c>
      <c r="Q43" s="447"/>
      <c r="R43" s="269"/>
      <c r="S43" s="252" t="s">
        <v>10</v>
      </c>
      <c r="T43" s="270">
        <f t="shared" si="9"/>
        <v>0</v>
      </c>
      <c r="U43" s="271"/>
      <c r="V43" s="271"/>
      <c r="W43" s="272"/>
      <c r="X43" s="273"/>
      <c r="Y43" s="460"/>
      <c r="Z43" s="274"/>
      <c r="AA43" s="275"/>
      <c r="AB43" s="361"/>
      <c r="AC43" s="451"/>
      <c r="AD43" s="452"/>
      <c r="AE43" s="452"/>
      <c r="AF43" s="452"/>
    </row>
    <row r="44" spans="1:32" s="261" customFormat="1" ht="69.95" customHeight="1" x14ac:dyDescent="0.15">
      <c r="A44" s="431" t="s">
        <v>155</v>
      </c>
      <c r="B44" s="239">
        <f>$I$5</f>
        <v>704</v>
      </c>
      <c r="C44" s="456" t="str">
        <f>$A$5</f>
        <v>BK</v>
      </c>
      <c r="D44" s="456"/>
      <c r="E44" s="456"/>
      <c r="F44" s="456" t="str">
        <f>$A$5</f>
        <v>BK</v>
      </c>
      <c r="G44" s="456"/>
      <c r="H44" s="456"/>
      <c r="I44" s="457" t="s">
        <v>60</v>
      </c>
      <c r="J44" s="240"/>
      <c r="K44" s="263">
        <v>220</v>
      </c>
      <c r="L44" s="168" t="s">
        <v>61</v>
      </c>
      <c r="M44" s="242">
        <f t="shared" ref="M44:M49" si="10">K44*B44/4000</f>
        <v>38.72</v>
      </c>
      <c r="N44" s="243"/>
      <c r="O44" s="242"/>
      <c r="P44" s="244" t="s">
        <v>10</v>
      </c>
      <c r="Q44" s="447"/>
      <c r="R44" s="242">
        <v>39</v>
      </c>
      <c r="S44" s="244" t="s">
        <v>10</v>
      </c>
      <c r="T44" s="245">
        <f t="shared" si="3"/>
        <v>0.28000000000000114</v>
      </c>
      <c r="U44" s="246"/>
      <c r="V44" s="247"/>
      <c r="W44" s="242"/>
      <c r="X44" s="242"/>
      <c r="Y44" s="459" t="s">
        <v>94</v>
      </c>
      <c r="Z44" s="260"/>
      <c r="AA44" s="249"/>
      <c r="AB44" s="361"/>
    </row>
    <row r="45" spans="1:32" s="176" customFormat="1" ht="69.95" customHeight="1" x14ac:dyDescent="0.15">
      <c r="A45" s="559"/>
      <c r="B45" s="264">
        <f>$I$6</f>
        <v>503</v>
      </c>
      <c r="C45" s="413" t="str">
        <f>$A$6</f>
        <v>NA</v>
      </c>
      <c r="D45" s="414"/>
      <c r="E45" s="415"/>
      <c r="F45" s="413" t="str">
        <f>$A$6</f>
        <v>NA</v>
      </c>
      <c r="G45" s="414"/>
      <c r="H45" s="415"/>
      <c r="I45" s="564"/>
      <c r="J45" s="265"/>
      <c r="K45" s="263">
        <v>220</v>
      </c>
      <c r="L45" s="266" t="s">
        <v>61</v>
      </c>
      <c r="M45" s="242">
        <f t="shared" si="10"/>
        <v>27.664999999999999</v>
      </c>
      <c r="N45" s="267"/>
      <c r="O45" s="268"/>
      <c r="P45" s="266" t="s">
        <v>10</v>
      </c>
      <c r="Q45" s="447"/>
      <c r="R45" s="269">
        <v>28</v>
      </c>
      <c r="S45" s="252" t="s">
        <v>10</v>
      </c>
      <c r="T45" s="270">
        <f t="shared" si="3"/>
        <v>0.33500000000000085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/>
      <c r="L46" s="266" t="s">
        <v>61</v>
      </c>
      <c r="M46" s="242">
        <f t="shared" si="10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208</v>
      </c>
      <c r="B47" s="182">
        <f>$I$5</f>
        <v>704</v>
      </c>
      <c r="C47" s="461" t="str">
        <f>$A$5</f>
        <v>BK</v>
      </c>
      <c r="D47" s="461"/>
      <c r="E47" s="461"/>
      <c r="F47" s="461" t="str">
        <f>$A$5</f>
        <v>BK</v>
      </c>
      <c r="G47" s="461"/>
      <c r="H47" s="461"/>
      <c r="I47" s="441" t="s">
        <v>60</v>
      </c>
      <c r="J47" s="76"/>
      <c r="K47" s="139">
        <v>10</v>
      </c>
      <c r="L47" s="77" t="s">
        <v>61</v>
      </c>
      <c r="M47" s="78">
        <f t="shared" si="10"/>
        <v>1.76</v>
      </c>
      <c r="N47" s="79"/>
      <c r="O47" s="78"/>
      <c r="P47" s="80" t="s">
        <v>10</v>
      </c>
      <c r="Q47" s="447"/>
      <c r="R47" s="78">
        <v>2</v>
      </c>
      <c r="S47" s="80" t="s">
        <v>10</v>
      </c>
      <c r="T47" s="81">
        <f t="shared" si="3"/>
        <v>0.24</v>
      </c>
      <c r="U47" s="82"/>
      <c r="V47" s="137"/>
      <c r="W47" s="78"/>
      <c r="X47" s="78"/>
      <c r="Y47" s="445" t="s">
        <v>94</v>
      </c>
      <c r="Z47" s="141"/>
      <c r="AA47" s="135"/>
      <c r="AB47" s="361"/>
    </row>
    <row r="48" spans="1:32" s="176" customFormat="1" ht="69.95" customHeight="1" x14ac:dyDescent="0.15">
      <c r="A48" s="559"/>
      <c r="B48" s="186">
        <f>$I$6</f>
        <v>503</v>
      </c>
      <c r="C48" s="395" t="str">
        <f>$A$6</f>
        <v>NA</v>
      </c>
      <c r="D48" s="396"/>
      <c r="E48" s="397"/>
      <c r="F48" s="395" t="str">
        <f>$A$6</f>
        <v>NA</v>
      </c>
      <c r="G48" s="396"/>
      <c r="H48" s="397"/>
      <c r="I48" s="563"/>
      <c r="J48" s="144"/>
      <c r="K48" s="139">
        <v>10</v>
      </c>
      <c r="L48" s="145" t="s">
        <v>61</v>
      </c>
      <c r="M48" s="78">
        <f t="shared" si="10"/>
        <v>1.2575000000000001</v>
      </c>
      <c r="N48" s="146"/>
      <c r="O48" s="147"/>
      <c r="P48" s="145" t="s">
        <v>10</v>
      </c>
      <c r="Q48" s="447"/>
      <c r="R48" s="161">
        <v>2</v>
      </c>
      <c r="S48" s="148" t="s">
        <v>10</v>
      </c>
      <c r="T48" s="84">
        <f t="shared" si="3"/>
        <v>0.74249999999999994</v>
      </c>
      <c r="U48" s="149"/>
      <c r="V48" s="149"/>
      <c r="W48" s="150"/>
      <c r="X48" s="151"/>
      <c r="Y48" s="557"/>
      <c r="Z48" s="216"/>
      <c r="AA48" s="217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182">
        <f>$I$7</f>
        <v>0</v>
      </c>
      <c r="C49" s="461">
        <f>$A$7</f>
        <v>0</v>
      </c>
      <c r="D49" s="461"/>
      <c r="E49" s="461"/>
      <c r="F49" s="395" t="str">
        <f>$A$6</f>
        <v>NA</v>
      </c>
      <c r="G49" s="396"/>
      <c r="H49" s="397"/>
      <c r="I49" s="442"/>
      <c r="J49" s="144"/>
      <c r="K49" s="139"/>
      <c r="L49" s="145" t="s">
        <v>61</v>
      </c>
      <c r="M49" s="78">
        <f t="shared" si="10"/>
        <v>0</v>
      </c>
      <c r="N49" s="146"/>
      <c r="O49" s="147"/>
      <c r="P49" s="145" t="s">
        <v>10</v>
      </c>
      <c r="Q49" s="444"/>
      <c r="R49" s="161"/>
      <c r="S49" s="148" t="s">
        <v>10</v>
      </c>
      <c r="T49" s="84">
        <f t="shared" si="3"/>
        <v>0</v>
      </c>
      <c r="U49" s="149"/>
      <c r="V49" s="149"/>
      <c r="W49" s="150"/>
      <c r="X49" s="151"/>
      <c r="Y49" s="446"/>
      <c r="Z49" s="216"/>
      <c r="AA49" s="217"/>
      <c r="AB49" s="362"/>
      <c r="AC49" s="451"/>
      <c r="AD49" s="452"/>
      <c r="AE49" s="452"/>
      <c r="AF49" s="452"/>
    </row>
    <row r="50" spans="1:32" s="206" customFormat="1" ht="69.95" customHeight="1" x14ac:dyDescent="0.15">
      <c r="A50" s="431" t="s">
        <v>139</v>
      </c>
      <c r="B50" s="191">
        <f t="shared" ref="B50" si="11">$I$5</f>
        <v>704</v>
      </c>
      <c r="C50" s="422" t="str">
        <f t="shared" ref="C50" si="12">$A$5</f>
        <v>BK</v>
      </c>
      <c r="D50" s="423"/>
      <c r="E50" s="424"/>
      <c r="F50" s="425"/>
      <c r="G50" s="423"/>
      <c r="H50" s="424"/>
      <c r="I50" s="207"/>
      <c r="J50" s="192"/>
      <c r="K50" s="193">
        <v>1</v>
      </c>
      <c r="L50" s="194" t="s">
        <v>65</v>
      </c>
      <c r="M50" s="195">
        <f t="shared" ref="M50:M67" si="13">K50*B50</f>
        <v>704</v>
      </c>
      <c r="N50" s="196"/>
      <c r="O50" s="195"/>
      <c r="P50" s="194" t="s">
        <v>65</v>
      </c>
      <c r="Q50" s="435"/>
      <c r="R50" s="195"/>
      <c r="S50" s="194" t="s">
        <v>65</v>
      </c>
      <c r="T50" s="205">
        <f t="shared" si="3"/>
        <v>-704</v>
      </c>
      <c r="U50" s="199"/>
      <c r="V50" s="199"/>
      <c r="W50" s="208"/>
      <c r="X50" s="198"/>
      <c r="Y50" s="437" t="s">
        <v>140</v>
      </c>
      <c r="Z50" s="231"/>
      <c r="AA50" s="232"/>
      <c r="AB50" s="439"/>
    </row>
    <row r="51" spans="1:32" s="206" customFormat="1" ht="69.95" customHeight="1" x14ac:dyDescent="0.15">
      <c r="A51" s="559"/>
      <c r="B51" s="204">
        <f>$I$6</f>
        <v>503</v>
      </c>
      <c r="C51" s="453" t="str">
        <f>$A$6</f>
        <v>NA</v>
      </c>
      <c r="D51" s="454"/>
      <c r="E51" s="455"/>
      <c r="F51" s="425"/>
      <c r="G51" s="423"/>
      <c r="H51" s="424"/>
      <c r="I51" s="207"/>
      <c r="J51" s="192"/>
      <c r="K51" s="193">
        <v>1</v>
      </c>
      <c r="L51" s="194" t="s">
        <v>65</v>
      </c>
      <c r="M51" s="195">
        <f t="shared" si="13"/>
        <v>503</v>
      </c>
      <c r="N51" s="233"/>
      <c r="O51" s="195"/>
      <c r="P51" s="194" t="s">
        <v>65</v>
      </c>
      <c r="Q51" s="561"/>
      <c r="R51" s="195"/>
      <c r="S51" s="194" t="s">
        <v>65</v>
      </c>
      <c r="T51" s="198">
        <f t="shared" si="3"/>
        <v>-503</v>
      </c>
      <c r="U51" s="199"/>
      <c r="V51" s="200"/>
      <c r="W51" s="195"/>
      <c r="X51" s="195"/>
      <c r="Y51" s="562"/>
      <c r="Z51" s="201"/>
      <c r="AA51" s="202"/>
      <c r="AB51" s="558"/>
      <c r="AC51" s="234"/>
      <c r="AD51" s="230"/>
      <c r="AE51" s="230"/>
      <c r="AF51" s="230"/>
    </row>
    <row r="52" spans="1:32" s="206" customFormat="1" ht="69.95" customHeight="1" x14ac:dyDescent="0.15">
      <c r="A52" s="432"/>
      <c r="B52" s="191">
        <f>$I$7</f>
        <v>0</v>
      </c>
      <c r="C52" s="465">
        <f>$A$7</f>
        <v>0</v>
      </c>
      <c r="D52" s="465"/>
      <c r="E52" s="465"/>
      <c r="F52" s="425"/>
      <c r="G52" s="423"/>
      <c r="H52" s="424"/>
      <c r="I52" s="207"/>
      <c r="J52" s="192"/>
      <c r="K52" s="193">
        <v>1</v>
      </c>
      <c r="L52" s="194" t="s">
        <v>65</v>
      </c>
      <c r="M52" s="195">
        <f t="shared" si="13"/>
        <v>0</v>
      </c>
      <c r="N52" s="233"/>
      <c r="O52" s="195"/>
      <c r="P52" s="194" t="s">
        <v>65</v>
      </c>
      <c r="Q52" s="436"/>
      <c r="R52" s="195"/>
      <c r="S52" s="194" t="s">
        <v>65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  <c r="AC52" s="234"/>
      <c r="AD52" s="230"/>
      <c r="AE52" s="230"/>
      <c r="AF52" s="230"/>
    </row>
    <row r="53" spans="1:32" s="55" customFormat="1" ht="69.95" customHeight="1" x14ac:dyDescent="0.15">
      <c r="A53" s="431" t="s">
        <v>100</v>
      </c>
      <c r="B53" s="182">
        <f t="shared" ref="B53:B59" si="14">$I$5</f>
        <v>704</v>
      </c>
      <c r="C53" s="368" t="str">
        <f t="shared" ref="C53:C59" si="15">$A$5</f>
        <v>BK</v>
      </c>
      <c r="D53" s="369"/>
      <c r="E53" s="370"/>
      <c r="F53" s="428"/>
      <c r="G53" s="369"/>
      <c r="H53" s="370"/>
      <c r="I53" s="75" t="s">
        <v>101</v>
      </c>
      <c r="J53" s="76"/>
      <c r="K53" s="139">
        <v>1</v>
      </c>
      <c r="L53" s="77" t="s">
        <v>63</v>
      </c>
      <c r="M53" s="78">
        <f t="shared" si="13"/>
        <v>704</v>
      </c>
      <c r="N53" s="79"/>
      <c r="O53" s="78"/>
      <c r="P53" s="80" t="s">
        <v>63</v>
      </c>
      <c r="Q53" s="443">
        <v>45996</v>
      </c>
      <c r="R53" s="78">
        <v>704</v>
      </c>
      <c r="S53" s="80" t="s">
        <v>63</v>
      </c>
      <c r="T53" s="84">
        <f t="shared" si="3"/>
        <v>0</v>
      </c>
      <c r="U53" s="82"/>
      <c r="V53" s="82"/>
      <c r="W53" s="83"/>
      <c r="X53" s="81"/>
      <c r="Y53" s="445" t="s">
        <v>94</v>
      </c>
      <c r="Z53" s="86"/>
      <c r="AA53" s="85"/>
      <c r="AB53" s="360" t="s">
        <v>210</v>
      </c>
    </row>
    <row r="54" spans="1:32" s="55" customFormat="1" ht="69.95" customHeight="1" x14ac:dyDescent="0.15">
      <c r="A54" s="559"/>
      <c r="B54" s="186">
        <f>$I$6</f>
        <v>503</v>
      </c>
      <c r="C54" s="395" t="str">
        <f>$A$6</f>
        <v>NA</v>
      </c>
      <c r="D54" s="396"/>
      <c r="E54" s="397"/>
      <c r="F54" s="428"/>
      <c r="G54" s="369"/>
      <c r="H54" s="370"/>
      <c r="I54" s="75" t="s">
        <v>101</v>
      </c>
      <c r="J54" s="76"/>
      <c r="K54" s="139">
        <v>1</v>
      </c>
      <c r="L54" s="77" t="s">
        <v>63</v>
      </c>
      <c r="M54" s="78">
        <f t="shared" si="13"/>
        <v>503</v>
      </c>
      <c r="N54" s="140"/>
      <c r="O54" s="78"/>
      <c r="P54" s="80" t="s">
        <v>63</v>
      </c>
      <c r="Q54" s="447"/>
      <c r="R54" s="78">
        <v>503</v>
      </c>
      <c r="S54" s="80" t="s">
        <v>63</v>
      </c>
      <c r="T54" s="81">
        <f t="shared" si="3"/>
        <v>0</v>
      </c>
      <c r="U54" s="82"/>
      <c r="V54" s="137"/>
      <c r="W54" s="78"/>
      <c r="X54" s="78"/>
      <c r="Y54" s="557"/>
      <c r="Z54" s="141"/>
      <c r="AA54" s="135"/>
      <c r="AB54" s="361"/>
      <c r="AC54" s="142"/>
      <c r="AD54" s="179"/>
      <c r="AE54" s="179"/>
      <c r="AF54" s="179"/>
    </row>
    <row r="55" spans="1:32" s="55" customFormat="1" ht="69.95" customHeight="1" x14ac:dyDescent="0.15">
      <c r="A55" s="432"/>
      <c r="B55" s="182">
        <f>$I$7</f>
        <v>0</v>
      </c>
      <c r="C55" s="461">
        <f>$A$7</f>
        <v>0</v>
      </c>
      <c r="D55" s="461"/>
      <c r="E55" s="461"/>
      <c r="F55" s="428"/>
      <c r="G55" s="369"/>
      <c r="H55" s="370"/>
      <c r="I55" s="75" t="s">
        <v>101</v>
      </c>
      <c r="J55" s="76"/>
      <c r="K55" s="139"/>
      <c r="L55" s="77" t="s">
        <v>63</v>
      </c>
      <c r="M55" s="78">
        <f t="shared" si="13"/>
        <v>0</v>
      </c>
      <c r="N55" s="140"/>
      <c r="O55" s="78"/>
      <c r="P55" s="80" t="s">
        <v>63</v>
      </c>
      <c r="Q55" s="444"/>
      <c r="R55" s="78"/>
      <c r="S55" s="80" t="s">
        <v>63</v>
      </c>
      <c r="T55" s="81">
        <f t="shared" si="3"/>
        <v>0</v>
      </c>
      <c r="U55" s="82"/>
      <c r="V55" s="137"/>
      <c r="W55" s="78"/>
      <c r="X55" s="78"/>
      <c r="Y55" s="446"/>
      <c r="Z55" s="141"/>
      <c r="AA55" s="135"/>
      <c r="AB55" s="362"/>
      <c r="AC55" s="142"/>
      <c r="AD55" s="179"/>
      <c r="AE55" s="179"/>
      <c r="AF55" s="179"/>
    </row>
    <row r="56" spans="1:32" s="55" customFormat="1" ht="69.95" customHeight="1" x14ac:dyDescent="0.15">
      <c r="A56" s="431" t="s">
        <v>103</v>
      </c>
      <c r="B56" s="182">
        <f t="shared" ref="B56" si="16">$I$5</f>
        <v>704</v>
      </c>
      <c r="C56" s="368" t="str">
        <f t="shared" ref="C56" si="17">$A$5</f>
        <v>BK</v>
      </c>
      <c r="D56" s="369"/>
      <c r="E56" s="370"/>
      <c r="F56" s="428"/>
      <c r="G56" s="429"/>
      <c r="H56" s="430"/>
      <c r="I56" s="75"/>
      <c r="J56" s="76"/>
      <c r="K56" s="139">
        <v>1</v>
      </c>
      <c r="L56" s="77" t="s">
        <v>65</v>
      </c>
      <c r="M56" s="78">
        <f t="shared" si="13"/>
        <v>704</v>
      </c>
      <c r="N56" s="79"/>
      <c r="O56" s="78"/>
      <c r="P56" s="80" t="s">
        <v>65</v>
      </c>
      <c r="Q56" s="443">
        <v>45996</v>
      </c>
      <c r="R56" s="78">
        <v>704</v>
      </c>
      <c r="S56" s="80" t="s">
        <v>65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210</v>
      </c>
    </row>
    <row r="57" spans="1:32" s="55" customFormat="1" ht="69.95" customHeight="1" x14ac:dyDescent="0.15">
      <c r="A57" s="559"/>
      <c r="B57" s="186">
        <f>$I$6</f>
        <v>503</v>
      </c>
      <c r="C57" s="368" t="str">
        <f>$A$6</f>
        <v>NA</v>
      </c>
      <c r="D57" s="369"/>
      <c r="E57" s="370"/>
      <c r="F57" s="428"/>
      <c r="G57" s="429"/>
      <c r="H57" s="430"/>
      <c r="I57" s="75"/>
      <c r="J57" s="76"/>
      <c r="K57" s="139">
        <v>1</v>
      </c>
      <c r="L57" s="77" t="s">
        <v>65</v>
      </c>
      <c r="M57" s="78">
        <f t="shared" si="13"/>
        <v>503</v>
      </c>
      <c r="N57" s="140"/>
      <c r="O57" s="78"/>
      <c r="P57" s="80" t="s">
        <v>65</v>
      </c>
      <c r="Q57" s="447"/>
      <c r="R57" s="78">
        <v>503</v>
      </c>
      <c r="S57" s="80" t="s">
        <v>65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368">
        <f>$A$7</f>
        <v>0</v>
      </c>
      <c r="D58" s="369"/>
      <c r="E58" s="370"/>
      <c r="F58" s="428"/>
      <c r="G58" s="429"/>
      <c r="H58" s="430"/>
      <c r="I58" s="75"/>
      <c r="J58" s="76"/>
      <c r="K58" s="139"/>
      <c r="L58" s="77" t="s">
        <v>65</v>
      </c>
      <c r="M58" s="78">
        <f t="shared" si="13"/>
        <v>0</v>
      </c>
      <c r="N58" s="140"/>
      <c r="O58" s="78"/>
      <c r="P58" s="80" t="s">
        <v>65</v>
      </c>
      <c r="Q58" s="444"/>
      <c r="R58" s="78"/>
      <c r="S58" s="80" t="s">
        <v>65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2"/>
      <c r="AC58" s="142"/>
      <c r="AD58" s="179"/>
      <c r="AE58" s="179"/>
      <c r="AF58" s="179"/>
    </row>
    <row r="59" spans="1:32" s="55" customFormat="1" ht="69.95" customHeight="1" x14ac:dyDescent="0.15">
      <c r="A59" s="431" t="s">
        <v>90</v>
      </c>
      <c r="B59" s="191">
        <f t="shared" si="14"/>
        <v>704</v>
      </c>
      <c r="C59" s="422" t="str">
        <f t="shared" si="15"/>
        <v>BK</v>
      </c>
      <c r="D59" s="423"/>
      <c r="E59" s="424"/>
      <c r="F59" s="425"/>
      <c r="G59" s="426"/>
      <c r="H59" s="427"/>
      <c r="I59" s="207" t="s">
        <v>79</v>
      </c>
      <c r="J59" s="192"/>
      <c r="K59" s="193">
        <v>1</v>
      </c>
      <c r="L59" s="194" t="s">
        <v>63</v>
      </c>
      <c r="M59" s="195">
        <f t="shared" si="13"/>
        <v>704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-704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55" customFormat="1" ht="69.95" customHeight="1" x14ac:dyDescent="0.15">
      <c r="A60" s="559"/>
      <c r="B60" s="204">
        <f>$I$6</f>
        <v>503</v>
      </c>
      <c r="C60" s="422" t="str">
        <f>$A$6</f>
        <v>NA</v>
      </c>
      <c r="D60" s="423"/>
      <c r="E60" s="424"/>
      <c r="F60" s="425"/>
      <c r="G60" s="426"/>
      <c r="H60" s="427"/>
      <c r="I60" s="207" t="s">
        <v>79</v>
      </c>
      <c r="J60" s="192"/>
      <c r="K60" s="193">
        <v>1</v>
      </c>
      <c r="L60" s="194" t="s">
        <v>63</v>
      </c>
      <c r="M60" s="195">
        <f t="shared" si="13"/>
        <v>503</v>
      </c>
      <c r="N60" s="233"/>
      <c r="O60" s="195"/>
      <c r="P60" s="197" t="s">
        <v>63</v>
      </c>
      <c r="Q60" s="561"/>
      <c r="R60" s="195"/>
      <c r="S60" s="197" t="s">
        <v>63</v>
      </c>
      <c r="T60" s="198">
        <f t="shared" si="3"/>
        <v>-503</v>
      </c>
      <c r="U60" s="199"/>
      <c r="V60" s="200"/>
      <c r="W60" s="195"/>
      <c r="X60" s="195"/>
      <c r="Y60" s="562"/>
      <c r="Z60" s="201"/>
      <c r="AA60" s="202"/>
      <c r="AB60" s="558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91">
        <f>$I$7</f>
        <v>0</v>
      </c>
      <c r="C61" s="465">
        <f>$A$7</f>
        <v>0</v>
      </c>
      <c r="D61" s="465"/>
      <c r="E61" s="465"/>
      <c r="F61" s="425"/>
      <c r="G61" s="426"/>
      <c r="H61" s="427"/>
      <c r="I61" s="207" t="s">
        <v>79</v>
      </c>
      <c r="J61" s="192"/>
      <c r="K61" s="193">
        <v>1</v>
      </c>
      <c r="L61" s="194" t="s">
        <v>63</v>
      </c>
      <c r="M61" s="195">
        <f t="shared" si="13"/>
        <v>0</v>
      </c>
      <c r="N61" s="233"/>
      <c r="O61" s="195"/>
      <c r="P61" s="197" t="s">
        <v>63</v>
      </c>
      <c r="Q61" s="436"/>
      <c r="R61" s="195"/>
      <c r="S61" s="197" t="s">
        <v>63</v>
      </c>
      <c r="T61" s="198">
        <f t="shared" si="3"/>
        <v>0</v>
      </c>
      <c r="U61" s="199"/>
      <c r="V61" s="200"/>
      <c r="W61" s="195"/>
      <c r="X61" s="195"/>
      <c r="Y61" s="438"/>
      <c r="Z61" s="201"/>
      <c r="AA61" s="202"/>
      <c r="AB61" s="440"/>
      <c r="AC61" s="142"/>
      <c r="AD61" s="179"/>
      <c r="AE61" s="179"/>
      <c r="AF61" s="179"/>
    </row>
    <row r="62" spans="1:32" s="55" customFormat="1" ht="69.95" customHeight="1" x14ac:dyDescent="0.15">
      <c r="A62" s="431" t="s">
        <v>91</v>
      </c>
      <c r="B62" s="182">
        <f t="shared" ref="B62" si="18">$I$5</f>
        <v>704</v>
      </c>
      <c r="C62" s="368" t="str">
        <f t="shared" ref="C62" si="19">$A$5</f>
        <v>BK</v>
      </c>
      <c r="D62" s="369"/>
      <c r="E62" s="370"/>
      <c r="F62" s="428"/>
      <c r="G62" s="429"/>
      <c r="H62" s="430"/>
      <c r="I62" s="75" t="s">
        <v>75</v>
      </c>
      <c r="J62" s="76"/>
      <c r="K62" s="139">
        <v>1</v>
      </c>
      <c r="L62" s="77" t="s">
        <v>63</v>
      </c>
      <c r="M62" s="78">
        <f t="shared" si="13"/>
        <v>704</v>
      </c>
      <c r="N62" s="79"/>
      <c r="O62" s="78"/>
      <c r="P62" s="80" t="s">
        <v>63</v>
      </c>
      <c r="Q62" s="443">
        <v>45996</v>
      </c>
      <c r="R62" s="78">
        <v>704</v>
      </c>
      <c r="S62" s="80" t="s">
        <v>63</v>
      </c>
      <c r="T62" s="84">
        <f t="shared" si="3"/>
        <v>0</v>
      </c>
      <c r="U62" s="82"/>
      <c r="V62" s="82"/>
      <c r="W62" s="83"/>
      <c r="X62" s="81"/>
      <c r="Y62" s="445" t="s">
        <v>64</v>
      </c>
      <c r="Z62" s="86"/>
      <c r="AA62" s="85"/>
      <c r="AB62" s="360" t="s">
        <v>210</v>
      </c>
    </row>
    <row r="63" spans="1:32" s="55" customFormat="1" ht="69.95" customHeight="1" x14ac:dyDescent="0.15">
      <c r="A63" s="559"/>
      <c r="B63" s="186">
        <f>$I$6</f>
        <v>503</v>
      </c>
      <c r="C63" s="368" t="str">
        <f>$A$6</f>
        <v>NA</v>
      </c>
      <c r="D63" s="369"/>
      <c r="E63" s="370"/>
      <c r="F63" s="428"/>
      <c r="G63" s="429"/>
      <c r="H63" s="430"/>
      <c r="I63" s="75" t="s">
        <v>75</v>
      </c>
      <c r="J63" s="76"/>
      <c r="K63" s="139">
        <v>1</v>
      </c>
      <c r="L63" s="77" t="s">
        <v>63</v>
      </c>
      <c r="M63" s="78">
        <f t="shared" si="13"/>
        <v>503</v>
      </c>
      <c r="N63" s="140"/>
      <c r="O63" s="78"/>
      <c r="P63" s="80" t="s">
        <v>63</v>
      </c>
      <c r="Q63" s="447"/>
      <c r="R63" s="78">
        <v>503</v>
      </c>
      <c r="S63" s="80" t="s">
        <v>63</v>
      </c>
      <c r="T63" s="81">
        <f t="shared" si="3"/>
        <v>0</v>
      </c>
      <c r="U63" s="82"/>
      <c r="V63" s="137"/>
      <c r="W63" s="78"/>
      <c r="X63" s="78"/>
      <c r="Y63" s="557"/>
      <c r="Z63" s="141"/>
      <c r="AA63" s="135"/>
      <c r="AB63" s="361"/>
      <c r="AC63" s="142"/>
      <c r="AD63" s="179"/>
      <c r="AE63" s="179"/>
      <c r="AF63" s="179"/>
    </row>
    <row r="64" spans="1:32" s="55" customFormat="1" ht="69.95" customHeight="1" x14ac:dyDescent="0.15">
      <c r="A64" s="432"/>
      <c r="B64" s="239">
        <f>$I$7</f>
        <v>0</v>
      </c>
      <c r="C64" s="456">
        <f>$A$7</f>
        <v>0</v>
      </c>
      <c r="D64" s="456"/>
      <c r="E64" s="456"/>
      <c r="F64" s="428"/>
      <c r="G64" s="429"/>
      <c r="H64" s="430"/>
      <c r="I64" s="75" t="s">
        <v>75</v>
      </c>
      <c r="J64" s="76"/>
      <c r="K64" s="139">
        <v>1</v>
      </c>
      <c r="L64" s="77" t="s">
        <v>63</v>
      </c>
      <c r="M64" s="78">
        <f t="shared" si="13"/>
        <v>0</v>
      </c>
      <c r="N64" s="140"/>
      <c r="O64" s="78"/>
      <c r="P64" s="80" t="s">
        <v>63</v>
      </c>
      <c r="Q64" s="444"/>
      <c r="R64" s="78"/>
      <c r="S64" s="80" t="s">
        <v>63</v>
      </c>
      <c r="T64" s="81">
        <f t="shared" si="3"/>
        <v>0</v>
      </c>
      <c r="U64" s="82"/>
      <c r="V64" s="137"/>
      <c r="W64" s="78"/>
      <c r="X64" s="78"/>
      <c r="Y64" s="446"/>
      <c r="Z64" s="141"/>
      <c r="AA64" s="135"/>
      <c r="AB64" s="362"/>
      <c r="AC64" s="142"/>
      <c r="AD64" s="179"/>
      <c r="AE64" s="179"/>
      <c r="AF64" s="179"/>
    </row>
    <row r="65" spans="1:32" s="55" customFormat="1" ht="69.95" customHeight="1" x14ac:dyDescent="0.15">
      <c r="A65" s="431" t="s">
        <v>141</v>
      </c>
      <c r="B65" s="191">
        <f t="shared" ref="B65" si="20">$I$5</f>
        <v>704</v>
      </c>
      <c r="C65" s="422" t="str">
        <f t="shared" ref="C65" si="21">$A$5</f>
        <v>BK</v>
      </c>
      <c r="D65" s="423"/>
      <c r="E65" s="424"/>
      <c r="F65" s="425"/>
      <c r="G65" s="426"/>
      <c r="H65" s="427"/>
      <c r="I65" s="433" t="s">
        <v>104</v>
      </c>
      <c r="J65" s="192"/>
      <c r="K65" s="209">
        <v>0.55000000000000004</v>
      </c>
      <c r="L65" s="194" t="s">
        <v>129</v>
      </c>
      <c r="M65" s="195">
        <f t="shared" si="13"/>
        <v>387.20000000000005</v>
      </c>
      <c r="N65" s="196"/>
      <c r="O65" s="195"/>
      <c r="P65" s="197" t="s">
        <v>63</v>
      </c>
      <c r="Q65" s="435"/>
      <c r="R65" s="195"/>
      <c r="S65" s="197" t="s">
        <v>63</v>
      </c>
      <c r="T65" s="205">
        <f t="shared" si="3"/>
        <v>-387.20000000000005</v>
      </c>
      <c r="U65" s="199"/>
      <c r="V65" s="199"/>
      <c r="W65" s="208"/>
      <c r="X65" s="198"/>
      <c r="Y65" s="437" t="s">
        <v>130</v>
      </c>
      <c r="Z65" s="231"/>
      <c r="AA65" s="232"/>
      <c r="AB65" s="439"/>
    </row>
    <row r="66" spans="1:32" s="55" customFormat="1" ht="69.95" customHeight="1" x14ac:dyDescent="0.15">
      <c r="A66" s="559"/>
      <c r="B66" s="204">
        <f>$I$6</f>
        <v>503</v>
      </c>
      <c r="C66" s="422" t="str">
        <f>$A$6</f>
        <v>NA</v>
      </c>
      <c r="D66" s="423"/>
      <c r="E66" s="424"/>
      <c r="F66" s="425"/>
      <c r="G66" s="426"/>
      <c r="H66" s="427"/>
      <c r="I66" s="560"/>
      <c r="J66" s="192"/>
      <c r="K66" s="209">
        <v>0.55000000000000004</v>
      </c>
      <c r="L66" s="194" t="s">
        <v>129</v>
      </c>
      <c r="M66" s="195">
        <f t="shared" si="13"/>
        <v>276.65000000000003</v>
      </c>
      <c r="N66" s="233"/>
      <c r="O66" s="195"/>
      <c r="P66" s="197" t="s">
        <v>63</v>
      </c>
      <c r="Q66" s="561"/>
      <c r="R66" s="195"/>
      <c r="S66" s="197" t="s">
        <v>63</v>
      </c>
      <c r="T66" s="198">
        <f t="shared" si="3"/>
        <v>-276.65000000000003</v>
      </c>
      <c r="U66" s="199"/>
      <c r="V66" s="200"/>
      <c r="W66" s="195"/>
      <c r="X66" s="195"/>
      <c r="Y66" s="562"/>
      <c r="Z66" s="201"/>
      <c r="AA66" s="202"/>
      <c r="AB66" s="558"/>
      <c r="AC66" s="142"/>
      <c r="AD66" s="179"/>
      <c r="AE66" s="179"/>
      <c r="AF66" s="179"/>
    </row>
    <row r="67" spans="1:32" s="55" customFormat="1" ht="69.95" customHeight="1" x14ac:dyDescent="0.15">
      <c r="A67" s="432"/>
      <c r="B67" s="191">
        <f>$I$7</f>
        <v>0</v>
      </c>
      <c r="C67" s="465">
        <f>$A$7</f>
        <v>0</v>
      </c>
      <c r="D67" s="465"/>
      <c r="E67" s="465"/>
      <c r="F67" s="425"/>
      <c r="G67" s="426"/>
      <c r="H67" s="427"/>
      <c r="I67" s="434"/>
      <c r="J67" s="192"/>
      <c r="K67" s="209">
        <v>0.55000000000000004</v>
      </c>
      <c r="L67" s="194" t="s">
        <v>129</v>
      </c>
      <c r="M67" s="195">
        <f t="shared" si="13"/>
        <v>0</v>
      </c>
      <c r="N67" s="233"/>
      <c r="O67" s="195"/>
      <c r="P67" s="197" t="s">
        <v>63</v>
      </c>
      <c r="Q67" s="436"/>
      <c r="R67" s="195"/>
      <c r="S67" s="197" t="s">
        <v>63</v>
      </c>
      <c r="T67" s="198">
        <f t="shared" si="3"/>
        <v>0</v>
      </c>
      <c r="U67" s="199"/>
      <c r="V67" s="200"/>
      <c r="W67" s="195"/>
      <c r="X67" s="195"/>
      <c r="Y67" s="438"/>
      <c r="Z67" s="201"/>
      <c r="AA67" s="202"/>
      <c r="AB67" s="440"/>
      <c r="AC67" s="142"/>
      <c r="AD67" s="179"/>
      <c r="AE67" s="179"/>
      <c r="AF67" s="179"/>
    </row>
    <row r="68" spans="1:32" s="206" customFormat="1" ht="69.95" customHeight="1" x14ac:dyDescent="0.15">
      <c r="A68" s="431" t="s">
        <v>120</v>
      </c>
      <c r="B68" s="191">
        <f t="shared" ref="B68" si="22">$I$5</f>
        <v>704</v>
      </c>
      <c r="C68" s="422" t="str">
        <f t="shared" ref="C68" si="23">$A$5</f>
        <v>BK</v>
      </c>
      <c r="D68" s="423"/>
      <c r="E68" s="424"/>
      <c r="F68" s="425"/>
      <c r="G68" s="426"/>
      <c r="H68" s="427"/>
      <c r="I68" s="433" t="s">
        <v>75</v>
      </c>
      <c r="J68" s="192"/>
      <c r="K68" s="193">
        <v>2</v>
      </c>
      <c r="L68" s="194" t="s">
        <v>63</v>
      </c>
      <c r="M68" s="195">
        <f t="shared" si="4"/>
        <v>1408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3"/>
        <v>-1408</v>
      </c>
      <c r="U68" s="199"/>
      <c r="V68" s="199"/>
      <c r="W68" s="208"/>
      <c r="X68" s="198"/>
      <c r="Y68" s="437" t="s">
        <v>64</v>
      </c>
      <c r="Z68" s="231"/>
      <c r="AA68" s="232"/>
      <c r="AB68" s="439"/>
    </row>
    <row r="69" spans="1:32" s="206" customFormat="1" ht="69.95" customHeight="1" x14ac:dyDescent="0.15">
      <c r="A69" s="559"/>
      <c r="B69" s="204">
        <f>$I$6</f>
        <v>503</v>
      </c>
      <c r="C69" s="422" t="str">
        <f>$A$6</f>
        <v>NA</v>
      </c>
      <c r="D69" s="423"/>
      <c r="E69" s="424"/>
      <c r="F69" s="425"/>
      <c r="G69" s="426"/>
      <c r="H69" s="427"/>
      <c r="I69" s="560"/>
      <c r="J69" s="192"/>
      <c r="K69" s="193">
        <v>2</v>
      </c>
      <c r="L69" s="194" t="s">
        <v>63</v>
      </c>
      <c r="M69" s="195">
        <f t="shared" si="4"/>
        <v>1006</v>
      </c>
      <c r="N69" s="233"/>
      <c r="O69" s="195"/>
      <c r="P69" s="197" t="s">
        <v>63</v>
      </c>
      <c r="Q69" s="561"/>
      <c r="R69" s="195"/>
      <c r="S69" s="197" t="s">
        <v>63</v>
      </c>
      <c r="T69" s="198">
        <f t="shared" si="3"/>
        <v>-1006</v>
      </c>
      <c r="U69" s="199"/>
      <c r="V69" s="200"/>
      <c r="W69" s="195"/>
      <c r="X69" s="195"/>
      <c r="Y69" s="562"/>
      <c r="Z69" s="201"/>
      <c r="AA69" s="202"/>
      <c r="AB69" s="558"/>
      <c r="AC69" s="234"/>
      <c r="AD69" s="230"/>
      <c r="AE69" s="230"/>
      <c r="AF69" s="230"/>
    </row>
    <row r="70" spans="1:32" s="206" customFormat="1" ht="69.95" customHeight="1" x14ac:dyDescent="0.15">
      <c r="A70" s="432"/>
      <c r="B70" s="191">
        <f>$I$7</f>
        <v>0</v>
      </c>
      <c r="C70" s="465">
        <f>$A$7</f>
        <v>0</v>
      </c>
      <c r="D70" s="465"/>
      <c r="E70" s="465"/>
      <c r="F70" s="425"/>
      <c r="G70" s="426"/>
      <c r="H70" s="427"/>
      <c r="I70" s="434"/>
      <c r="J70" s="192"/>
      <c r="K70" s="193">
        <v>2</v>
      </c>
      <c r="L70" s="194" t="s">
        <v>63</v>
      </c>
      <c r="M70" s="195">
        <f t="shared" si="4"/>
        <v>0</v>
      </c>
      <c r="N70" s="233"/>
      <c r="O70" s="195"/>
      <c r="P70" s="197" t="s">
        <v>63</v>
      </c>
      <c r="Q70" s="436"/>
      <c r="R70" s="195"/>
      <c r="S70" s="197" t="s">
        <v>63</v>
      </c>
      <c r="T70" s="198">
        <f t="shared" si="3"/>
        <v>0</v>
      </c>
      <c r="U70" s="199"/>
      <c r="V70" s="200"/>
      <c r="W70" s="195"/>
      <c r="X70" s="195"/>
      <c r="Y70" s="438"/>
      <c r="Z70" s="201"/>
      <c r="AA70" s="202"/>
      <c r="AB70" s="440"/>
      <c r="AC70" s="234"/>
      <c r="AD70" s="230"/>
      <c r="AE70" s="230"/>
      <c r="AF70" s="230"/>
    </row>
    <row r="71" spans="1:32" s="176" customFormat="1" ht="54.95" customHeight="1" x14ac:dyDescent="0.15">
      <c r="A71" s="386" t="s">
        <v>66</v>
      </c>
      <c r="B71" s="164">
        <f>C11</f>
        <v>503</v>
      </c>
      <c r="C71" s="407" t="e">
        <f>#REF!</f>
        <v>#REF!</v>
      </c>
      <c r="D71" s="408"/>
      <c r="E71" s="409"/>
      <c r="F71" s="371"/>
      <c r="G71" s="372"/>
      <c r="H71" s="373"/>
      <c r="I71" s="276"/>
      <c r="J71" s="255"/>
      <c r="K71" s="263">
        <v>1</v>
      </c>
      <c r="L71" s="168" t="s">
        <v>63</v>
      </c>
      <c r="M71" s="169">
        <f t="shared" si="4"/>
        <v>503</v>
      </c>
      <c r="N71" s="171"/>
      <c r="O71" s="277"/>
      <c r="P71" s="169" t="s">
        <v>63</v>
      </c>
      <c r="Q71" s="376">
        <v>45996</v>
      </c>
      <c r="R71" s="277">
        <v>503</v>
      </c>
      <c r="S71" s="169" t="s">
        <v>63</v>
      </c>
      <c r="T71" s="278">
        <f t="shared" si="3"/>
        <v>0</v>
      </c>
      <c r="U71" s="279"/>
      <c r="V71" s="280"/>
      <c r="W71" s="278"/>
      <c r="X71" s="278"/>
      <c r="Y71" s="374" t="s">
        <v>72</v>
      </c>
      <c r="Z71" s="374"/>
      <c r="AA71" s="374"/>
      <c r="AB71" s="404" t="s">
        <v>210</v>
      </c>
    </row>
    <row r="72" spans="1:32" s="176" customFormat="1" ht="54.95" customHeight="1" x14ac:dyDescent="0.15">
      <c r="A72" s="387"/>
      <c r="B72" s="164">
        <f>D11</f>
        <v>520</v>
      </c>
      <c r="C72" s="410"/>
      <c r="D72" s="411"/>
      <c r="E72" s="412"/>
      <c r="F72" s="371"/>
      <c r="G72" s="372"/>
      <c r="H72" s="373"/>
      <c r="I72" s="276"/>
      <c r="J72" s="255"/>
      <c r="K72" s="167">
        <v>1</v>
      </c>
      <c r="L72" s="168" t="s">
        <v>63</v>
      </c>
      <c r="M72" s="169">
        <f t="shared" si="4"/>
        <v>520</v>
      </c>
      <c r="N72" s="171"/>
      <c r="O72" s="277"/>
      <c r="P72" s="169" t="s">
        <v>63</v>
      </c>
      <c r="Q72" s="377"/>
      <c r="R72" s="277">
        <v>520</v>
      </c>
      <c r="S72" s="169" t="s">
        <v>63</v>
      </c>
      <c r="T72" s="278">
        <f t="shared" si="3"/>
        <v>0</v>
      </c>
      <c r="U72" s="279"/>
      <c r="V72" s="280"/>
      <c r="W72" s="278"/>
      <c r="X72" s="278"/>
      <c r="Y72" s="375"/>
      <c r="Z72" s="375"/>
      <c r="AA72" s="375"/>
      <c r="AB72" s="405"/>
    </row>
    <row r="73" spans="1:32" s="176" customFormat="1" ht="54.95" customHeight="1" x14ac:dyDescent="0.15">
      <c r="A73" s="387"/>
      <c r="B73" s="164">
        <f>E11</f>
        <v>184</v>
      </c>
      <c r="C73" s="410"/>
      <c r="D73" s="411"/>
      <c r="E73" s="412"/>
      <c r="F73" s="371"/>
      <c r="G73" s="372"/>
      <c r="H73" s="373"/>
      <c r="I73" s="276"/>
      <c r="J73" s="255"/>
      <c r="K73" s="167">
        <v>1</v>
      </c>
      <c r="L73" s="168" t="s">
        <v>63</v>
      </c>
      <c r="M73" s="169">
        <f t="shared" si="4"/>
        <v>184</v>
      </c>
      <c r="N73" s="171"/>
      <c r="O73" s="277"/>
      <c r="P73" s="169" t="s">
        <v>63</v>
      </c>
      <c r="Q73" s="377"/>
      <c r="R73" s="277">
        <v>184</v>
      </c>
      <c r="S73" s="169" t="s">
        <v>63</v>
      </c>
      <c r="T73" s="278">
        <f t="shared" si="3"/>
        <v>0</v>
      </c>
      <c r="U73" s="279"/>
      <c r="V73" s="280"/>
      <c r="W73" s="278"/>
      <c r="X73" s="278"/>
      <c r="Y73" s="375"/>
      <c r="Z73" s="375"/>
      <c r="AA73" s="375"/>
      <c r="AB73" s="405"/>
    </row>
    <row r="74" spans="1:32" s="176" customFormat="1" ht="54.95" customHeight="1" x14ac:dyDescent="0.15">
      <c r="A74" s="387"/>
      <c r="B74" s="164">
        <f>F11</f>
        <v>0</v>
      </c>
      <c r="C74" s="410"/>
      <c r="D74" s="411"/>
      <c r="E74" s="412"/>
      <c r="F74" s="371"/>
      <c r="G74" s="372"/>
      <c r="H74" s="373"/>
      <c r="I74" s="276"/>
      <c r="J74" s="255"/>
      <c r="K74" s="167">
        <v>1</v>
      </c>
      <c r="L74" s="168" t="s">
        <v>63</v>
      </c>
      <c r="M74" s="169">
        <f t="shared" si="4"/>
        <v>0</v>
      </c>
      <c r="N74" s="171"/>
      <c r="O74" s="277"/>
      <c r="P74" s="169" t="s">
        <v>63</v>
      </c>
      <c r="Q74" s="377"/>
      <c r="R74" s="277"/>
      <c r="S74" s="169" t="s">
        <v>63</v>
      </c>
      <c r="T74" s="278">
        <f t="shared" si="3"/>
        <v>0</v>
      </c>
      <c r="U74" s="279"/>
      <c r="V74" s="280"/>
      <c r="W74" s="278"/>
      <c r="X74" s="278"/>
      <c r="Y74" s="375"/>
      <c r="Z74" s="375"/>
      <c r="AA74" s="375"/>
      <c r="AB74" s="405"/>
    </row>
    <row r="75" spans="1:32" s="176" customFormat="1" ht="54.95" customHeight="1" x14ac:dyDescent="0.15">
      <c r="A75" s="388"/>
      <c r="B75" s="164">
        <f>G11</f>
        <v>0</v>
      </c>
      <c r="C75" s="413"/>
      <c r="D75" s="414"/>
      <c r="E75" s="415"/>
      <c r="F75" s="371"/>
      <c r="G75" s="372"/>
      <c r="H75" s="373"/>
      <c r="I75" s="276"/>
      <c r="J75" s="255"/>
      <c r="K75" s="167">
        <v>1</v>
      </c>
      <c r="L75" s="168" t="s">
        <v>63</v>
      </c>
      <c r="M75" s="169">
        <f t="shared" si="4"/>
        <v>0</v>
      </c>
      <c r="N75" s="171"/>
      <c r="O75" s="277"/>
      <c r="P75" s="169" t="s">
        <v>63</v>
      </c>
      <c r="Q75" s="378"/>
      <c r="R75" s="277"/>
      <c r="S75" s="169" t="s">
        <v>63</v>
      </c>
      <c r="T75" s="278">
        <f t="shared" si="3"/>
        <v>0</v>
      </c>
      <c r="U75" s="279"/>
      <c r="V75" s="280"/>
      <c r="W75" s="278"/>
      <c r="X75" s="278"/>
      <c r="Y75" s="379"/>
      <c r="Z75" s="379"/>
      <c r="AA75" s="379"/>
      <c r="AB75" s="406"/>
    </row>
    <row r="76" spans="1:32" s="176" customFormat="1" ht="54.95" customHeight="1" x14ac:dyDescent="0.15">
      <c r="A76" s="386" t="s">
        <v>68</v>
      </c>
      <c r="B76" s="164">
        <f>C5+C8</f>
        <v>280</v>
      </c>
      <c r="C76" s="456" t="str">
        <f>A5</f>
        <v>BK</v>
      </c>
      <c r="D76" s="456"/>
      <c r="E76" s="456"/>
      <c r="F76" s="371"/>
      <c r="G76" s="372"/>
      <c r="H76" s="373"/>
      <c r="I76" s="276"/>
      <c r="J76" s="276"/>
      <c r="K76" s="167">
        <v>1</v>
      </c>
      <c r="L76" s="168" t="s">
        <v>63</v>
      </c>
      <c r="M76" s="169">
        <f t="shared" si="4"/>
        <v>280</v>
      </c>
      <c r="N76" s="171"/>
      <c r="O76" s="277"/>
      <c r="P76" s="169" t="s">
        <v>63</v>
      </c>
      <c r="Q76" s="376">
        <v>45996</v>
      </c>
      <c r="R76" s="277">
        <v>280</v>
      </c>
      <c r="S76" s="169" t="s">
        <v>63</v>
      </c>
      <c r="T76" s="278">
        <f t="shared" si="3"/>
        <v>0</v>
      </c>
      <c r="U76" s="281"/>
      <c r="V76" s="282"/>
      <c r="W76" s="278"/>
      <c r="X76" s="278"/>
      <c r="Y76" s="374" t="s">
        <v>72</v>
      </c>
      <c r="Z76" s="374"/>
      <c r="AA76" s="374"/>
      <c r="AB76" s="586" t="s">
        <v>210</v>
      </c>
    </row>
    <row r="77" spans="1:32" s="176" customFormat="1" ht="54.95" customHeight="1" x14ac:dyDescent="0.15">
      <c r="A77" s="387"/>
      <c r="B77" s="164">
        <f>D5+D8</f>
        <v>290</v>
      </c>
      <c r="C77" s="456"/>
      <c r="D77" s="456"/>
      <c r="E77" s="456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290</v>
      </c>
      <c r="N77" s="171"/>
      <c r="O77" s="277"/>
      <c r="P77" s="169" t="s">
        <v>63</v>
      </c>
      <c r="Q77" s="377"/>
      <c r="R77" s="277">
        <v>290</v>
      </c>
      <c r="S77" s="169" t="s">
        <v>63</v>
      </c>
      <c r="T77" s="278">
        <f t="shared" si="3"/>
        <v>0</v>
      </c>
      <c r="U77" s="281"/>
      <c r="V77" s="282"/>
      <c r="W77" s="278"/>
      <c r="X77" s="278"/>
      <c r="Y77" s="375"/>
      <c r="Z77" s="375"/>
      <c r="AA77" s="375"/>
      <c r="AB77" s="587"/>
    </row>
    <row r="78" spans="1:32" s="176" customFormat="1" ht="54.95" customHeight="1" x14ac:dyDescent="0.15">
      <c r="A78" s="387"/>
      <c r="B78" s="164">
        <f>E5+E8</f>
        <v>134</v>
      </c>
      <c r="C78" s="456"/>
      <c r="D78" s="456"/>
      <c r="E78" s="456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134</v>
      </c>
      <c r="N78" s="171"/>
      <c r="O78" s="277"/>
      <c r="P78" s="169" t="s">
        <v>63</v>
      </c>
      <c r="Q78" s="377"/>
      <c r="R78" s="277">
        <v>134</v>
      </c>
      <c r="S78" s="169" t="s">
        <v>63</v>
      </c>
      <c r="T78" s="278">
        <f t="shared" si="3"/>
        <v>0</v>
      </c>
      <c r="U78" s="281"/>
      <c r="V78" s="282"/>
      <c r="W78" s="278"/>
      <c r="X78" s="278"/>
      <c r="Y78" s="375"/>
      <c r="Z78" s="375"/>
      <c r="AA78" s="375"/>
      <c r="AB78" s="587"/>
    </row>
    <row r="79" spans="1:32" s="176" customFormat="1" ht="54.95" customHeight="1" x14ac:dyDescent="0.15">
      <c r="A79" s="387"/>
      <c r="B79" s="164">
        <f>C6+C9</f>
        <v>223</v>
      </c>
      <c r="C79" s="456" t="str">
        <f>A6</f>
        <v>NA</v>
      </c>
      <c r="D79" s="456"/>
      <c r="E79" s="456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223</v>
      </c>
      <c r="N79" s="171"/>
      <c r="O79" s="277"/>
      <c r="P79" s="169" t="s">
        <v>63</v>
      </c>
      <c r="Q79" s="377"/>
      <c r="R79" s="168">
        <v>223</v>
      </c>
      <c r="S79" s="169" t="s">
        <v>63</v>
      </c>
      <c r="T79" s="278">
        <f t="shared" si="3"/>
        <v>0</v>
      </c>
      <c r="U79" s="281"/>
      <c r="V79" s="282"/>
      <c r="W79" s="278"/>
      <c r="X79" s="278"/>
      <c r="Y79" s="375"/>
      <c r="Z79" s="375"/>
      <c r="AA79" s="375"/>
      <c r="AB79" s="587"/>
    </row>
    <row r="80" spans="1:32" s="176" customFormat="1" ht="54.95" customHeight="1" x14ac:dyDescent="0.15">
      <c r="A80" s="387"/>
      <c r="B80" s="164">
        <f>D6+D9</f>
        <v>230</v>
      </c>
      <c r="C80" s="456"/>
      <c r="D80" s="456"/>
      <c r="E80" s="456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ref="M80:M100" si="24">K80*B80</f>
        <v>230</v>
      </c>
      <c r="N80" s="171"/>
      <c r="O80" s="277"/>
      <c r="P80" s="169" t="s">
        <v>63</v>
      </c>
      <c r="Q80" s="377"/>
      <c r="R80" s="168">
        <v>230</v>
      </c>
      <c r="S80" s="169" t="s">
        <v>63</v>
      </c>
      <c r="T80" s="278">
        <f t="shared" si="3"/>
        <v>0</v>
      </c>
      <c r="U80" s="281"/>
      <c r="V80" s="282"/>
      <c r="W80" s="278"/>
      <c r="X80" s="278"/>
      <c r="Y80" s="375"/>
      <c r="Z80" s="375"/>
      <c r="AA80" s="375"/>
      <c r="AB80" s="587"/>
    </row>
    <row r="81" spans="1:28" s="176" customFormat="1" ht="54.95" customHeight="1" x14ac:dyDescent="0.15">
      <c r="A81" s="387"/>
      <c r="B81" s="164">
        <f>E6+E9</f>
        <v>50</v>
      </c>
      <c r="C81" s="456"/>
      <c r="D81" s="456"/>
      <c r="E81" s="456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24"/>
        <v>50</v>
      </c>
      <c r="N81" s="171"/>
      <c r="O81" s="277"/>
      <c r="P81" s="169" t="s">
        <v>63</v>
      </c>
      <c r="Q81" s="377"/>
      <c r="R81" s="277">
        <v>50</v>
      </c>
      <c r="S81" s="169" t="s">
        <v>63</v>
      </c>
      <c r="T81" s="278">
        <f>R81-M81</f>
        <v>0</v>
      </c>
      <c r="U81" s="281"/>
      <c r="V81" s="282"/>
      <c r="W81" s="278"/>
      <c r="X81" s="278"/>
      <c r="Y81" s="375"/>
      <c r="Z81" s="375"/>
      <c r="AA81" s="375"/>
      <c r="AB81" s="587"/>
    </row>
    <row r="82" spans="1:28" s="176" customFormat="1" ht="54.95" customHeight="1" x14ac:dyDescent="0.15">
      <c r="A82" s="387"/>
      <c r="B82" s="164">
        <f>C7+C10</f>
        <v>0</v>
      </c>
      <c r="C82" s="456">
        <f>A7</f>
        <v>0</v>
      </c>
      <c r="D82" s="456"/>
      <c r="E82" s="456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24"/>
        <v>0</v>
      </c>
      <c r="N82" s="171"/>
      <c r="O82" s="277"/>
      <c r="P82" s="169" t="s">
        <v>63</v>
      </c>
      <c r="Q82" s="377"/>
      <c r="R82" s="277"/>
      <c r="S82" s="169" t="s">
        <v>63</v>
      </c>
      <c r="T82" s="278">
        <f>R82-M82</f>
        <v>0</v>
      </c>
      <c r="U82" s="281"/>
      <c r="V82" s="282"/>
      <c r="W82" s="278"/>
      <c r="X82" s="278"/>
      <c r="Y82" s="375"/>
      <c r="Z82" s="375"/>
      <c r="AA82" s="375"/>
      <c r="AB82" s="587"/>
    </row>
    <row r="83" spans="1:28" s="176" customFormat="1" ht="54.95" customHeight="1" x14ac:dyDescent="0.15">
      <c r="A83" s="387"/>
      <c r="B83" s="164">
        <f>D7+D10</f>
        <v>0</v>
      </c>
      <c r="C83" s="456"/>
      <c r="D83" s="456"/>
      <c r="E83" s="456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24"/>
        <v>0</v>
      </c>
      <c r="N83" s="171"/>
      <c r="O83" s="277"/>
      <c r="P83" s="169" t="s">
        <v>63</v>
      </c>
      <c r="Q83" s="377"/>
      <c r="R83" s="277"/>
      <c r="S83" s="169" t="s">
        <v>63</v>
      </c>
      <c r="T83" s="278">
        <f>R83-M83</f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8"/>
      <c r="B84" s="164">
        <f>E7+E10</f>
        <v>0</v>
      </c>
      <c r="C84" s="456"/>
      <c r="D84" s="456"/>
      <c r="E84" s="456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24"/>
        <v>0</v>
      </c>
      <c r="N84" s="171"/>
      <c r="O84" s="277"/>
      <c r="P84" s="169" t="s">
        <v>63</v>
      </c>
      <c r="Q84" s="378"/>
      <c r="R84" s="168"/>
      <c r="S84" s="169" t="s">
        <v>63</v>
      </c>
      <c r="T84" s="278">
        <f>R84-M84</f>
        <v>0</v>
      </c>
      <c r="U84" s="281"/>
      <c r="V84" s="282"/>
      <c r="W84" s="278"/>
      <c r="X84" s="278"/>
      <c r="Y84" s="379"/>
      <c r="Z84" s="379"/>
      <c r="AA84" s="379"/>
      <c r="AB84" s="588"/>
    </row>
    <row r="85" spans="1:28" s="176" customFormat="1" ht="54.95" customHeight="1" x14ac:dyDescent="0.15">
      <c r="A85" s="386" t="s">
        <v>158</v>
      </c>
      <c r="B85" s="164">
        <f>C5</f>
        <v>280</v>
      </c>
      <c r="C85" s="456" t="str">
        <f>A5</f>
        <v>BK</v>
      </c>
      <c r="D85" s="456"/>
      <c r="E85" s="456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24"/>
        <v>280</v>
      </c>
      <c r="N85" s="171"/>
      <c r="O85" s="277"/>
      <c r="P85" s="169" t="s">
        <v>63</v>
      </c>
      <c r="Q85" s="376">
        <v>46045</v>
      </c>
      <c r="R85" s="277">
        <v>280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4" t="s">
        <v>67</v>
      </c>
      <c r="Z85" s="374"/>
      <c r="AA85" s="374"/>
      <c r="AB85" s="586" t="s">
        <v>243</v>
      </c>
    </row>
    <row r="86" spans="1:28" s="176" customFormat="1" ht="54.95" customHeight="1" x14ac:dyDescent="0.15">
      <c r="A86" s="387"/>
      <c r="B86" s="164">
        <f>D5</f>
        <v>290</v>
      </c>
      <c r="C86" s="456"/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24"/>
        <v>290</v>
      </c>
      <c r="N86" s="171"/>
      <c r="O86" s="277"/>
      <c r="P86" s="169" t="s">
        <v>63</v>
      </c>
      <c r="Q86" s="377"/>
      <c r="R86" s="277">
        <v>290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E5</f>
        <v>134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24"/>
        <v>134</v>
      </c>
      <c r="N87" s="171"/>
      <c r="O87" s="277"/>
      <c r="P87" s="169" t="s">
        <v>63</v>
      </c>
      <c r="Q87" s="377"/>
      <c r="R87" s="277">
        <v>134</v>
      </c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C6</f>
        <v>223</v>
      </c>
      <c r="C88" s="456" t="str">
        <f>A6</f>
        <v>NA</v>
      </c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24"/>
        <v>223</v>
      </c>
      <c r="N88" s="171"/>
      <c r="O88" s="277"/>
      <c r="P88" s="169" t="s">
        <v>63</v>
      </c>
      <c r="Q88" s="377"/>
      <c r="R88" s="168">
        <v>223</v>
      </c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D6</f>
        <v>230</v>
      </c>
      <c r="C89" s="456"/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24"/>
        <v>230</v>
      </c>
      <c r="N89" s="171"/>
      <c r="O89" s="277"/>
      <c r="P89" s="169" t="s">
        <v>63</v>
      </c>
      <c r="Q89" s="377"/>
      <c r="R89" s="168">
        <v>230</v>
      </c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7"/>
      <c r="B90" s="164">
        <f>E6</f>
        <v>50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24"/>
        <v>50</v>
      </c>
      <c r="N90" s="171"/>
      <c r="O90" s="277"/>
      <c r="P90" s="169" t="s">
        <v>63</v>
      </c>
      <c r="Q90" s="377"/>
      <c r="R90" s="277">
        <v>50</v>
      </c>
      <c r="S90" s="169" t="s">
        <v>63</v>
      </c>
      <c r="T90" s="278">
        <f t="shared" si="3"/>
        <v>0</v>
      </c>
      <c r="U90" s="281"/>
      <c r="V90" s="282"/>
      <c r="W90" s="278"/>
      <c r="X90" s="278"/>
      <c r="Y90" s="374" t="s">
        <v>67</v>
      </c>
      <c r="Z90" s="374"/>
      <c r="AA90" s="374"/>
      <c r="AB90" s="587"/>
    </row>
    <row r="91" spans="1:28" s="176" customFormat="1" ht="54.95" customHeight="1" x14ac:dyDescent="0.15">
      <c r="A91" s="387"/>
      <c r="B91" s="164">
        <f>C7</f>
        <v>0</v>
      </c>
      <c r="C91" s="456">
        <f>A7</f>
        <v>0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4"/>
        <v>0</v>
      </c>
      <c r="N91" s="171"/>
      <c r="O91" s="277"/>
      <c r="P91" s="169" t="s">
        <v>63</v>
      </c>
      <c r="Q91" s="377"/>
      <c r="R91" s="277"/>
      <c r="S91" s="169" t="s">
        <v>63</v>
      </c>
      <c r="T91" s="278">
        <f t="shared" si="3"/>
        <v>0</v>
      </c>
      <c r="U91" s="281"/>
      <c r="V91" s="282"/>
      <c r="W91" s="278"/>
      <c r="X91" s="278"/>
      <c r="Y91" s="375"/>
      <c r="Z91" s="375"/>
      <c r="AA91" s="375"/>
      <c r="AB91" s="587"/>
    </row>
    <row r="92" spans="1:28" s="176" customFormat="1" ht="54.95" customHeight="1" x14ac:dyDescent="0.15">
      <c r="A92" s="387"/>
      <c r="B92" s="164">
        <f>D7</f>
        <v>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4"/>
        <v>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 t="shared" si="3"/>
        <v>0</v>
      </c>
      <c r="U92" s="281"/>
      <c r="V92" s="282"/>
      <c r="W92" s="278"/>
      <c r="X92" s="278"/>
      <c r="Y92" s="375"/>
      <c r="Z92" s="375"/>
      <c r="AA92" s="375"/>
      <c r="AB92" s="587"/>
    </row>
    <row r="93" spans="1:28" s="176" customFormat="1" ht="54.95" customHeight="1" x14ac:dyDescent="0.15">
      <c r="A93" s="387"/>
      <c r="B93" s="164">
        <f>E7</f>
        <v>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4"/>
        <v>0</v>
      </c>
      <c r="N93" s="171"/>
      <c r="O93" s="277"/>
      <c r="P93" s="169" t="s">
        <v>63</v>
      </c>
      <c r="Q93" s="378"/>
      <c r="R93" s="168"/>
      <c r="S93" s="169" t="s">
        <v>63</v>
      </c>
      <c r="T93" s="278">
        <f t="shared" si="3"/>
        <v>0</v>
      </c>
      <c r="U93" s="281"/>
      <c r="V93" s="282"/>
      <c r="W93" s="278"/>
      <c r="X93" s="278"/>
      <c r="Y93" s="375"/>
      <c r="Z93" s="375"/>
      <c r="AA93" s="375"/>
      <c r="AB93" s="588"/>
    </row>
    <row r="94" spans="1:28" s="55" customFormat="1" ht="54.95" customHeight="1" x14ac:dyDescent="0.15">
      <c r="A94" s="386" t="s">
        <v>159</v>
      </c>
      <c r="B94" s="87">
        <f>C11</f>
        <v>503</v>
      </c>
      <c r="C94" s="389" t="s">
        <v>71</v>
      </c>
      <c r="D94" s="390"/>
      <c r="E94" s="391"/>
      <c r="F94" s="368"/>
      <c r="G94" s="369"/>
      <c r="H94" s="370"/>
      <c r="I94" s="152"/>
      <c r="J94" s="90"/>
      <c r="K94" s="156">
        <v>1</v>
      </c>
      <c r="L94" s="77" t="s">
        <v>63</v>
      </c>
      <c r="M94" s="88">
        <f t="shared" si="24"/>
        <v>503</v>
      </c>
      <c r="N94" s="89"/>
      <c r="O94" s="153"/>
      <c r="P94" s="88" t="s">
        <v>63</v>
      </c>
      <c r="Q94" s="398">
        <v>45996</v>
      </c>
      <c r="R94" s="93">
        <v>503</v>
      </c>
      <c r="S94" s="88" t="s">
        <v>63</v>
      </c>
      <c r="T94" s="154">
        <f t="shared" si="3"/>
        <v>0</v>
      </c>
      <c r="U94" s="91"/>
      <c r="V94" s="159"/>
      <c r="W94" s="159"/>
      <c r="X94" s="159"/>
      <c r="Y94" s="401" t="s">
        <v>94</v>
      </c>
      <c r="Z94" s="416"/>
      <c r="AA94" s="416"/>
      <c r="AB94" s="419" t="s">
        <v>210</v>
      </c>
    </row>
    <row r="95" spans="1:28" s="55" customFormat="1" ht="54.95" customHeight="1" x14ac:dyDescent="0.15">
      <c r="A95" s="387"/>
      <c r="B95" s="87">
        <f>D11</f>
        <v>520</v>
      </c>
      <c r="C95" s="392"/>
      <c r="D95" s="393"/>
      <c r="E95" s="394"/>
      <c r="F95" s="368"/>
      <c r="G95" s="369"/>
      <c r="H95" s="370"/>
      <c r="I95" s="152"/>
      <c r="J95" s="90"/>
      <c r="K95" s="156">
        <v>1</v>
      </c>
      <c r="L95" s="77" t="s">
        <v>63</v>
      </c>
      <c r="M95" s="88">
        <f t="shared" si="24"/>
        <v>520</v>
      </c>
      <c r="N95" s="89"/>
      <c r="O95" s="153"/>
      <c r="P95" s="88" t="s">
        <v>63</v>
      </c>
      <c r="Q95" s="399"/>
      <c r="R95" s="93">
        <v>520</v>
      </c>
      <c r="S95" s="88" t="s">
        <v>63</v>
      </c>
      <c r="T95" s="154">
        <f t="shared" si="3"/>
        <v>0</v>
      </c>
      <c r="U95" s="91"/>
      <c r="V95" s="159"/>
      <c r="W95" s="159"/>
      <c r="X95" s="159"/>
      <c r="Y95" s="402"/>
      <c r="Z95" s="417"/>
      <c r="AA95" s="417"/>
      <c r="AB95" s="420"/>
    </row>
    <row r="96" spans="1:28" s="55" customFormat="1" ht="54.95" customHeight="1" x14ac:dyDescent="0.15">
      <c r="A96" s="387"/>
      <c r="B96" s="87">
        <f>E11</f>
        <v>184</v>
      </c>
      <c r="C96" s="392"/>
      <c r="D96" s="393"/>
      <c r="E96" s="394"/>
      <c r="F96" s="368"/>
      <c r="G96" s="369"/>
      <c r="H96" s="370"/>
      <c r="I96" s="152"/>
      <c r="J96" s="90"/>
      <c r="K96" s="156">
        <v>1</v>
      </c>
      <c r="L96" s="77" t="s">
        <v>63</v>
      </c>
      <c r="M96" s="88">
        <f t="shared" si="24"/>
        <v>184</v>
      </c>
      <c r="N96" s="89"/>
      <c r="O96" s="153"/>
      <c r="P96" s="88" t="s">
        <v>63</v>
      </c>
      <c r="Q96" s="399"/>
      <c r="R96" s="93"/>
      <c r="S96" s="88" t="s">
        <v>63</v>
      </c>
      <c r="T96" s="154">
        <f t="shared" si="3"/>
        <v>-184</v>
      </c>
      <c r="U96" s="91"/>
      <c r="V96" s="159"/>
      <c r="W96" s="159"/>
      <c r="X96" s="159"/>
      <c r="Y96" s="402"/>
      <c r="Z96" s="417"/>
      <c r="AA96" s="417"/>
      <c r="AB96" s="420"/>
    </row>
    <row r="97" spans="1:29" s="55" customFormat="1" ht="54.95" customHeight="1" x14ac:dyDescent="0.15">
      <c r="A97" s="388"/>
      <c r="B97" s="87">
        <f>F11</f>
        <v>0</v>
      </c>
      <c r="C97" s="395"/>
      <c r="D97" s="396"/>
      <c r="E97" s="397"/>
      <c r="F97" s="368"/>
      <c r="G97" s="369"/>
      <c r="H97" s="370"/>
      <c r="I97" s="152"/>
      <c r="J97" s="90"/>
      <c r="K97" s="156"/>
      <c r="L97" s="77" t="s">
        <v>63</v>
      </c>
      <c r="M97" s="88">
        <f t="shared" si="24"/>
        <v>0</v>
      </c>
      <c r="N97" s="89"/>
      <c r="O97" s="153"/>
      <c r="P97" s="88" t="s">
        <v>63</v>
      </c>
      <c r="Q97" s="400"/>
      <c r="R97" s="162"/>
      <c r="S97" s="88" t="s">
        <v>63</v>
      </c>
      <c r="T97" s="154">
        <f t="shared" si="3"/>
        <v>0</v>
      </c>
      <c r="U97" s="91"/>
      <c r="V97" s="159"/>
      <c r="W97" s="159"/>
      <c r="X97" s="159"/>
      <c r="Y97" s="403"/>
      <c r="Z97" s="418"/>
      <c r="AA97" s="418"/>
      <c r="AB97" s="421"/>
    </row>
    <row r="98" spans="1:29" s="176" customFormat="1" ht="54.95" customHeight="1" x14ac:dyDescent="0.15">
      <c r="A98" s="163" t="s">
        <v>73</v>
      </c>
      <c r="B98" s="164">
        <f>I11</f>
        <v>1207</v>
      </c>
      <c r="C98" s="371" t="s">
        <v>71</v>
      </c>
      <c r="D98" s="372"/>
      <c r="E98" s="373"/>
      <c r="F98" s="371"/>
      <c r="G98" s="372"/>
      <c r="H98" s="373"/>
      <c r="I98" s="165"/>
      <c r="J98" s="166"/>
      <c r="K98" s="167">
        <v>1</v>
      </c>
      <c r="L98" s="168" t="s">
        <v>63</v>
      </c>
      <c r="M98" s="88">
        <f t="shared" si="24"/>
        <v>1207</v>
      </c>
      <c r="N98" s="170"/>
      <c r="O98" s="170"/>
      <c r="P98" s="169" t="s">
        <v>63</v>
      </c>
      <c r="Q98" s="363">
        <v>45996</v>
      </c>
      <c r="R98" s="165">
        <v>1207</v>
      </c>
      <c r="S98" s="169" t="s">
        <v>63</v>
      </c>
      <c r="T98" s="154">
        <f t="shared" si="3"/>
        <v>0</v>
      </c>
      <c r="U98" s="170"/>
      <c r="V98" s="172"/>
      <c r="W98" s="172"/>
      <c r="X98" s="172"/>
      <c r="Y98" s="374" t="s">
        <v>72</v>
      </c>
      <c r="Z98" s="380"/>
      <c r="AA98" s="383"/>
      <c r="AB98" s="586" t="s">
        <v>210</v>
      </c>
    </row>
    <row r="99" spans="1:29" s="55" customFormat="1" ht="54.95" customHeight="1" x14ac:dyDescent="0.15">
      <c r="A99" s="163" t="s">
        <v>81</v>
      </c>
      <c r="B99" s="87">
        <f>I11</f>
        <v>1207</v>
      </c>
      <c r="C99" s="368" t="s">
        <v>71</v>
      </c>
      <c r="D99" s="369"/>
      <c r="E99" s="370"/>
      <c r="F99" s="368"/>
      <c r="G99" s="369"/>
      <c r="H99" s="370"/>
      <c r="I99" s="93"/>
      <c r="J99" s="90"/>
      <c r="K99" s="156">
        <v>1</v>
      </c>
      <c r="L99" s="77" t="s">
        <v>63</v>
      </c>
      <c r="M99" s="88">
        <f>K99*B99</f>
        <v>1207</v>
      </c>
      <c r="N99" s="91"/>
      <c r="O99" s="91"/>
      <c r="P99" s="169" t="s">
        <v>63</v>
      </c>
      <c r="Q99" s="364"/>
      <c r="R99" s="165">
        <v>1207</v>
      </c>
      <c r="S99" s="169" t="s">
        <v>63</v>
      </c>
      <c r="T99" s="154">
        <f t="shared" si="3"/>
        <v>0</v>
      </c>
      <c r="U99" s="91"/>
      <c r="V99" s="91"/>
      <c r="W99" s="91"/>
      <c r="X99" s="91"/>
      <c r="Y99" s="375"/>
      <c r="Z99" s="381"/>
      <c r="AA99" s="384"/>
      <c r="AB99" s="587"/>
    </row>
    <row r="100" spans="1:29" s="55" customFormat="1" ht="54.95" customHeight="1" x14ac:dyDescent="0.15">
      <c r="A100" s="284" t="s">
        <v>160</v>
      </c>
      <c r="B100" s="87">
        <f>I11</f>
        <v>1207</v>
      </c>
      <c r="C100" s="368" t="s">
        <v>71</v>
      </c>
      <c r="D100" s="369"/>
      <c r="E100" s="370"/>
      <c r="F100" s="368"/>
      <c r="G100" s="369"/>
      <c r="H100" s="370"/>
      <c r="I100" s="93" t="s">
        <v>199</v>
      </c>
      <c r="J100" s="93"/>
      <c r="K100" s="156">
        <v>1</v>
      </c>
      <c r="L100" s="77" t="s">
        <v>63</v>
      </c>
      <c r="M100" s="88">
        <f t="shared" si="24"/>
        <v>1207</v>
      </c>
      <c r="N100" s="91"/>
      <c r="O100" s="91"/>
      <c r="P100" s="89" t="s">
        <v>63</v>
      </c>
      <c r="Q100" s="365"/>
      <c r="R100" s="93">
        <v>1207</v>
      </c>
      <c r="S100" s="89" t="s">
        <v>63</v>
      </c>
      <c r="T100" s="154">
        <f t="shared" si="3"/>
        <v>0</v>
      </c>
      <c r="U100" s="91"/>
      <c r="V100" s="91"/>
      <c r="W100" s="91"/>
      <c r="X100" s="91"/>
      <c r="Y100" s="379"/>
      <c r="Z100" s="382"/>
      <c r="AA100" s="385"/>
      <c r="AB100" s="588"/>
    </row>
    <row r="101" spans="1:29" x14ac:dyDescent="0.15">
      <c r="A101" s="285"/>
      <c r="B101" s="366"/>
      <c r="C101" s="366"/>
      <c r="D101" s="177"/>
      <c r="E101" s="177"/>
      <c r="F101" s="100"/>
      <c r="G101" s="100"/>
      <c r="H101" s="100"/>
      <c r="I101" s="177"/>
      <c r="J101" s="177"/>
      <c r="K101" s="101"/>
      <c r="L101" s="102"/>
      <c r="M101" s="103"/>
      <c r="N101" s="104"/>
      <c r="O101" s="104"/>
      <c r="P101" s="177"/>
      <c r="Q101" s="105"/>
      <c r="R101" s="105"/>
      <c r="S101" s="106"/>
      <c r="T101" s="107"/>
      <c r="U101" s="108"/>
      <c r="V101" s="108"/>
      <c r="W101" s="109"/>
      <c r="X101" s="107"/>
      <c r="Y101" s="110"/>
      <c r="Z101" s="111"/>
      <c r="AA101" s="111"/>
    </row>
    <row r="102" spans="1:29" x14ac:dyDescent="0.15">
      <c r="A102" s="285"/>
      <c r="B102" s="366"/>
      <c r="C102" s="366"/>
      <c r="D102" s="177"/>
      <c r="E102" s="177"/>
      <c r="F102" s="367"/>
      <c r="G102" s="367"/>
      <c r="H102" s="367"/>
      <c r="I102" s="177"/>
      <c r="J102" s="177"/>
      <c r="K102" s="101"/>
      <c r="L102" s="102"/>
      <c r="M102" s="103"/>
      <c r="N102" s="104"/>
      <c r="O102" s="104"/>
      <c r="P102" s="177"/>
      <c r="Q102" s="105"/>
      <c r="R102" s="105"/>
      <c r="S102" s="106"/>
      <c r="T102" s="107"/>
      <c r="U102" s="108"/>
      <c r="V102" s="108"/>
      <c r="W102" s="109"/>
      <c r="X102" s="107"/>
      <c r="Y102" s="112"/>
      <c r="Z102" s="111"/>
      <c r="AA102" s="111"/>
    </row>
    <row r="103" spans="1:29" x14ac:dyDescent="0.15">
      <c r="J103" s="177"/>
    </row>
    <row r="104" spans="1:29" x14ac:dyDescent="0.15">
      <c r="J104" s="177"/>
    </row>
    <row r="111" spans="1:29" s="114" customFormat="1" x14ac:dyDescent="0.15">
      <c r="A111" s="286"/>
      <c r="B111" s="113"/>
      <c r="C111" s="1"/>
      <c r="D111" s="1"/>
      <c r="E111" s="1"/>
      <c r="F111" s="1"/>
      <c r="G111" s="1"/>
      <c r="H111" s="1"/>
      <c r="I111" s="1"/>
      <c r="J111" s="1"/>
      <c r="L111" s="115"/>
      <c r="M111" s="116"/>
      <c r="N111" s="117"/>
      <c r="O111" s="117"/>
      <c r="P111" s="1"/>
      <c r="Q111" s="118"/>
      <c r="R111" s="118"/>
      <c r="S111" s="115"/>
      <c r="T111" s="119"/>
      <c r="U111" s="1"/>
      <c r="V111" s="1"/>
      <c r="W111" s="120"/>
      <c r="X111" s="121"/>
      <c r="Y111" s="1"/>
      <c r="Z111" s="1"/>
      <c r="AA111" s="1"/>
      <c r="AB111" s="1"/>
      <c r="AC111" s="1"/>
    </row>
    <row r="112" spans="1:29" s="114" customFormat="1" x14ac:dyDescent="0.15">
      <c r="A112" s="286"/>
      <c r="B112" s="113"/>
      <c r="C112" s="1"/>
      <c r="D112" s="1"/>
      <c r="E112" s="1"/>
      <c r="F112" s="1"/>
      <c r="G112" s="1"/>
      <c r="H112" s="1"/>
      <c r="I112" s="1"/>
      <c r="J112" s="1"/>
      <c r="L112" s="115"/>
      <c r="M112" s="116"/>
      <c r="N112" s="117"/>
      <c r="O112" s="117"/>
      <c r="P112" s="1"/>
      <c r="Q112" s="118"/>
      <c r="R112" s="118"/>
      <c r="S112" s="115"/>
      <c r="T112" s="119"/>
      <c r="U112" s="1"/>
      <c r="V112" s="1"/>
      <c r="W112" s="120"/>
      <c r="X112" s="121"/>
      <c r="Y112" s="1"/>
      <c r="Z112" s="1"/>
      <c r="AA112" s="1"/>
      <c r="AB112" s="1"/>
      <c r="AC112" s="1"/>
    </row>
  </sheetData>
  <mergeCells count="346">
    <mergeCell ref="AC42:AF42"/>
    <mergeCell ref="C43:E43"/>
    <mergeCell ref="F43:H43"/>
    <mergeCell ref="AC43:AF43"/>
    <mergeCell ref="Q41:Q49"/>
    <mergeCell ref="AB41:AB49"/>
    <mergeCell ref="F48:H48"/>
    <mergeCell ref="AC48:AF48"/>
    <mergeCell ref="C49:E49"/>
    <mergeCell ref="F49:H49"/>
    <mergeCell ref="AC49:AF49"/>
    <mergeCell ref="Z94:Z97"/>
    <mergeCell ref="AA94:AA97"/>
    <mergeCell ref="AB94:AB97"/>
    <mergeCell ref="F95:H95"/>
    <mergeCell ref="F96:H96"/>
    <mergeCell ref="F97:H97"/>
    <mergeCell ref="Y41:Y43"/>
    <mergeCell ref="C42:E42"/>
    <mergeCell ref="F42:H42"/>
    <mergeCell ref="AA85:AA89"/>
    <mergeCell ref="AB85:AB93"/>
    <mergeCell ref="Z90:Z93"/>
    <mergeCell ref="Z85:Z89"/>
    <mergeCell ref="AA90:AA93"/>
    <mergeCell ref="F91:H91"/>
    <mergeCell ref="F92:H92"/>
    <mergeCell ref="F93:H93"/>
    <mergeCell ref="AA76:AA84"/>
    <mergeCell ref="AB76:AB84"/>
    <mergeCell ref="F77:H77"/>
    <mergeCell ref="F78:H78"/>
    <mergeCell ref="C79:E81"/>
    <mergeCell ref="F79:H79"/>
    <mergeCell ref="F80:H80"/>
    <mergeCell ref="AB98:AB100"/>
    <mergeCell ref="C99:E99"/>
    <mergeCell ref="F99:H99"/>
    <mergeCell ref="C100:E100"/>
    <mergeCell ref="F100:H100"/>
    <mergeCell ref="B101:C101"/>
    <mergeCell ref="C98:E98"/>
    <mergeCell ref="F98:H98"/>
    <mergeCell ref="Q98:Q100"/>
    <mergeCell ref="Y98:Y100"/>
    <mergeCell ref="Z98:Z100"/>
    <mergeCell ref="AA98:AA100"/>
    <mergeCell ref="A94:A97"/>
    <mergeCell ref="C94:E97"/>
    <mergeCell ref="F94:H94"/>
    <mergeCell ref="Q94:Q97"/>
    <mergeCell ref="Y94:Y97"/>
    <mergeCell ref="A85:A93"/>
    <mergeCell ref="B102:C102"/>
    <mergeCell ref="F102:H102"/>
    <mergeCell ref="A41:A43"/>
    <mergeCell ref="C41:E41"/>
    <mergeCell ref="F41:H41"/>
    <mergeCell ref="I41:I43"/>
    <mergeCell ref="F86:H86"/>
    <mergeCell ref="F87:H87"/>
    <mergeCell ref="C88:E90"/>
    <mergeCell ref="F88:H88"/>
    <mergeCell ref="F89:H89"/>
    <mergeCell ref="F90:H90"/>
    <mergeCell ref="Y90:Y93"/>
    <mergeCell ref="C85:E87"/>
    <mergeCell ref="F85:H85"/>
    <mergeCell ref="Q85:Q93"/>
    <mergeCell ref="Y85:Y89"/>
    <mergeCell ref="C91:E93"/>
    <mergeCell ref="F81:H81"/>
    <mergeCell ref="C82:E84"/>
    <mergeCell ref="F82:H82"/>
    <mergeCell ref="A76:A84"/>
    <mergeCell ref="C76:E78"/>
    <mergeCell ref="F76:H76"/>
    <mergeCell ref="Q76:Q84"/>
    <mergeCell ref="Y76:Y84"/>
    <mergeCell ref="Z76:Z84"/>
    <mergeCell ref="F83:H83"/>
    <mergeCell ref="F84:H84"/>
    <mergeCell ref="Z71:Z75"/>
    <mergeCell ref="A71:A75"/>
    <mergeCell ref="Y68:Y70"/>
    <mergeCell ref="Y65:Y67"/>
    <mergeCell ref="AB65:AB67"/>
    <mergeCell ref="C66:E66"/>
    <mergeCell ref="F66:H66"/>
    <mergeCell ref="C67:E67"/>
    <mergeCell ref="F67:H67"/>
    <mergeCell ref="AA71:AA75"/>
    <mergeCell ref="AB71:AB75"/>
    <mergeCell ref="F72:H72"/>
    <mergeCell ref="F73:H73"/>
    <mergeCell ref="F74:H74"/>
    <mergeCell ref="F75:H75"/>
    <mergeCell ref="AB68:AB70"/>
    <mergeCell ref="C69:E69"/>
    <mergeCell ref="F69:H69"/>
    <mergeCell ref="C70:E70"/>
    <mergeCell ref="F70:H70"/>
    <mergeCell ref="C71:E75"/>
    <mergeCell ref="F71:H71"/>
    <mergeCell ref="Q71:Q75"/>
    <mergeCell ref="Y71:Y75"/>
    <mergeCell ref="A65:A67"/>
    <mergeCell ref="C65:E65"/>
    <mergeCell ref="F65:H65"/>
    <mergeCell ref="I65:I67"/>
    <mergeCell ref="Q65:Q67"/>
    <mergeCell ref="A68:A70"/>
    <mergeCell ref="C68:E68"/>
    <mergeCell ref="F68:H68"/>
    <mergeCell ref="I68:I70"/>
    <mergeCell ref="Q68:Q70"/>
    <mergeCell ref="A62:A64"/>
    <mergeCell ref="C62:E62"/>
    <mergeCell ref="F62:H62"/>
    <mergeCell ref="Q62:Q64"/>
    <mergeCell ref="Y62:Y64"/>
    <mergeCell ref="AB62:AB64"/>
    <mergeCell ref="C63:E63"/>
    <mergeCell ref="F63:H63"/>
    <mergeCell ref="C64:E64"/>
    <mergeCell ref="F64:H64"/>
    <mergeCell ref="A59:A61"/>
    <mergeCell ref="C59:E59"/>
    <mergeCell ref="F59:H59"/>
    <mergeCell ref="Q59:Q61"/>
    <mergeCell ref="Y59:Y61"/>
    <mergeCell ref="AB59:AB61"/>
    <mergeCell ref="C60:E60"/>
    <mergeCell ref="F60:H60"/>
    <mergeCell ref="C61:E61"/>
    <mergeCell ref="F61:H61"/>
    <mergeCell ref="A56:A58"/>
    <mergeCell ref="C56:E56"/>
    <mergeCell ref="F56:H56"/>
    <mergeCell ref="Q56:Q58"/>
    <mergeCell ref="Y56:Y58"/>
    <mergeCell ref="AB56:AB58"/>
    <mergeCell ref="C57:E57"/>
    <mergeCell ref="F57:H57"/>
    <mergeCell ref="C58:E58"/>
    <mergeCell ref="F58:H58"/>
    <mergeCell ref="AB50:AB52"/>
    <mergeCell ref="C51:E51"/>
    <mergeCell ref="F51:H51"/>
    <mergeCell ref="C52:E52"/>
    <mergeCell ref="F52:H52"/>
    <mergeCell ref="A53:A55"/>
    <mergeCell ref="C53:E53"/>
    <mergeCell ref="F53:H53"/>
    <mergeCell ref="Q53:Q55"/>
    <mergeCell ref="Y53:Y55"/>
    <mergeCell ref="A50:A52"/>
    <mergeCell ref="C50:E50"/>
    <mergeCell ref="F50:H50"/>
    <mergeCell ref="Q50:Q52"/>
    <mergeCell ref="Y50:Y52"/>
    <mergeCell ref="AB53:AB55"/>
    <mergeCell ref="C54:E54"/>
    <mergeCell ref="F54:H54"/>
    <mergeCell ref="C55:E55"/>
    <mergeCell ref="F55:H55"/>
    <mergeCell ref="A47:A49"/>
    <mergeCell ref="C47:E47"/>
    <mergeCell ref="F47:H47"/>
    <mergeCell ref="I47:I49"/>
    <mergeCell ref="Y47:Y49"/>
    <mergeCell ref="C48:E48"/>
    <mergeCell ref="C45:E45"/>
    <mergeCell ref="F45:H45"/>
    <mergeCell ref="AC45:AF45"/>
    <mergeCell ref="C46:E46"/>
    <mergeCell ref="F46:H46"/>
    <mergeCell ref="AC46:AF46"/>
    <mergeCell ref="A44:A46"/>
    <mergeCell ref="C44:E44"/>
    <mergeCell ref="F44:H44"/>
    <mergeCell ref="I44:I46"/>
    <mergeCell ref="Y44:Y46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35:AB37"/>
    <mergeCell ref="C36:E36"/>
    <mergeCell ref="F36:H36"/>
    <mergeCell ref="AC36:AF36"/>
    <mergeCell ref="C37:E37"/>
    <mergeCell ref="F37:H37"/>
    <mergeCell ref="AC37:AF37"/>
    <mergeCell ref="A35:A37"/>
    <mergeCell ref="C35:E35"/>
    <mergeCell ref="F35:H35"/>
    <mergeCell ref="I35:I37"/>
    <mergeCell ref="Q35:Q37"/>
    <mergeCell ref="Y35:Y37"/>
    <mergeCell ref="AB32:AB34"/>
    <mergeCell ref="C33:E33"/>
    <mergeCell ref="F33:H33"/>
    <mergeCell ref="AC33:AF33"/>
    <mergeCell ref="C34:E34"/>
    <mergeCell ref="F34:H34"/>
    <mergeCell ref="AC34:AF34"/>
    <mergeCell ref="A32:A34"/>
    <mergeCell ref="C32:E32"/>
    <mergeCell ref="F32:H32"/>
    <mergeCell ref="I32:I34"/>
    <mergeCell ref="Q32:Q34"/>
    <mergeCell ref="Y32:Y34"/>
    <mergeCell ref="Y29:Y31"/>
    <mergeCell ref="C30:E30"/>
    <mergeCell ref="F30:H30"/>
    <mergeCell ref="AC30:AF30"/>
    <mergeCell ref="C31:E31"/>
    <mergeCell ref="F31:H31"/>
    <mergeCell ref="AC31:AF31"/>
    <mergeCell ref="AB26:AB31"/>
    <mergeCell ref="C27:E27"/>
    <mergeCell ref="F27:H27"/>
    <mergeCell ref="C28:E28"/>
    <mergeCell ref="F28:H28"/>
    <mergeCell ref="Y26:Y28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Q15:Q17"/>
    <mergeCell ref="Y15:Y17"/>
    <mergeCell ref="AB15:AB17"/>
    <mergeCell ref="A18:A19"/>
    <mergeCell ref="C18:E18"/>
    <mergeCell ref="F18:H18"/>
    <mergeCell ref="Q18:Q19"/>
    <mergeCell ref="Y18:Y19"/>
    <mergeCell ref="AB18:AB19"/>
    <mergeCell ref="C19:E19"/>
    <mergeCell ref="F19:H19"/>
    <mergeCell ref="A13:A14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2" orientation="portrait" r:id="rId1"/>
  <headerFooter alignWithMargins="0"/>
  <rowBreaks count="1" manualBreakCount="1">
    <brk id="75" max="27" man="1"/>
  </rowBreaks>
  <colBreaks count="1" manualBreakCount="1">
    <brk id="2" max="46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B08-1267-4569-9B3F-E684ED127373}">
  <sheetPr>
    <pageSetUpPr fitToPage="1"/>
  </sheetPr>
  <dimension ref="A1:AF108"/>
  <sheetViews>
    <sheetView view="pageBreakPreview" topLeftCell="A31" zoomScale="75" zoomScaleNormal="100" zoomScaleSheetLayoutView="75" workbookViewId="0">
      <selection activeCell="A35" sqref="A35:A36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196</v>
      </c>
      <c r="C2" s="548"/>
      <c r="D2" s="548"/>
      <c r="E2" s="548"/>
      <c r="F2" s="548"/>
      <c r="G2" s="549"/>
      <c r="H2" s="180" t="s">
        <v>1</v>
      </c>
      <c r="I2" s="550">
        <f>I11</f>
        <v>600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250</v>
      </c>
      <c r="D5" s="182">
        <v>270</v>
      </c>
      <c r="E5" s="182">
        <v>80</v>
      </c>
      <c r="F5" s="182"/>
      <c r="G5" s="182"/>
      <c r="H5" s="542" t="s">
        <v>24</v>
      </c>
      <c r="I5" s="524">
        <f t="shared" ref="I5:I11" si="0">SUM(C5:G5)</f>
        <v>600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45980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250</v>
      </c>
      <c r="D11" s="181">
        <f>SUM(D5:D10)</f>
        <v>270</v>
      </c>
      <c r="E11" s="181">
        <f>SUM(E5:E10)</f>
        <v>80</v>
      </c>
      <c r="F11" s="181">
        <f>SUM(F5:F10)</f>
        <v>0</v>
      </c>
      <c r="G11" s="181">
        <f>SUM(G5:G10)</f>
        <v>0</v>
      </c>
      <c r="H11" s="182"/>
      <c r="I11" s="481">
        <f t="shared" si="0"/>
        <v>600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46080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255</v>
      </c>
      <c r="D12" s="43">
        <f>D11*1.02</f>
        <v>275.39999999999998</v>
      </c>
      <c r="E12" s="43">
        <f>E11*1.02</f>
        <v>81.599999999999994</v>
      </c>
      <c r="F12" s="43">
        <f>F11*1.02</f>
        <v>0</v>
      </c>
      <c r="G12" s="43">
        <f>G11*1.02</f>
        <v>0</v>
      </c>
      <c r="H12" s="44"/>
      <c r="I12" s="486">
        <f>I11*1.02</f>
        <v>612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600</v>
      </c>
      <c r="C15" s="474" t="str">
        <f t="shared" ref="C15:C23" si="2">$A$5</f>
        <v>BK</v>
      </c>
      <c r="D15" s="475"/>
      <c r="E15" s="476"/>
      <c r="F15" s="474"/>
      <c r="G15" s="475"/>
      <c r="H15" s="476"/>
      <c r="I15" s="477" t="s">
        <v>92</v>
      </c>
      <c r="J15" s="65" t="s">
        <v>6</v>
      </c>
      <c r="K15" s="66">
        <v>1.19</v>
      </c>
      <c r="L15" s="67" t="s">
        <v>7</v>
      </c>
      <c r="M15" s="68">
        <f>K15*B15</f>
        <v>714</v>
      </c>
      <c r="N15" s="69"/>
      <c r="O15" s="70"/>
      <c r="P15" s="67" t="s">
        <v>7</v>
      </c>
      <c r="Q15" s="478">
        <v>45996</v>
      </c>
      <c r="R15" s="293">
        <v>715</v>
      </c>
      <c r="S15" s="71" t="s">
        <v>7</v>
      </c>
      <c r="T15" s="123">
        <f t="shared" ref="T15:T96" si="3">R15-M15</f>
        <v>1</v>
      </c>
      <c r="U15" s="72"/>
      <c r="V15" s="72"/>
      <c r="W15" s="73"/>
      <c r="X15" s="74"/>
      <c r="Y15" s="479" t="s">
        <v>127</v>
      </c>
      <c r="Z15" s="63"/>
      <c r="AA15" s="64"/>
      <c r="AB15" s="566" t="s">
        <v>211</v>
      </c>
      <c r="AC15" s="471"/>
      <c r="AD15" s="472"/>
      <c r="AE15" s="472"/>
      <c r="AF15" s="472"/>
    </row>
    <row r="16" spans="1:32" s="55" customFormat="1" ht="69.95" customHeight="1" thickBot="1" x14ac:dyDescent="0.2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442"/>
      <c r="J16" s="76" t="s">
        <v>6</v>
      </c>
      <c r="K16" s="83"/>
      <c r="L16" s="77" t="s">
        <v>7</v>
      </c>
      <c r="M16" s="78">
        <f t="shared" ref="M16:M96" si="4">K16*B16</f>
        <v>0</v>
      </c>
      <c r="N16" s="79"/>
      <c r="O16" s="128"/>
      <c r="P16" s="77" t="s">
        <v>7</v>
      </c>
      <c r="Q16" s="444"/>
      <c r="R16" s="130"/>
      <c r="S16" s="75" t="s">
        <v>7</v>
      </c>
      <c r="T16" s="81">
        <f t="shared" si="3"/>
        <v>0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600</v>
      </c>
      <c r="C17" s="461" t="str">
        <f t="shared" si="2"/>
        <v>BK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55" customFormat="1" ht="69.95" customHeight="1" thickTop="1" x14ac:dyDescent="0.15">
      <c r="A19" s="431" t="s">
        <v>195</v>
      </c>
      <c r="B19" s="182">
        <f t="shared" si="1"/>
        <v>600</v>
      </c>
      <c r="C19" s="461" t="str">
        <f t="shared" si="2"/>
        <v>BK</v>
      </c>
      <c r="D19" s="461"/>
      <c r="E19" s="461"/>
      <c r="F19" s="461"/>
      <c r="G19" s="461"/>
      <c r="H19" s="461"/>
      <c r="I19" s="441" t="s">
        <v>144</v>
      </c>
      <c r="J19" s="76" t="s">
        <v>6</v>
      </c>
      <c r="K19" s="136">
        <v>1.07</v>
      </c>
      <c r="L19" s="77" t="s">
        <v>7</v>
      </c>
      <c r="M19" s="78">
        <f t="shared" si="4"/>
        <v>642</v>
      </c>
      <c r="N19" s="79"/>
      <c r="O19" s="78"/>
      <c r="P19" s="80" t="s">
        <v>7</v>
      </c>
      <c r="Q19" s="443">
        <v>45996</v>
      </c>
      <c r="R19" s="78">
        <v>642</v>
      </c>
      <c r="S19" s="80" t="s">
        <v>7</v>
      </c>
      <c r="T19" s="81">
        <f t="shared" si="3"/>
        <v>0</v>
      </c>
      <c r="U19" s="82"/>
      <c r="V19" s="137"/>
      <c r="W19" s="78"/>
      <c r="X19" s="78"/>
      <c r="Y19" s="445" t="s">
        <v>93</v>
      </c>
      <c r="Z19" s="138"/>
      <c r="AA19" s="135"/>
      <c r="AB19" s="566" t="s">
        <v>209</v>
      </c>
      <c r="AC19" s="178"/>
      <c r="AD19" s="179"/>
      <c r="AE19" s="179"/>
      <c r="AF19" s="179"/>
    </row>
    <row r="20" spans="1:32" s="55" customFormat="1" ht="69.95" customHeight="1" x14ac:dyDescent="0.15">
      <c r="A20" s="432"/>
      <c r="B20" s="182">
        <f>$I$6</f>
        <v>0</v>
      </c>
      <c r="C20" s="461">
        <f>$A$6</f>
        <v>0</v>
      </c>
      <c r="D20" s="461"/>
      <c r="E20" s="461"/>
      <c r="F20" s="461"/>
      <c r="G20" s="461"/>
      <c r="H20" s="461"/>
      <c r="I20" s="442"/>
      <c r="J20" s="76" t="s">
        <v>6</v>
      </c>
      <c r="K20" s="136"/>
      <c r="L20" s="77" t="s">
        <v>7</v>
      </c>
      <c r="M20" s="78">
        <f t="shared" si="4"/>
        <v>0</v>
      </c>
      <c r="N20" s="79"/>
      <c r="O20" s="128"/>
      <c r="P20" s="77" t="s">
        <v>7</v>
      </c>
      <c r="Q20" s="444"/>
      <c r="R20" s="130"/>
      <c r="S20" s="75" t="s">
        <v>7</v>
      </c>
      <c r="T20" s="81">
        <f t="shared" si="3"/>
        <v>0</v>
      </c>
      <c r="U20" s="131"/>
      <c r="V20" s="131"/>
      <c r="W20" s="132"/>
      <c r="X20" s="133"/>
      <c r="Y20" s="446"/>
      <c r="Z20" s="228"/>
      <c r="AA20" s="228"/>
      <c r="AB20" s="362"/>
      <c r="AC20" s="178"/>
      <c r="AD20" s="179"/>
      <c r="AE20" s="179"/>
      <c r="AF20" s="179"/>
    </row>
    <row r="21" spans="1:32" s="206" customFormat="1" ht="69.95" customHeight="1" x14ac:dyDescent="0.15">
      <c r="A21" s="431" t="s">
        <v>115</v>
      </c>
      <c r="B21" s="191">
        <f t="shared" si="1"/>
        <v>600</v>
      </c>
      <c r="C21" s="465" t="str">
        <f t="shared" si="2"/>
        <v>BK</v>
      </c>
      <c r="D21" s="465"/>
      <c r="E21" s="465"/>
      <c r="F21" s="465"/>
      <c r="G21" s="465"/>
      <c r="H21" s="465"/>
      <c r="I21" s="433" t="s">
        <v>8</v>
      </c>
      <c r="J21" s="192" t="s">
        <v>6</v>
      </c>
      <c r="K21" s="209">
        <v>0.15</v>
      </c>
      <c r="L21" s="194" t="s">
        <v>7</v>
      </c>
      <c r="M21" s="195">
        <f t="shared" si="4"/>
        <v>90</v>
      </c>
      <c r="N21" s="196"/>
      <c r="O21" s="195"/>
      <c r="P21" s="197" t="s">
        <v>7</v>
      </c>
      <c r="Q21" s="435"/>
      <c r="R21" s="195"/>
      <c r="S21" s="197" t="s">
        <v>7</v>
      </c>
      <c r="T21" s="198">
        <f t="shared" si="3"/>
        <v>-90</v>
      </c>
      <c r="U21" s="199"/>
      <c r="V21" s="200"/>
      <c r="W21" s="195"/>
      <c r="X21" s="195"/>
      <c r="Y21" s="437" t="s">
        <v>93</v>
      </c>
      <c r="Z21" s="235"/>
      <c r="AA21" s="202"/>
      <c r="AB21" s="439"/>
      <c r="AC21" s="229"/>
      <c r="AD21" s="230"/>
      <c r="AE21" s="230"/>
      <c r="AF21" s="230"/>
    </row>
    <row r="22" spans="1:32" s="206" customFormat="1" ht="69.95" customHeight="1" thickBot="1" x14ac:dyDescent="0.2">
      <c r="A22" s="432"/>
      <c r="B22" s="191">
        <f>$I$6</f>
        <v>0</v>
      </c>
      <c r="C22" s="465">
        <f>$A$6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38"/>
      <c r="AA22" s="238"/>
      <c r="AB22" s="440"/>
      <c r="AC22" s="229"/>
      <c r="AD22" s="230"/>
      <c r="AE22" s="230"/>
      <c r="AF22" s="230"/>
    </row>
    <row r="23" spans="1:32" s="176" customFormat="1" ht="69.95" customHeight="1" thickTop="1" x14ac:dyDescent="0.15">
      <c r="A23" s="431" t="s">
        <v>107</v>
      </c>
      <c r="B23" s="239">
        <f t="shared" si="1"/>
        <v>600</v>
      </c>
      <c r="C23" s="456" t="str">
        <f t="shared" si="2"/>
        <v>BK</v>
      </c>
      <c r="D23" s="456"/>
      <c r="E23" s="456"/>
      <c r="F23" s="456"/>
      <c r="G23" s="456"/>
      <c r="H23" s="456"/>
      <c r="I23" s="457" t="s">
        <v>58</v>
      </c>
      <c r="J23" s="240" t="s">
        <v>6</v>
      </c>
      <c r="K23" s="241">
        <v>0.09</v>
      </c>
      <c r="L23" s="168" t="s">
        <v>7</v>
      </c>
      <c r="M23" s="242">
        <f t="shared" si="4"/>
        <v>54</v>
      </c>
      <c r="N23" s="243"/>
      <c r="O23" s="242"/>
      <c r="P23" s="244" t="s">
        <v>7</v>
      </c>
      <c r="Q23" s="376">
        <v>45996</v>
      </c>
      <c r="R23" s="245">
        <v>54</v>
      </c>
      <c r="S23" s="244" t="s">
        <v>7</v>
      </c>
      <c r="T23" s="245">
        <f t="shared" si="3"/>
        <v>0</v>
      </c>
      <c r="U23" s="246"/>
      <c r="V23" s="247"/>
      <c r="W23" s="242"/>
      <c r="X23" s="242"/>
      <c r="Y23" s="459" t="s">
        <v>59</v>
      </c>
      <c r="Z23" s="248"/>
      <c r="AA23" s="249"/>
      <c r="AB23" s="566" t="s">
        <v>209</v>
      </c>
      <c r="AC23" s="250"/>
      <c r="AD23" s="251"/>
      <c r="AE23" s="251"/>
      <c r="AF23" s="251"/>
    </row>
    <row r="24" spans="1:32" s="176" customFormat="1" ht="69.95" customHeight="1" thickBot="1" x14ac:dyDescent="0.2">
      <c r="A24" s="432"/>
      <c r="B24" s="239">
        <f>$I$6</f>
        <v>0</v>
      </c>
      <c r="C24" s="456">
        <f>$A$6</f>
        <v>0</v>
      </c>
      <c r="D24" s="456"/>
      <c r="E24" s="456"/>
      <c r="F24" s="456"/>
      <c r="G24" s="456"/>
      <c r="H24" s="456"/>
      <c r="I24" s="458"/>
      <c r="J24" s="240" t="s">
        <v>6</v>
      </c>
      <c r="K24" s="241"/>
      <c r="L24" s="168" t="s">
        <v>7</v>
      </c>
      <c r="M24" s="242">
        <f t="shared" si="4"/>
        <v>0</v>
      </c>
      <c r="N24" s="243"/>
      <c r="O24" s="253"/>
      <c r="P24" s="168" t="s">
        <v>7</v>
      </c>
      <c r="Q24" s="378"/>
      <c r="R24" s="254"/>
      <c r="S24" s="255" t="s">
        <v>7</v>
      </c>
      <c r="T24" s="245">
        <f t="shared" si="3"/>
        <v>0</v>
      </c>
      <c r="U24" s="256"/>
      <c r="V24" s="256"/>
      <c r="W24" s="257"/>
      <c r="X24" s="258"/>
      <c r="Y24" s="460"/>
      <c r="Z24" s="259"/>
      <c r="AA24" s="249"/>
      <c r="AB24" s="362"/>
      <c r="AC24" s="250"/>
      <c r="AD24" s="251"/>
      <c r="AE24" s="251"/>
      <c r="AF24" s="251"/>
    </row>
    <row r="25" spans="1:32" s="261" customFormat="1" ht="69.95" customHeight="1" thickTop="1" x14ac:dyDescent="0.15">
      <c r="A25" s="431" t="s">
        <v>108</v>
      </c>
      <c r="B25" s="182">
        <f>$I$5</f>
        <v>600</v>
      </c>
      <c r="C25" s="461" t="str">
        <f>$A$5</f>
        <v>BK</v>
      </c>
      <c r="D25" s="461"/>
      <c r="E25" s="461"/>
      <c r="F25" s="461"/>
      <c r="G25" s="461"/>
      <c r="H25" s="461"/>
      <c r="I25" s="441" t="s">
        <v>8</v>
      </c>
      <c r="J25" s="76" t="s">
        <v>6</v>
      </c>
      <c r="K25" s="136">
        <v>0.13</v>
      </c>
      <c r="L25" s="77" t="s">
        <v>7</v>
      </c>
      <c r="M25" s="78">
        <f>K25*B25</f>
        <v>78</v>
      </c>
      <c r="N25" s="79"/>
      <c r="O25" s="78"/>
      <c r="P25" s="80" t="s">
        <v>7</v>
      </c>
      <c r="Q25" s="443">
        <v>45996</v>
      </c>
      <c r="R25" s="78">
        <v>78</v>
      </c>
      <c r="S25" s="80" t="s">
        <v>9</v>
      </c>
      <c r="T25" s="81">
        <f t="shared" si="3"/>
        <v>0</v>
      </c>
      <c r="U25" s="82"/>
      <c r="V25" s="137"/>
      <c r="W25" s="78"/>
      <c r="X25" s="78"/>
      <c r="Y25" s="445" t="s">
        <v>59</v>
      </c>
      <c r="Z25" s="141"/>
      <c r="AA25" s="135"/>
      <c r="AB25" s="566" t="s">
        <v>209</v>
      </c>
    </row>
    <row r="26" spans="1:32" s="261" customFormat="1" ht="69.95" customHeight="1" x14ac:dyDescent="0.15">
      <c r="A26" s="432"/>
      <c r="B26" s="182">
        <f>$I$6</f>
        <v>0</v>
      </c>
      <c r="C26" s="461">
        <f>$A$6</f>
        <v>0</v>
      </c>
      <c r="D26" s="461"/>
      <c r="E26" s="461"/>
      <c r="F26" s="461"/>
      <c r="G26" s="461"/>
      <c r="H26" s="461"/>
      <c r="I26" s="442"/>
      <c r="J26" s="76" t="s">
        <v>6</v>
      </c>
      <c r="K26" s="83"/>
      <c r="L26" s="77" t="s">
        <v>7</v>
      </c>
      <c r="M26" s="78">
        <f>K26*B26</f>
        <v>0</v>
      </c>
      <c r="N26" s="79"/>
      <c r="O26" s="128"/>
      <c r="P26" s="77" t="s">
        <v>7</v>
      </c>
      <c r="Q26" s="444"/>
      <c r="R26" s="137"/>
      <c r="S26" s="75" t="s">
        <v>9</v>
      </c>
      <c r="T26" s="81">
        <f t="shared" si="3"/>
        <v>0</v>
      </c>
      <c r="U26" s="131"/>
      <c r="V26" s="131"/>
      <c r="W26" s="132"/>
      <c r="X26" s="133"/>
      <c r="Y26" s="446"/>
      <c r="Z26" s="134"/>
      <c r="AA26" s="135"/>
      <c r="AB26" s="362"/>
      <c r="AC26" s="462"/>
      <c r="AD26" s="463"/>
      <c r="AE26" s="463"/>
      <c r="AF26" s="463"/>
    </row>
    <row r="27" spans="1:32" s="203" customFormat="1" ht="69.95" customHeight="1" x14ac:dyDescent="0.15">
      <c r="A27" s="464" t="s">
        <v>77</v>
      </c>
      <c r="B27" s="191">
        <f>$I$5</f>
        <v>600</v>
      </c>
      <c r="C27" s="465" t="str">
        <f>$A$5</f>
        <v>BK</v>
      </c>
      <c r="D27" s="465"/>
      <c r="E27" s="465"/>
      <c r="F27" s="465"/>
      <c r="G27" s="465"/>
      <c r="H27" s="465"/>
      <c r="I27" s="433" t="s">
        <v>110</v>
      </c>
      <c r="J27" s="192"/>
      <c r="K27" s="209">
        <v>1.8</v>
      </c>
      <c r="L27" s="194" t="s">
        <v>7</v>
      </c>
      <c r="M27" s="195">
        <f>K27*B27/100</f>
        <v>10.8</v>
      </c>
      <c r="N27" s="196"/>
      <c r="O27" s="195"/>
      <c r="P27" s="197" t="s">
        <v>7</v>
      </c>
      <c r="Q27" s="435"/>
      <c r="R27" s="195"/>
      <c r="S27" s="197" t="s">
        <v>9</v>
      </c>
      <c r="T27" s="198">
        <f t="shared" si="3"/>
        <v>-10.8</v>
      </c>
      <c r="U27" s="199"/>
      <c r="V27" s="200"/>
      <c r="W27" s="195"/>
      <c r="X27" s="195"/>
      <c r="Y27" s="437" t="s">
        <v>94</v>
      </c>
      <c r="Z27" s="201"/>
      <c r="AA27" s="202"/>
      <c r="AB27" s="439"/>
    </row>
    <row r="28" spans="1:32" s="203" customFormat="1" ht="69.95" customHeight="1" thickBot="1" x14ac:dyDescent="0.2">
      <c r="A28" s="464"/>
      <c r="B28" s="191">
        <f>$I$6</f>
        <v>0</v>
      </c>
      <c r="C28" s="465">
        <f>$A$6</f>
        <v>0</v>
      </c>
      <c r="D28" s="465"/>
      <c r="E28" s="465"/>
      <c r="F28" s="465"/>
      <c r="G28" s="465"/>
      <c r="H28" s="465"/>
      <c r="I28" s="434"/>
      <c r="J28" s="192"/>
      <c r="K28" s="208">
        <v>1.8</v>
      </c>
      <c r="L28" s="194" t="s">
        <v>7</v>
      </c>
      <c r="M28" s="195">
        <f>K28*B28/100</f>
        <v>0</v>
      </c>
      <c r="N28" s="196"/>
      <c r="O28" s="210"/>
      <c r="P28" s="194" t="s">
        <v>7</v>
      </c>
      <c r="Q28" s="436"/>
      <c r="R28" s="200"/>
      <c r="S28" s="207" t="s">
        <v>9</v>
      </c>
      <c r="T28" s="198">
        <f t="shared" si="3"/>
        <v>0</v>
      </c>
      <c r="U28" s="211"/>
      <c r="V28" s="211"/>
      <c r="W28" s="212"/>
      <c r="X28" s="213"/>
      <c r="Y28" s="438"/>
      <c r="Z28" s="214"/>
      <c r="AA28" s="202"/>
      <c r="AB28" s="440"/>
      <c r="AC28" s="466"/>
      <c r="AD28" s="467"/>
      <c r="AE28" s="467"/>
      <c r="AF28" s="467"/>
    </row>
    <row r="29" spans="1:32" s="261" customFormat="1" ht="69.95" customHeight="1" thickTop="1" x14ac:dyDescent="0.15">
      <c r="A29" s="464" t="s">
        <v>86</v>
      </c>
      <c r="B29" s="182">
        <f>$I$5</f>
        <v>600</v>
      </c>
      <c r="C29" s="461" t="str">
        <f>$A$5</f>
        <v>BK</v>
      </c>
      <c r="D29" s="461"/>
      <c r="E29" s="461"/>
      <c r="F29" s="461"/>
      <c r="G29" s="461"/>
      <c r="H29" s="461"/>
      <c r="I29" s="441" t="s">
        <v>76</v>
      </c>
      <c r="J29" s="76"/>
      <c r="K29" s="136">
        <v>3.2</v>
      </c>
      <c r="L29" s="77" t="s">
        <v>7</v>
      </c>
      <c r="M29" s="78">
        <f>K29*B29/50</f>
        <v>38.4</v>
      </c>
      <c r="N29" s="79"/>
      <c r="O29" s="78"/>
      <c r="P29" s="80" t="s">
        <v>7</v>
      </c>
      <c r="Q29" s="443">
        <v>45996</v>
      </c>
      <c r="R29" s="78">
        <v>38</v>
      </c>
      <c r="S29" s="80" t="s">
        <v>9</v>
      </c>
      <c r="T29" s="81">
        <f t="shared" si="3"/>
        <v>-0.39999999999999858</v>
      </c>
      <c r="U29" s="82"/>
      <c r="V29" s="137"/>
      <c r="W29" s="78"/>
      <c r="X29" s="78"/>
      <c r="Y29" s="445" t="s">
        <v>94</v>
      </c>
      <c r="Z29" s="141"/>
      <c r="AA29" s="135"/>
      <c r="AB29" s="566" t="s">
        <v>209</v>
      </c>
    </row>
    <row r="30" spans="1:32" s="261" customFormat="1" ht="69.95" customHeight="1" x14ac:dyDescent="0.15">
      <c r="A30" s="464"/>
      <c r="B30" s="182">
        <f>$I$6</f>
        <v>0</v>
      </c>
      <c r="C30" s="461">
        <f>$A$6</f>
        <v>0</v>
      </c>
      <c r="D30" s="461"/>
      <c r="E30" s="461"/>
      <c r="F30" s="461"/>
      <c r="G30" s="461"/>
      <c r="H30" s="461"/>
      <c r="I30" s="442"/>
      <c r="J30" s="76"/>
      <c r="K30" s="83"/>
      <c r="L30" s="77" t="s">
        <v>7</v>
      </c>
      <c r="M30" s="78">
        <f>K30*B30/50</f>
        <v>0</v>
      </c>
      <c r="N30" s="79"/>
      <c r="O30" s="128"/>
      <c r="P30" s="77" t="s">
        <v>7</v>
      </c>
      <c r="Q30" s="444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2"/>
      <c r="AC30" s="462"/>
      <c r="AD30" s="463"/>
      <c r="AE30" s="463"/>
      <c r="AF30" s="463"/>
    </row>
    <row r="31" spans="1:32" s="203" customFormat="1" ht="69.95" customHeight="1" x14ac:dyDescent="0.15">
      <c r="A31" s="464" t="s">
        <v>116</v>
      </c>
      <c r="B31" s="191">
        <f>$I$5</f>
        <v>600</v>
      </c>
      <c r="C31" s="465" t="str">
        <f>$A$5</f>
        <v>BK</v>
      </c>
      <c r="D31" s="465"/>
      <c r="E31" s="465"/>
      <c r="F31" s="465"/>
      <c r="G31" s="465"/>
      <c r="H31" s="465"/>
      <c r="I31" s="433" t="s">
        <v>76</v>
      </c>
      <c r="J31" s="192"/>
      <c r="K31" s="209">
        <v>2.4</v>
      </c>
      <c r="L31" s="194" t="s">
        <v>7</v>
      </c>
      <c r="M31" s="195">
        <f>K31*B31/50</f>
        <v>28.8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-28.8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x14ac:dyDescent="0.15">
      <c r="A32" s="464"/>
      <c r="B32" s="191">
        <f>$I$6</f>
        <v>0</v>
      </c>
      <c r="C32" s="465">
        <f>$A$6</f>
        <v>0</v>
      </c>
      <c r="D32" s="465"/>
      <c r="E32" s="465"/>
      <c r="F32" s="465"/>
      <c r="G32" s="465"/>
      <c r="H32" s="465"/>
      <c r="I32" s="434"/>
      <c r="J32" s="192"/>
      <c r="K32" s="208">
        <v>2.4</v>
      </c>
      <c r="L32" s="194" t="s">
        <v>7</v>
      </c>
      <c r="M32" s="195">
        <f>K32*B32/50</f>
        <v>0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0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x14ac:dyDescent="0.15">
      <c r="A33" s="431" t="s">
        <v>88</v>
      </c>
      <c r="B33" s="239">
        <f>$I$5</f>
        <v>600</v>
      </c>
      <c r="C33" s="371" t="str">
        <f>$A$5</f>
        <v>BK</v>
      </c>
      <c r="D33" s="372"/>
      <c r="E33" s="373"/>
      <c r="F33" s="371" t="str">
        <f>$A$5</f>
        <v>BK</v>
      </c>
      <c r="G33" s="372"/>
      <c r="H33" s="373"/>
      <c r="I33" s="457" t="s">
        <v>62</v>
      </c>
      <c r="J33" s="240"/>
      <c r="K33" s="263">
        <v>130</v>
      </c>
      <c r="L33" s="168" t="s">
        <v>61</v>
      </c>
      <c r="M33" s="242">
        <f t="shared" ref="M33:M34" si="5">K33*B33/2500</f>
        <v>31.2</v>
      </c>
      <c r="N33" s="243"/>
      <c r="O33" s="242"/>
      <c r="P33" s="244" t="s">
        <v>10</v>
      </c>
      <c r="Q33" s="376">
        <v>45996</v>
      </c>
      <c r="R33" s="242">
        <v>32</v>
      </c>
      <c r="S33" s="244" t="s">
        <v>10</v>
      </c>
      <c r="T33" s="245">
        <f>R33-M33</f>
        <v>0.80000000000000071</v>
      </c>
      <c r="U33" s="246"/>
      <c r="V33" s="247"/>
      <c r="W33" s="242"/>
      <c r="X33" s="242"/>
      <c r="Y33" s="459" t="s">
        <v>94</v>
      </c>
      <c r="Z33" s="260"/>
      <c r="AA33" s="249"/>
      <c r="AB33" s="448" t="s">
        <v>210</v>
      </c>
    </row>
    <row r="34" spans="1:32" s="176" customFormat="1" ht="69.95" customHeight="1" x14ac:dyDescent="0.15">
      <c r="A34" s="432"/>
      <c r="B34" s="264">
        <f>$I$6</f>
        <v>0</v>
      </c>
      <c r="C34" s="371">
        <f>$A$6</f>
        <v>0</v>
      </c>
      <c r="D34" s="372"/>
      <c r="E34" s="373"/>
      <c r="F34" s="371">
        <f>$A$6</f>
        <v>0</v>
      </c>
      <c r="G34" s="372"/>
      <c r="H34" s="373"/>
      <c r="I34" s="458"/>
      <c r="J34" s="265"/>
      <c r="K34" s="263"/>
      <c r="L34" s="266" t="s">
        <v>61</v>
      </c>
      <c r="M34" s="242">
        <f t="shared" si="5"/>
        <v>0</v>
      </c>
      <c r="N34" s="267"/>
      <c r="O34" s="268"/>
      <c r="P34" s="266" t="s">
        <v>10</v>
      </c>
      <c r="Q34" s="377"/>
      <c r="R34" s="269"/>
      <c r="S34" s="252" t="s">
        <v>10</v>
      </c>
      <c r="T34" s="270">
        <f>R34-M34</f>
        <v>0</v>
      </c>
      <c r="U34" s="271"/>
      <c r="V34" s="271"/>
      <c r="W34" s="272"/>
      <c r="X34" s="273"/>
      <c r="Y34" s="460"/>
      <c r="Z34" s="274"/>
      <c r="AA34" s="275"/>
      <c r="AB34" s="449"/>
      <c r="AC34" s="590"/>
      <c r="AD34" s="591"/>
      <c r="AE34" s="591"/>
      <c r="AF34" s="591"/>
    </row>
    <row r="35" spans="1:32" s="261" customFormat="1" ht="69.95" customHeight="1" x14ac:dyDescent="0.15">
      <c r="A35" s="431" t="s">
        <v>147</v>
      </c>
      <c r="B35" s="239">
        <f>$I$5</f>
        <v>600</v>
      </c>
      <c r="C35" s="371" t="str">
        <f>$A$5</f>
        <v>BK</v>
      </c>
      <c r="D35" s="372"/>
      <c r="E35" s="373"/>
      <c r="F35" s="371" t="str">
        <f>$A$5</f>
        <v>BK</v>
      </c>
      <c r="G35" s="372"/>
      <c r="H35" s="373"/>
      <c r="I35" s="457" t="s">
        <v>60</v>
      </c>
      <c r="J35" s="240"/>
      <c r="K35" s="263">
        <v>220</v>
      </c>
      <c r="L35" s="168" t="s">
        <v>61</v>
      </c>
      <c r="M35" s="242">
        <f t="shared" ref="M35:M38" si="6">K35*B35/4000</f>
        <v>33</v>
      </c>
      <c r="N35" s="243"/>
      <c r="O35" s="242"/>
      <c r="P35" s="244" t="s">
        <v>10</v>
      </c>
      <c r="Q35" s="377"/>
      <c r="R35" s="242">
        <v>33</v>
      </c>
      <c r="S35" s="244" t="s">
        <v>10</v>
      </c>
      <c r="T35" s="245">
        <f t="shared" si="3"/>
        <v>0</v>
      </c>
      <c r="U35" s="246"/>
      <c r="V35" s="247"/>
      <c r="W35" s="242"/>
      <c r="X35" s="242"/>
      <c r="Y35" s="459" t="s">
        <v>94</v>
      </c>
      <c r="Z35" s="260"/>
      <c r="AA35" s="249"/>
      <c r="AB35" s="449"/>
    </row>
    <row r="36" spans="1:32" s="176" customFormat="1" ht="69.95" customHeight="1" x14ac:dyDescent="0.15">
      <c r="A36" s="432"/>
      <c r="B36" s="264">
        <f>$I$6</f>
        <v>0</v>
      </c>
      <c r="C36" s="371">
        <f>$A$6</f>
        <v>0</v>
      </c>
      <c r="D36" s="372"/>
      <c r="E36" s="373"/>
      <c r="F36" s="371">
        <f>$A$6</f>
        <v>0</v>
      </c>
      <c r="G36" s="372"/>
      <c r="H36" s="373"/>
      <c r="I36" s="458"/>
      <c r="J36" s="265"/>
      <c r="K36" s="263"/>
      <c r="L36" s="266" t="s">
        <v>61</v>
      </c>
      <c r="M36" s="242">
        <f t="shared" si="6"/>
        <v>0</v>
      </c>
      <c r="N36" s="267"/>
      <c r="O36" s="268"/>
      <c r="P36" s="266" t="s">
        <v>10</v>
      </c>
      <c r="Q36" s="377"/>
      <c r="R36" s="269"/>
      <c r="S36" s="252" t="s">
        <v>10</v>
      </c>
      <c r="T36" s="270">
        <f t="shared" si="3"/>
        <v>0</v>
      </c>
      <c r="U36" s="271"/>
      <c r="V36" s="271"/>
      <c r="W36" s="272"/>
      <c r="X36" s="273"/>
      <c r="Y36" s="460"/>
      <c r="Z36" s="274"/>
      <c r="AA36" s="275"/>
      <c r="AB36" s="449"/>
      <c r="AC36" s="592"/>
      <c r="AD36" s="593"/>
      <c r="AE36" s="593"/>
      <c r="AF36" s="593"/>
    </row>
    <row r="37" spans="1:32" s="261" customFormat="1" ht="69.95" customHeight="1" x14ac:dyDescent="0.15">
      <c r="A37" s="431" t="s">
        <v>216</v>
      </c>
      <c r="B37" s="182">
        <f>$I$5</f>
        <v>600</v>
      </c>
      <c r="C37" s="461" t="str">
        <f>$A$5</f>
        <v>BK</v>
      </c>
      <c r="D37" s="461"/>
      <c r="E37" s="461"/>
      <c r="F37" s="461" t="str">
        <f>$A$5</f>
        <v>BK</v>
      </c>
      <c r="G37" s="461"/>
      <c r="H37" s="461"/>
      <c r="I37" s="441" t="s">
        <v>60</v>
      </c>
      <c r="J37" s="76"/>
      <c r="K37" s="139">
        <v>15</v>
      </c>
      <c r="L37" s="77" t="s">
        <v>61</v>
      </c>
      <c r="M37" s="78">
        <f t="shared" si="6"/>
        <v>2.25</v>
      </c>
      <c r="N37" s="79"/>
      <c r="O37" s="78"/>
      <c r="P37" s="80" t="s">
        <v>10</v>
      </c>
      <c r="Q37" s="377"/>
      <c r="R37" s="78">
        <v>3</v>
      </c>
      <c r="S37" s="80" t="s">
        <v>10</v>
      </c>
      <c r="T37" s="81">
        <f t="shared" si="3"/>
        <v>0.75</v>
      </c>
      <c r="U37" s="82"/>
      <c r="V37" s="137"/>
      <c r="W37" s="78"/>
      <c r="X37" s="78"/>
      <c r="Y37" s="445" t="s">
        <v>94</v>
      </c>
      <c r="Z37" s="141"/>
      <c r="AA37" s="135"/>
      <c r="AB37" s="449"/>
    </row>
    <row r="38" spans="1:32" s="176" customFormat="1" ht="69.95" customHeight="1" x14ac:dyDescent="0.15">
      <c r="A38" s="432"/>
      <c r="B38" s="186">
        <f>$I$6</f>
        <v>0</v>
      </c>
      <c r="C38" s="395">
        <f>$A$6</f>
        <v>0</v>
      </c>
      <c r="D38" s="396"/>
      <c r="E38" s="397"/>
      <c r="F38" s="395">
        <f>$A$6</f>
        <v>0</v>
      </c>
      <c r="G38" s="396"/>
      <c r="H38" s="397"/>
      <c r="I38" s="442"/>
      <c r="J38" s="144"/>
      <c r="K38" s="139"/>
      <c r="L38" s="145" t="s">
        <v>61</v>
      </c>
      <c r="M38" s="78">
        <f t="shared" si="6"/>
        <v>0</v>
      </c>
      <c r="N38" s="146"/>
      <c r="O38" s="147"/>
      <c r="P38" s="145" t="s">
        <v>10</v>
      </c>
      <c r="Q38" s="377"/>
      <c r="R38" s="161"/>
      <c r="S38" s="148" t="s">
        <v>10</v>
      </c>
      <c r="T38" s="84">
        <f t="shared" si="3"/>
        <v>0</v>
      </c>
      <c r="U38" s="149"/>
      <c r="V38" s="149"/>
      <c r="W38" s="150"/>
      <c r="X38" s="151"/>
      <c r="Y38" s="446"/>
      <c r="Z38" s="216"/>
      <c r="AA38" s="217"/>
      <c r="AB38" s="449"/>
      <c r="AC38" s="451"/>
      <c r="AD38" s="452"/>
      <c r="AE38" s="452"/>
      <c r="AF38" s="452"/>
    </row>
    <row r="39" spans="1:32" s="261" customFormat="1" ht="69.95" customHeight="1" x14ac:dyDescent="0.15">
      <c r="A39" s="431" t="s">
        <v>205</v>
      </c>
      <c r="B39" s="191">
        <f>$I$5</f>
        <v>600</v>
      </c>
      <c r="C39" s="465" t="str">
        <f>$A$5</f>
        <v>BK</v>
      </c>
      <c r="D39" s="465"/>
      <c r="E39" s="465"/>
      <c r="F39" s="465" t="str">
        <f>$A$5</f>
        <v>BK</v>
      </c>
      <c r="G39" s="465"/>
      <c r="H39" s="465"/>
      <c r="I39" s="433" t="s">
        <v>60</v>
      </c>
      <c r="J39" s="192"/>
      <c r="K39" s="193">
        <v>40</v>
      </c>
      <c r="L39" s="194" t="s">
        <v>61</v>
      </c>
      <c r="M39" s="195">
        <f>K39*B39/500</f>
        <v>48</v>
      </c>
      <c r="N39" s="196"/>
      <c r="O39" s="195"/>
      <c r="P39" s="197" t="s">
        <v>10</v>
      </c>
      <c r="Q39" s="307"/>
      <c r="R39" s="195"/>
      <c r="S39" s="197" t="s">
        <v>10</v>
      </c>
      <c r="T39" s="198">
        <f t="shared" si="3"/>
        <v>-48</v>
      </c>
      <c r="U39" s="199"/>
      <c r="V39" s="200"/>
      <c r="W39" s="195"/>
      <c r="X39" s="195"/>
      <c r="Y39" s="437" t="s">
        <v>94</v>
      </c>
      <c r="Z39" s="201"/>
      <c r="AA39" s="202"/>
      <c r="AB39" s="558"/>
    </row>
    <row r="40" spans="1:32" s="176" customFormat="1" ht="69.95" customHeight="1" x14ac:dyDescent="0.15">
      <c r="A40" s="432"/>
      <c r="B40" s="204">
        <f>$I$6</f>
        <v>0</v>
      </c>
      <c r="C40" s="453">
        <f>$A$6</f>
        <v>0</v>
      </c>
      <c r="D40" s="454"/>
      <c r="E40" s="455"/>
      <c r="F40" s="453">
        <f>$A$6</f>
        <v>0</v>
      </c>
      <c r="G40" s="454"/>
      <c r="H40" s="455"/>
      <c r="I40" s="434"/>
      <c r="J40" s="218"/>
      <c r="K40" s="193">
        <v>40</v>
      </c>
      <c r="L40" s="219" t="s">
        <v>61</v>
      </c>
      <c r="M40" s="195">
        <f>K40*B40/500</f>
        <v>0</v>
      </c>
      <c r="N40" s="220"/>
      <c r="O40" s="221"/>
      <c r="P40" s="219" t="s">
        <v>10</v>
      </c>
      <c r="Q40" s="307"/>
      <c r="R40" s="222"/>
      <c r="S40" s="215" t="s">
        <v>10</v>
      </c>
      <c r="T40" s="205">
        <f t="shared" si="3"/>
        <v>0</v>
      </c>
      <c r="U40" s="223"/>
      <c r="V40" s="223"/>
      <c r="W40" s="224"/>
      <c r="X40" s="225"/>
      <c r="Y40" s="438"/>
      <c r="Z40" s="226"/>
      <c r="AA40" s="227"/>
      <c r="AB40" s="558"/>
      <c r="AC40" s="451"/>
      <c r="AD40" s="452"/>
      <c r="AE40" s="452"/>
      <c r="AF40" s="452"/>
    </row>
    <row r="41" spans="1:32" s="55" customFormat="1" ht="69.95" customHeight="1" x14ac:dyDescent="0.15">
      <c r="A41" s="431" t="s">
        <v>213</v>
      </c>
      <c r="B41" s="182">
        <f t="shared" ref="B41:B59" si="7">$I$5</f>
        <v>600</v>
      </c>
      <c r="C41" s="368" t="str">
        <f t="shared" ref="C41:C59" si="8">$A$5</f>
        <v>BK</v>
      </c>
      <c r="D41" s="369"/>
      <c r="E41" s="370"/>
      <c r="F41" s="428"/>
      <c r="G41" s="429"/>
      <c r="H41" s="430"/>
      <c r="I41" s="75" t="s">
        <v>101</v>
      </c>
      <c r="J41" s="76"/>
      <c r="K41" s="139">
        <v>1</v>
      </c>
      <c r="L41" s="77" t="s">
        <v>63</v>
      </c>
      <c r="M41" s="78">
        <f>K41*B41</f>
        <v>600</v>
      </c>
      <c r="N41" s="79"/>
      <c r="O41" s="78"/>
      <c r="P41" s="80" t="s">
        <v>63</v>
      </c>
      <c r="Q41" s="377">
        <v>45996</v>
      </c>
      <c r="R41" s="78">
        <v>600</v>
      </c>
      <c r="S41" s="80" t="s">
        <v>63</v>
      </c>
      <c r="T41" s="84">
        <f t="shared" si="3"/>
        <v>0</v>
      </c>
      <c r="U41" s="82"/>
      <c r="V41" s="82"/>
      <c r="W41" s="83"/>
      <c r="X41" s="81"/>
      <c r="Y41" s="445" t="s">
        <v>94</v>
      </c>
      <c r="Z41" s="86"/>
      <c r="AA41" s="85"/>
      <c r="AB41" s="449" t="s">
        <v>210</v>
      </c>
    </row>
    <row r="42" spans="1:32" s="55" customFormat="1" ht="69.95" customHeight="1" x14ac:dyDescent="0.15">
      <c r="A42" s="432"/>
      <c r="B42" s="186">
        <f>$I$6</f>
        <v>0</v>
      </c>
      <c r="C42" s="368">
        <f>$A$6</f>
        <v>0</v>
      </c>
      <c r="D42" s="369"/>
      <c r="E42" s="370"/>
      <c r="F42" s="428"/>
      <c r="G42" s="429"/>
      <c r="H42" s="430"/>
      <c r="I42" s="75" t="s">
        <v>101</v>
      </c>
      <c r="J42" s="76"/>
      <c r="K42" s="139"/>
      <c r="L42" s="77" t="s">
        <v>63</v>
      </c>
      <c r="M42" s="78">
        <f>K42*B42</f>
        <v>0</v>
      </c>
      <c r="N42" s="140"/>
      <c r="O42" s="78"/>
      <c r="P42" s="80" t="s">
        <v>63</v>
      </c>
      <c r="Q42" s="377"/>
      <c r="R42" s="78"/>
      <c r="S42" s="80" t="s">
        <v>63</v>
      </c>
      <c r="T42" s="81">
        <f t="shared" si="3"/>
        <v>0</v>
      </c>
      <c r="U42" s="82"/>
      <c r="V42" s="137"/>
      <c r="W42" s="78"/>
      <c r="X42" s="78"/>
      <c r="Y42" s="446"/>
      <c r="Z42" s="141"/>
      <c r="AA42" s="135"/>
      <c r="AB42" s="449"/>
      <c r="AC42" s="142"/>
      <c r="AD42" s="179"/>
      <c r="AE42" s="179"/>
      <c r="AF42" s="179"/>
    </row>
    <row r="43" spans="1:32" s="55" customFormat="1" ht="69.95" customHeight="1" x14ac:dyDescent="0.15">
      <c r="A43" s="431" t="s">
        <v>136</v>
      </c>
      <c r="B43" s="182">
        <f t="shared" ref="B43" si="9">$I$5</f>
        <v>600</v>
      </c>
      <c r="C43" s="368" t="str">
        <f t="shared" ref="C43" si="10">$A$5</f>
        <v>BK</v>
      </c>
      <c r="D43" s="369"/>
      <c r="E43" s="370"/>
      <c r="F43" s="428"/>
      <c r="G43" s="429"/>
      <c r="H43" s="430"/>
      <c r="I43" s="75"/>
      <c r="J43" s="76"/>
      <c r="K43" s="139">
        <v>1</v>
      </c>
      <c r="L43" s="77" t="s">
        <v>65</v>
      </c>
      <c r="M43" s="78">
        <f>K43*B43</f>
        <v>600</v>
      </c>
      <c r="N43" s="79"/>
      <c r="O43" s="78"/>
      <c r="P43" s="80" t="s">
        <v>65</v>
      </c>
      <c r="Q43" s="377">
        <v>45996</v>
      </c>
      <c r="R43" s="78">
        <v>600</v>
      </c>
      <c r="S43" s="80" t="s">
        <v>65</v>
      </c>
      <c r="T43" s="84">
        <f t="shared" si="3"/>
        <v>0</v>
      </c>
      <c r="U43" s="82"/>
      <c r="V43" s="82"/>
      <c r="W43" s="83"/>
      <c r="X43" s="81"/>
      <c r="Y43" s="445" t="s">
        <v>94</v>
      </c>
      <c r="Z43" s="86"/>
      <c r="AA43" s="85"/>
      <c r="AB43" s="449"/>
    </row>
    <row r="44" spans="1:32" s="55" customFormat="1" ht="69.95" customHeight="1" x14ac:dyDescent="0.15">
      <c r="A44" s="432"/>
      <c r="B44" s="186">
        <f>$I$6</f>
        <v>0</v>
      </c>
      <c r="C44" s="368">
        <f>$A$6</f>
        <v>0</v>
      </c>
      <c r="D44" s="369"/>
      <c r="E44" s="370"/>
      <c r="F44" s="428"/>
      <c r="G44" s="429"/>
      <c r="H44" s="430"/>
      <c r="I44" s="75"/>
      <c r="J44" s="76"/>
      <c r="K44" s="139"/>
      <c r="L44" s="77" t="s">
        <v>65</v>
      </c>
      <c r="M44" s="78">
        <f>K44*B44</f>
        <v>0</v>
      </c>
      <c r="N44" s="140"/>
      <c r="O44" s="78"/>
      <c r="P44" s="80" t="s">
        <v>65</v>
      </c>
      <c r="Q44" s="378"/>
      <c r="R44" s="78"/>
      <c r="S44" s="80" t="s">
        <v>65</v>
      </c>
      <c r="T44" s="81">
        <f t="shared" si="3"/>
        <v>0</v>
      </c>
      <c r="U44" s="82"/>
      <c r="V44" s="137"/>
      <c r="W44" s="78"/>
      <c r="X44" s="78"/>
      <c r="Y44" s="446"/>
      <c r="Z44" s="141"/>
      <c r="AA44" s="135"/>
      <c r="AB44" s="450"/>
      <c r="AC44" s="142"/>
      <c r="AD44" s="179"/>
      <c r="AE44" s="179"/>
      <c r="AF44" s="179"/>
    </row>
    <row r="45" spans="1:32" s="206" customFormat="1" ht="69.95" customHeight="1" x14ac:dyDescent="0.15">
      <c r="A45" s="431" t="s">
        <v>117</v>
      </c>
      <c r="B45" s="191">
        <f t="shared" ref="B45:B47" si="11">$I$5</f>
        <v>600</v>
      </c>
      <c r="C45" s="422" t="str">
        <f t="shared" ref="C45:C47" si="12">$A$5</f>
        <v>BK</v>
      </c>
      <c r="D45" s="423"/>
      <c r="E45" s="424"/>
      <c r="F45" s="425"/>
      <c r="G45" s="423"/>
      <c r="H45" s="424"/>
      <c r="I45" s="433" t="s">
        <v>80</v>
      </c>
      <c r="J45" s="192"/>
      <c r="K45" s="193">
        <v>1</v>
      </c>
      <c r="L45" s="194" t="s">
        <v>65</v>
      </c>
      <c r="M45" s="195">
        <f t="shared" ref="M45:M60" si="13">K45*B45</f>
        <v>600</v>
      </c>
      <c r="N45" s="196"/>
      <c r="O45" s="195"/>
      <c r="P45" s="194" t="s">
        <v>65</v>
      </c>
      <c r="Q45" s="435"/>
      <c r="R45" s="195"/>
      <c r="S45" s="194" t="s">
        <v>65</v>
      </c>
      <c r="T45" s="205">
        <f t="shared" si="3"/>
        <v>-600</v>
      </c>
      <c r="U45" s="199"/>
      <c r="V45" s="199"/>
      <c r="W45" s="208"/>
      <c r="X45" s="198"/>
      <c r="Y45" s="437" t="s">
        <v>57</v>
      </c>
      <c r="Z45" s="231"/>
      <c r="AA45" s="232"/>
      <c r="AB45" s="439"/>
    </row>
    <row r="46" spans="1:32" s="206" customFormat="1" ht="69.95" customHeight="1" x14ac:dyDescent="0.15">
      <c r="A46" s="432"/>
      <c r="B46" s="204">
        <f>$I$6</f>
        <v>0</v>
      </c>
      <c r="C46" s="453">
        <f>$A$6</f>
        <v>0</v>
      </c>
      <c r="D46" s="454"/>
      <c r="E46" s="455"/>
      <c r="F46" s="425"/>
      <c r="G46" s="423"/>
      <c r="H46" s="424"/>
      <c r="I46" s="434"/>
      <c r="J46" s="192"/>
      <c r="K46" s="193">
        <v>1</v>
      </c>
      <c r="L46" s="194" t="s">
        <v>65</v>
      </c>
      <c r="M46" s="195">
        <f t="shared" si="13"/>
        <v>0</v>
      </c>
      <c r="N46" s="233"/>
      <c r="O46" s="195"/>
      <c r="P46" s="194" t="s">
        <v>65</v>
      </c>
      <c r="Q46" s="436"/>
      <c r="R46" s="195"/>
      <c r="S46" s="194" t="s">
        <v>65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440"/>
      <c r="AC46" s="234"/>
      <c r="AD46" s="230"/>
      <c r="AE46" s="230"/>
      <c r="AF46" s="230"/>
    </row>
    <row r="47" spans="1:32" s="206" customFormat="1" ht="69.95" customHeight="1" x14ac:dyDescent="0.15">
      <c r="A47" s="431" t="s">
        <v>78</v>
      </c>
      <c r="B47" s="191">
        <f t="shared" si="11"/>
        <v>600</v>
      </c>
      <c r="C47" s="422" t="str">
        <f t="shared" si="12"/>
        <v>BK</v>
      </c>
      <c r="D47" s="423"/>
      <c r="E47" s="424"/>
      <c r="F47" s="425"/>
      <c r="G47" s="423"/>
      <c r="H47" s="424"/>
      <c r="I47" s="207"/>
      <c r="J47" s="192"/>
      <c r="K47" s="193">
        <v>1</v>
      </c>
      <c r="L47" s="194" t="s">
        <v>65</v>
      </c>
      <c r="M47" s="195">
        <f t="shared" si="13"/>
        <v>600</v>
      </c>
      <c r="N47" s="196"/>
      <c r="O47" s="195"/>
      <c r="P47" s="194" t="s">
        <v>65</v>
      </c>
      <c r="Q47" s="435"/>
      <c r="R47" s="195"/>
      <c r="S47" s="194" t="s">
        <v>65</v>
      </c>
      <c r="T47" s="205">
        <f t="shared" si="3"/>
        <v>-600</v>
      </c>
      <c r="U47" s="199"/>
      <c r="V47" s="199"/>
      <c r="W47" s="208"/>
      <c r="X47" s="198"/>
      <c r="Y47" s="437" t="s">
        <v>57</v>
      </c>
      <c r="Z47" s="231"/>
      <c r="AA47" s="232"/>
      <c r="AB47" s="439"/>
    </row>
    <row r="48" spans="1:32" s="206" customFormat="1" ht="69.95" customHeight="1" x14ac:dyDescent="0.15">
      <c r="A48" s="432"/>
      <c r="B48" s="204">
        <f>$I$6</f>
        <v>0</v>
      </c>
      <c r="C48" s="453">
        <f>$A$6</f>
        <v>0</v>
      </c>
      <c r="D48" s="454"/>
      <c r="E48" s="455"/>
      <c r="F48" s="425"/>
      <c r="G48" s="423"/>
      <c r="H48" s="424"/>
      <c r="I48" s="207"/>
      <c r="J48" s="192"/>
      <c r="K48" s="193">
        <v>1</v>
      </c>
      <c r="L48" s="194" t="s">
        <v>65</v>
      </c>
      <c r="M48" s="195">
        <f t="shared" si="13"/>
        <v>0</v>
      </c>
      <c r="N48" s="233"/>
      <c r="O48" s="195"/>
      <c r="P48" s="194" t="s">
        <v>65</v>
      </c>
      <c r="Q48" s="436"/>
      <c r="R48" s="195"/>
      <c r="S48" s="194" t="s">
        <v>65</v>
      </c>
      <c r="T48" s="198">
        <f t="shared" si="3"/>
        <v>0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55" customFormat="1" ht="69.95" customHeight="1" x14ac:dyDescent="0.15">
      <c r="A49" s="431" t="s">
        <v>146</v>
      </c>
      <c r="B49" s="191">
        <f t="shared" ref="B49:B51" si="14">$I$5</f>
        <v>600</v>
      </c>
      <c r="C49" s="422" t="str">
        <f t="shared" ref="C49:C51" si="15">$A$5</f>
        <v>BK</v>
      </c>
      <c r="D49" s="423"/>
      <c r="E49" s="424"/>
      <c r="F49" s="425"/>
      <c r="G49" s="426"/>
      <c r="H49" s="427"/>
      <c r="I49" s="433" t="s">
        <v>102</v>
      </c>
      <c r="J49" s="192"/>
      <c r="K49" s="209">
        <v>0.95</v>
      </c>
      <c r="L49" s="194" t="s">
        <v>129</v>
      </c>
      <c r="M49" s="195">
        <f t="shared" si="13"/>
        <v>570</v>
      </c>
      <c r="N49" s="196"/>
      <c r="O49" s="195"/>
      <c r="P49" s="197" t="s">
        <v>63</v>
      </c>
      <c r="Q49" s="435"/>
      <c r="R49" s="195"/>
      <c r="S49" s="197" t="s">
        <v>63</v>
      </c>
      <c r="T49" s="205">
        <f t="shared" si="3"/>
        <v>-570</v>
      </c>
      <c r="U49" s="199"/>
      <c r="V49" s="199"/>
      <c r="W49" s="208"/>
      <c r="X49" s="198"/>
      <c r="Y49" s="437" t="s">
        <v>130</v>
      </c>
      <c r="Z49" s="231"/>
      <c r="AA49" s="232"/>
      <c r="AB49" s="439"/>
    </row>
    <row r="50" spans="1:32" s="55" customFormat="1" ht="69.95" customHeight="1" x14ac:dyDescent="0.15">
      <c r="A50" s="432"/>
      <c r="B50" s="204">
        <f>$I$6</f>
        <v>0</v>
      </c>
      <c r="C50" s="422">
        <f>$A$6</f>
        <v>0</v>
      </c>
      <c r="D50" s="423"/>
      <c r="E50" s="424"/>
      <c r="F50" s="425"/>
      <c r="G50" s="426"/>
      <c r="H50" s="427"/>
      <c r="I50" s="434"/>
      <c r="J50" s="192"/>
      <c r="K50" s="193"/>
      <c r="L50" s="194" t="s">
        <v>129</v>
      </c>
      <c r="M50" s="195">
        <f t="shared" si="13"/>
        <v>0</v>
      </c>
      <c r="N50" s="233"/>
      <c r="O50" s="195"/>
      <c r="P50" s="197" t="s">
        <v>63</v>
      </c>
      <c r="Q50" s="561"/>
      <c r="R50" s="195"/>
      <c r="S50" s="197" t="s">
        <v>63</v>
      </c>
      <c r="T50" s="198">
        <f t="shared" si="3"/>
        <v>0</v>
      </c>
      <c r="U50" s="199"/>
      <c r="V50" s="200"/>
      <c r="W50" s="195"/>
      <c r="X50" s="195"/>
      <c r="Y50" s="438"/>
      <c r="Z50" s="201"/>
      <c r="AA50" s="202"/>
      <c r="AB50" s="558"/>
      <c r="AC50" s="142"/>
      <c r="AD50" s="179"/>
      <c r="AE50" s="179"/>
      <c r="AF50" s="179"/>
    </row>
    <row r="51" spans="1:32" s="55" customFormat="1" ht="69.95" customHeight="1" x14ac:dyDescent="0.15">
      <c r="A51" s="431" t="s">
        <v>141</v>
      </c>
      <c r="B51" s="191">
        <f t="shared" si="14"/>
        <v>600</v>
      </c>
      <c r="C51" s="422" t="str">
        <f t="shared" si="15"/>
        <v>BK</v>
      </c>
      <c r="D51" s="423"/>
      <c r="E51" s="424"/>
      <c r="F51" s="425"/>
      <c r="G51" s="426"/>
      <c r="H51" s="427"/>
      <c r="I51" s="433" t="s">
        <v>124</v>
      </c>
      <c r="J51" s="192"/>
      <c r="K51" s="209">
        <v>0.95</v>
      </c>
      <c r="L51" s="194" t="s">
        <v>129</v>
      </c>
      <c r="M51" s="195">
        <f t="shared" si="13"/>
        <v>570</v>
      </c>
      <c r="N51" s="196"/>
      <c r="O51" s="195"/>
      <c r="P51" s="197" t="s">
        <v>63</v>
      </c>
      <c r="Q51" s="561"/>
      <c r="R51" s="195"/>
      <c r="S51" s="197" t="s">
        <v>63</v>
      </c>
      <c r="T51" s="205">
        <f t="shared" si="3"/>
        <v>-570</v>
      </c>
      <c r="U51" s="199"/>
      <c r="V51" s="199"/>
      <c r="W51" s="208"/>
      <c r="X51" s="198"/>
      <c r="Y51" s="437" t="s">
        <v>130</v>
      </c>
      <c r="Z51" s="231"/>
      <c r="AA51" s="232"/>
      <c r="AB51" s="558"/>
    </row>
    <row r="52" spans="1:32" s="55" customFormat="1" ht="69.95" customHeight="1" x14ac:dyDescent="0.15">
      <c r="A52" s="432"/>
      <c r="B52" s="204">
        <f>$I$6</f>
        <v>0</v>
      </c>
      <c r="C52" s="422">
        <f>$A$6</f>
        <v>0</v>
      </c>
      <c r="D52" s="423"/>
      <c r="E52" s="424"/>
      <c r="F52" s="425"/>
      <c r="G52" s="426"/>
      <c r="H52" s="427"/>
      <c r="I52" s="434"/>
      <c r="J52" s="192"/>
      <c r="K52" s="193"/>
      <c r="L52" s="194" t="s">
        <v>129</v>
      </c>
      <c r="M52" s="195">
        <f t="shared" si="13"/>
        <v>0</v>
      </c>
      <c r="N52" s="233"/>
      <c r="O52" s="195"/>
      <c r="P52" s="197" t="s">
        <v>63</v>
      </c>
      <c r="Q52" s="436"/>
      <c r="R52" s="195"/>
      <c r="S52" s="197" t="s">
        <v>63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  <c r="AC52" s="142"/>
      <c r="AD52" s="179"/>
      <c r="AE52" s="179"/>
      <c r="AF52" s="179"/>
    </row>
    <row r="53" spans="1:32" s="55" customFormat="1" ht="69.95" customHeight="1" x14ac:dyDescent="0.15">
      <c r="A53" s="431" t="s">
        <v>134</v>
      </c>
      <c r="B53" s="191">
        <f t="shared" ref="B53" si="16">$I$5</f>
        <v>600</v>
      </c>
      <c r="C53" s="422" t="str">
        <f t="shared" ref="C53" si="17">$A$5</f>
        <v>BK</v>
      </c>
      <c r="D53" s="423"/>
      <c r="E53" s="424"/>
      <c r="F53" s="425"/>
      <c r="G53" s="426"/>
      <c r="H53" s="427"/>
      <c r="I53" s="207"/>
      <c r="J53" s="192"/>
      <c r="K53" s="193">
        <v>1</v>
      </c>
      <c r="L53" s="194" t="s">
        <v>65</v>
      </c>
      <c r="M53" s="195">
        <f t="shared" si="13"/>
        <v>600</v>
      </c>
      <c r="N53" s="196"/>
      <c r="O53" s="195"/>
      <c r="P53" s="197" t="s">
        <v>65</v>
      </c>
      <c r="Q53" s="435"/>
      <c r="R53" s="195"/>
      <c r="S53" s="197" t="s">
        <v>65</v>
      </c>
      <c r="T53" s="205">
        <f t="shared" si="3"/>
        <v>-600</v>
      </c>
      <c r="U53" s="199"/>
      <c r="V53" s="199"/>
      <c r="W53" s="208"/>
      <c r="X53" s="198"/>
      <c r="Y53" s="437" t="s">
        <v>135</v>
      </c>
      <c r="Z53" s="231"/>
      <c r="AA53" s="232"/>
      <c r="AB53" s="439"/>
    </row>
    <row r="54" spans="1:32" s="55" customFormat="1" ht="69.95" customHeight="1" x14ac:dyDescent="0.15">
      <c r="A54" s="432"/>
      <c r="B54" s="204">
        <f>$I$6</f>
        <v>0</v>
      </c>
      <c r="C54" s="422">
        <f>$A$6</f>
        <v>0</v>
      </c>
      <c r="D54" s="423"/>
      <c r="E54" s="424"/>
      <c r="F54" s="425"/>
      <c r="G54" s="426"/>
      <c r="H54" s="427"/>
      <c r="I54" s="207"/>
      <c r="J54" s="192"/>
      <c r="K54" s="193">
        <v>1</v>
      </c>
      <c r="L54" s="194" t="s">
        <v>65</v>
      </c>
      <c r="M54" s="195">
        <f t="shared" si="13"/>
        <v>0</v>
      </c>
      <c r="N54" s="233"/>
      <c r="O54" s="195"/>
      <c r="P54" s="197" t="s">
        <v>65</v>
      </c>
      <c r="Q54" s="436"/>
      <c r="R54" s="195"/>
      <c r="S54" s="197" t="s">
        <v>65</v>
      </c>
      <c r="T54" s="198">
        <f t="shared" si="3"/>
        <v>0</v>
      </c>
      <c r="U54" s="199"/>
      <c r="V54" s="200"/>
      <c r="W54" s="195"/>
      <c r="X54" s="195"/>
      <c r="Y54" s="438"/>
      <c r="Z54" s="201"/>
      <c r="AA54" s="202"/>
      <c r="AB54" s="440"/>
      <c r="AC54" s="142"/>
      <c r="AD54" s="179"/>
      <c r="AE54" s="179"/>
      <c r="AF54" s="179"/>
    </row>
    <row r="55" spans="1:32" s="206" customFormat="1" ht="69.95" customHeight="1" x14ac:dyDescent="0.15">
      <c r="A55" s="431" t="s">
        <v>197</v>
      </c>
      <c r="B55" s="182">
        <f t="shared" si="7"/>
        <v>600</v>
      </c>
      <c r="C55" s="368" t="str">
        <f t="shared" si="8"/>
        <v>BK</v>
      </c>
      <c r="D55" s="369"/>
      <c r="E55" s="370"/>
      <c r="F55" s="428"/>
      <c r="G55" s="429"/>
      <c r="H55" s="430"/>
      <c r="I55" s="75" t="s">
        <v>113</v>
      </c>
      <c r="J55" s="76"/>
      <c r="K55" s="139">
        <v>1</v>
      </c>
      <c r="L55" s="77" t="s">
        <v>63</v>
      </c>
      <c r="M55" s="78">
        <f t="shared" ref="M55:M56" si="18">K55*B55</f>
        <v>600</v>
      </c>
      <c r="N55" s="79"/>
      <c r="O55" s="78"/>
      <c r="P55" s="80" t="s">
        <v>63</v>
      </c>
      <c r="Q55" s="443">
        <v>45996</v>
      </c>
      <c r="R55" s="78">
        <v>600</v>
      </c>
      <c r="S55" s="80" t="s">
        <v>63</v>
      </c>
      <c r="T55" s="84">
        <f t="shared" ref="T55:T56" si="19">R55-M55</f>
        <v>0</v>
      </c>
      <c r="U55" s="82"/>
      <c r="V55" s="82"/>
      <c r="W55" s="83"/>
      <c r="X55" s="81"/>
      <c r="Y55" s="445" t="s">
        <v>64</v>
      </c>
      <c r="Z55" s="86"/>
      <c r="AA55" s="85"/>
      <c r="AB55" s="360" t="s">
        <v>210</v>
      </c>
    </row>
    <row r="56" spans="1:32" s="206" customFormat="1" ht="69.95" customHeight="1" x14ac:dyDescent="0.15">
      <c r="A56" s="432"/>
      <c r="B56" s="186">
        <f>$I$6</f>
        <v>0</v>
      </c>
      <c r="C56" s="368">
        <f>$A$6</f>
        <v>0</v>
      </c>
      <c r="D56" s="369"/>
      <c r="E56" s="370"/>
      <c r="F56" s="428"/>
      <c r="G56" s="429"/>
      <c r="H56" s="430"/>
      <c r="I56" s="75"/>
      <c r="J56" s="76"/>
      <c r="K56" s="139"/>
      <c r="L56" s="77" t="s">
        <v>63</v>
      </c>
      <c r="M56" s="78">
        <f t="shared" si="18"/>
        <v>0</v>
      </c>
      <c r="N56" s="140"/>
      <c r="O56" s="78"/>
      <c r="P56" s="80" t="s">
        <v>63</v>
      </c>
      <c r="Q56" s="444"/>
      <c r="R56" s="78"/>
      <c r="S56" s="80" t="s">
        <v>63</v>
      </c>
      <c r="T56" s="81">
        <f t="shared" si="19"/>
        <v>0</v>
      </c>
      <c r="U56" s="82"/>
      <c r="V56" s="137"/>
      <c r="W56" s="78"/>
      <c r="X56" s="78"/>
      <c r="Y56" s="446"/>
      <c r="Z56" s="141"/>
      <c r="AA56" s="135"/>
      <c r="AB56" s="362"/>
      <c r="AC56" s="234"/>
      <c r="AD56" s="230"/>
      <c r="AE56" s="230"/>
      <c r="AF56" s="230"/>
    </row>
    <row r="57" spans="1:32" s="206" customFormat="1" ht="69.95" customHeight="1" x14ac:dyDescent="0.15">
      <c r="A57" s="431" t="s">
        <v>90</v>
      </c>
      <c r="B57" s="191">
        <f t="shared" si="7"/>
        <v>600</v>
      </c>
      <c r="C57" s="422" t="str">
        <f t="shared" si="8"/>
        <v>BK</v>
      </c>
      <c r="D57" s="423"/>
      <c r="E57" s="424"/>
      <c r="F57" s="425"/>
      <c r="G57" s="426"/>
      <c r="H57" s="427"/>
      <c r="I57" s="207" t="s">
        <v>79</v>
      </c>
      <c r="J57" s="192"/>
      <c r="K57" s="193">
        <v>1</v>
      </c>
      <c r="L57" s="194" t="s">
        <v>63</v>
      </c>
      <c r="M57" s="195">
        <f t="shared" si="13"/>
        <v>600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si="3"/>
        <v>-600</v>
      </c>
      <c r="U57" s="199"/>
      <c r="V57" s="199"/>
      <c r="W57" s="208"/>
      <c r="X57" s="198"/>
      <c r="Y57" s="437" t="s">
        <v>64</v>
      </c>
      <c r="Z57" s="231"/>
      <c r="AA57" s="232"/>
      <c r="AB57" s="439"/>
    </row>
    <row r="58" spans="1:32" s="206" customFormat="1" ht="69.95" customHeight="1" x14ac:dyDescent="0.15">
      <c r="A58" s="432"/>
      <c r="B58" s="204">
        <f>$I$6</f>
        <v>0</v>
      </c>
      <c r="C58" s="422">
        <f>$A$6</f>
        <v>0</v>
      </c>
      <c r="D58" s="423"/>
      <c r="E58" s="424"/>
      <c r="F58" s="425"/>
      <c r="G58" s="426"/>
      <c r="H58" s="427"/>
      <c r="I58" s="207" t="s">
        <v>79</v>
      </c>
      <c r="J58" s="192"/>
      <c r="K58" s="193">
        <v>1</v>
      </c>
      <c r="L58" s="194" t="s">
        <v>63</v>
      </c>
      <c r="M58" s="195">
        <f t="shared" si="13"/>
        <v>0</v>
      </c>
      <c r="N58" s="233"/>
      <c r="O58" s="195"/>
      <c r="P58" s="197" t="s">
        <v>63</v>
      </c>
      <c r="Q58" s="436"/>
      <c r="R58" s="195"/>
      <c r="S58" s="197" t="s">
        <v>63</v>
      </c>
      <c r="T58" s="198">
        <f t="shared" si="3"/>
        <v>0</v>
      </c>
      <c r="U58" s="199"/>
      <c r="V58" s="200"/>
      <c r="W58" s="195"/>
      <c r="X58" s="195"/>
      <c r="Y58" s="438"/>
      <c r="Z58" s="201"/>
      <c r="AA58" s="202"/>
      <c r="AB58" s="440"/>
      <c r="AC58" s="234"/>
      <c r="AD58" s="230"/>
      <c r="AE58" s="230"/>
      <c r="AF58" s="230"/>
    </row>
    <row r="59" spans="1:32" s="55" customFormat="1" ht="69.95" customHeight="1" x14ac:dyDescent="0.15">
      <c r="A59" s="431" t="s">
        <v>91</v>
      </c>
      <c r="B59" s="191">
        <f t="shared" si="7"/>
        <v>600</v>
      </c>
      <c r="C59" s="422" t="str">
        <f t="shared" si="8"/>
        <v>BK</v>
      </c>
      <c r="D59" s="423"/>
      <c r="E59" s="424"/>
      <c r="F59" s="425"/>
      <c r="G59" s="426"/>
      <c r="H59" s="427"/>
      <c r="I59" s="207" t="s">
        <v>75</v>
      </c>
      <c r="J59" s="192"/>
      <c r="K59" s="193">
        <v>1</v>
      </c>
      <c r="L59" s="194" t="s">
        <v>63</v>
      </c>
      <c r="M59" s="195">
        <f t="shared" si="13"/>
        <v>600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-600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55" customFormat="1" ht="69.95" customHeight="1" x14ac:dyDescent="0.15">
      <c r="A60" s="432"/>
      <c r="B60" s="204">
        <f>$I$6</f>
        <v>0</v>
      </c>
      <c r="C60" s="422">
        <f>$A$6</f>
        <v>0</v>
      </c>
      <c r="D60" s="423"/>
      <c r="E60" s="424"/>
      <c r="F60" s="425"/>
      <c r="G60" s="426"/>
      <c r="H60" s="427"/>
      <c r="I60" s="207" t="s">
        <v>75</v>
      </c>
      <c r="J60" s="192"/>
      <c r="K60" s="193">
        <v>1</v>
      </c>
      <c r="L60" s="194" t="s">
        <v>63</v>
      </c>
      <c r="M60" s="195">
        <f t="shared" si="13"/>
        <v>0</v>
      </c>
      <c r="N60" s="233"/>
      <c r="O60" s="195"/>
      <c r="P60" s="197" t="s">
        <v>63</v>
      </c>
      <c r="Q60" s="436"/>
      <c r="R60" s="195"/>
      <c r="S60" s="197" t="s">
        <v>63</v>
      </c>
      <c r="T60" s="198">
        <f t="shared" si="3"/>
        <v>0</v>
      </c>
      <c r="U60" s="199"/>
      <c r="V60" s="200"/>
      <c r="W60" s="195"/>
      <c r="X60" s="195"/>
      <c r="Y60" s="438"/>
      <c r="Z60" s="201"/>
      <c r="AA60" s="202"/>
      <c r="AB60" s="440"/>
      <c r="AC60" s="142"/>
      <c r="AD60" s="179"/>
      <c r="AE60" s="179"/>
      <c r="AF60" s="179"/>
    </row>
    <row r="61" spans="1:32" s="206" customFormat="1" ht="69.95" customHeight="1" x14ac:dyDescent="0.15">
      <c r="A61" s="431" t="s">
        <v>119</v>
      </c>
      <c r="B61" s="191">
        <f t="shared" ref="B61:B63" si="20">$I$5</f>
        <v>600</v>
      </c>
      <c r="C61" s="422" t="str">
        <f t="shared" ref="C61:C63" si="21">$A$5</f>
        <v>BK</v>
      </c>
      <c r="D61" s="423"/>
      <c r="E61" s="424"/>
      <c r="F61" s="425"/>
      <c r="G61" s="426"/>
      <c r="H61" s="427"/>
      <c r="I61" s="433" t="s">
        <v>121</v>
      </c>
      <c r="J61" s="192"/>
      <c r="K61" s="193">
        <v>2</v>
      </c>
      <c r="L61" s="194" t="s">
        <v>63</v>
      </c>
      <c r="M61" s="195">
        <f t="shared" si="4"/>
        <v>1200</v>
      </c>
      <c r="N61" s="196"/>
      <c r="O61" s="195"/>
      <c r="P61" s="197" t="s">
        <v>63</v>
      </c>
      <c r="Q61" s="435"/>
      <c r="R61" s="195"/>
      <c r="S61" s="197" t="s">
        <v>63</v>
      </c>
      <c r="T61" s="205">
        <f t="shared" si="3"/>
        <v>-1200</v>
      </c>
      <c r="U61" s="199"/>
      <c r="V61" s="199"/>
      <c r="W61" s="208"/>
      <c r="X61" s="198"/>
      <c r="Y61" s="437" t="s">
        <v>64</v>
      </c>
      <c r="Z61" s="231"/>
      <c r="AA61" s="232"/>
      <c r="AB61" s="439"/>
    </row>
    <row r="62" spans="1:32" s="206" customFormat="1" ht="69.95" customHeight="1" x14ac:dyDescent="0.15">
      <c r="A62" s="432"/>
      <c r="B62" s="204">
        <f>$I$6</f>
        <v>0</v>
      </c>
      <c r="C62" s="422">
        <f>$A$6</f>
        <v>0</v>
      </c>
      <c r="D62" s="423"/>
      <c r="E62" s="424"/>
      <c r="F62" s="425"/>
      <c r="G62" s="426"/>
      <c r="H62" s="427"/>
      <c r="I62" s="434"/>
      <c r="J62" s="192"/>
      <c r="K62" s="193">
        <v>2</v>
      </c>
      <c r="L62" s="194" t="s">
        <v>63</v>
      </c>
      <c r="M62" s="195">
        <f t="shared" si="4"/>
        <v>0</v>
      </c>
      <c r="N62" s="233"/>
      <c r="O62" s="195"/>
      <c r="P62" s="197" t="s">
        <v>63</v>
      </c>
      <c r="Q62" s="436"/>
      <c r="R62" s="195"/>
      <c r="S62" s="197" t="s">
        <v>63</v>
      </c>
      <c r="T62" s="198">
        <f t="shared" si="3"/>
        <v>0</v>
      </c>
      <c r="U62" s="199"/>
      <c r="V62" s="200"/>
      <c r="W62" s="195"/>
      <c r="X62" s="195"/>
      <c r="Y62" s="438"/>
      <c r="Z62" s="201"/>
      <c r="AA62" s="202"/>
      <c r="AB62" s="440"/>
      <c r="AC62" s="234"/>
      <c r="AD62" s="230"/>
      <c r="AE62" s="230"/>
      <c r="AF62" s="230"/>
    </row>
    <row r="63" spans="1:32" s="206" customFormat="1" ht="69.95" customHeight="1" x14ac:dyDescent="0.15">
      <c r="A63" s="431" t="s">
        <v>120</v>
      </c>
      <c r="B63" s="191">
        <f t="shared" si="20"/>
        <v>600</v>
      </c>
      <c r="C63" s="422" t="str">
        <f t="shared" si="21"/>
        <v>BK</v>
      </c>
      <c r="D63" s="423"/>
      <c r="E63" s="424"/>
      <c r="F63" s="425"/>
      <c r="G63" s="426"/>
      <c r="H63" s="427"/>
      <c r="I63" s="433" t="s">
        <v>75</v>
      </c>
      <c r="J63" s="192"/>
      <c r="K63" s="193">
        <v>2</v>
      </c>
      <c r="L63" s="194" t="s">
        <v>63</v>
      </c>
      <c r="M63" s="195">
        <f t="shared" si="4"/>
        <v>1200</v>
      </c>
      <c r="N63" s="196"/>
      <c r="O63" s="195"/>
      <c r="P63" s="197" t="s">
        <v>63</v>
      </c>
      <c r="Q63" s="435"/>
      <c r="R63" s="195"/>
      <c r="S63" s="197" t="s">
        <v>63</v>
      </c>
      <c r="T63" s="205">
        <f t="shared" si="3"/>
        <v>-1200</v>
      </c>
      <c r="U63" s="199"/>
      <c r="V63" s="199"/>
      <c r="W63" s="208"/>
      <c r="X63" s="198"/>
      <c r="Y63" s="437" t="s">
        <v>64</v>
      </c>
      <c r="Z63" s="231"/>
      <c r="AA63" s="232"/>
      <c r="AB63" s="439"/>
    </row>
    <row r="64" spans="1:32" s="206" customFormat="1" ht="69.95" customHeight="1" x14ac:dyDescent="0.15">
      <c r="A64" s="432"/>
      <c r="B64" s="204">
        <f>$I$6</f>
        <v>0</v>
      </c>
      <c r="C64" s="422">
        <f>$A$6</f>
        <v>0</v>
      </c>
      <c r="D64" s="423"/>
      <c r="E64" s="424"/>
      <c r="F64" s="425"/>
      <c r="G64" s="426"/>
      <c r="H64" s="427"/>
      <c r="I64" s="434"/>
      <c r="J64" s="192"/>
      <c r="K64" s="193">
        <v>2</v>
      </c>
      <c r="L64" s="194" t="s">
        <v>63</v>
      </c>
      <c r="M64" s="195">
        <f t="shared" si="4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234"/>
      <c r="AD64" s="230"/>
      <c r="AE64" s="230"/>
      <c r="AF64" s="230"/>
    </row>
    <row r="65" spans="1:28" s="176" customFormat="1" ht="54.95" customHeight="1" x14ac:dyDescent="0.15">
      <c r="A65" s="386" t="s">
        <v>66</v>
      </c>
      <c r="B65" s="164">
        <f>C11</f>
        <v>250</v>
      </c>
      <c r="C65" s="407" t="e">
        <f>#REF!</f>
        <v>#REF!</v>
      </c>
      <c r="D65" s="408"/>
      <c r="E65" s="409"/>
      <c r="F65" s="371"/>
      <c r="G65" s="372"/>
      <c r="H65" s="373"/>
      <c r="I65" s="276"/>
      <c r="J65" s="255"/>
      <c r="K65" s="263">
        <v>1</v>
      </c>
      <c r="L65" s="168" t="s">
        <v>63</v>
      </c>
      <c r="M65" s="169">
        <f t="shared" si="4"/>
        <v>250</v>
      </c>
      <c r="N65" s="171"/>
      <c r="O65" s="277"/>
      <c r="P65" s="169" t="s">
        <v>63</v>
      </c>
      <c r="Q65" s="376">
        <v>45996</v>
      </c>
      <c r="R65" s="277">
        <v>250</v>
      </c>
      <c r="S65" s="169" t="s">
        <v>63</v>
      </c>
      <c r="T65" s="278">
        <f t="shared" si="3"/>
        <v>0</v>
      </c>
      <c r="U65" s="279"/>
      <c r="V65" s="280"/>
      <c r="W65" s="278"/>
      <c r="X65" s="278"/>
      <c r="Y65" s="374" t="s">
        <v>72</v>
      </c>
      <c r="Z65" s="374"/>
      <c r="AA65" s="374"/>
      <c r="AB65" s="404" t="s">
        <v>209</v>
      </c>
    </row>
    <row r="66" spans="1:28" s="176" customFormat="1" ht="54.95" customHeight="1" x14ac:dyDescent="0.15">
      <c r="A66" s="387"/>
      <c r="B66" s="164">
        <f>D11</f>
        <v>270</v>
      </c>
      <c r="C66" s="410"/>
      <c r="D66" s="411"/>
      <c r="E66" s="412"/>
      <c r="F66" s="371"/>
      <c r="G66" s="372"/>
      <c r="H66" s="373"/>
      <c r="I66" s="276"/>
      <c r="J66" s="255"/>
      <c r="K66" s="167">
        <v>1</v>
      </c>
      <c r="L66" s="168" t="s">
        <v>63</v>
      </c>
      <c r="M66" s="169">
        <f t="shared" si="4"/>
        <v>270</v>
      </c>
      <c r="N66" s="171"/>
      <c r="O66" s="277"/>
      <c r="P66" s="169" t="s">
        <v>63</v>
      </c>
      <c r="Q66" s="377"/>
      <c r="R66" s="277">
        <v>270</v>
      </c>
      <c r="S66" s="169" t="s">
        <v>63</v>
      </c>
      <c r="T66" s="278">
        <f t="shared" si="3"/>
        <v>0</v>
      </c>
      <c r="U66" s="279"/>
      <c r="V66" s="280"/>
      <c r="W66" s="278"/>
      <c r="X66" s="278"/>
      <c r="Y66" s="375"/>
      <c r="Z66" s="375"/>
      <c r="AA66" s="375"/>
      <c r="AB66" s="405"/>
    </row>
    <row r="67" spans="1:28" s="176" customFormat="1" ht="54.95" customHeight="1" x14ac:dyDescent="0.15">
      <c r="A67" s="387"/>
      <c r="B67" s="164">
        <f>E11</f>
        <v>80</v>
      </c>
      <c r="C67" s="410"/>
      <c r="D67" s="411"/>
      <c r="E67" s="412"/>
      <c r="F67" s="371"/>
      <c r="G67" s="372"/>
      <c r="H67" s="373"/>
      <c r="I67" s="276"/>
      <c r="J67" s="255"/>
      <c r="K67" s="167">
        <v>1</v>
      </c>
      <c r="L67" s="168" t="s">
        <v>63</v>
      </c>
      <c r="M67" s="169">
        <f t="shared" si="4"/>
        <v>80</v>
      </c>
      <c r="N67" s="171"/>
      <c r="O67" s="277"/>
      <c r="P67" s="169" t="s">
        <v>63</v>
      </c>
      <c r="Q67" s="377"/>
      <c r="R67" s="277">
        <v>80</v>
      </c>
      <c r="S67" s="169" t="s">
        <v>63</v>
      </c>
      <c r="T67" s="278">
        <f t="shared" si="3"/>
        <v>0</v>
      </c>
      <c r="U67" s="279"/>
      <c r="V67" s="280"/>
      <c r="W67" s="278"/>
      <c r="X67" s="278"/>
      <c r="Y67" s="375"/>
      <c r="Z67" s="375"/>
      <c r="AA67" s="375"/>
      <c r="AB67" s="405"/>
    </row>
    <row r="68" spans="1:28" s="176" customFormat="1" ht="54.95" customHeight="1" x14ac:dyDescent="0.15">
      <c r="A68" s="387"/>
      <c r="B68" s="164">
        <f>F11</f>
        <v>0</v>
      </c>
      <c r="C68" s="410"/>
      <c r="D68" s="411"/>
      <c r="E68" s="412"/>
      <c r="F68" s="371"/>
      <c r="G68" s="372"/>
      <c r="H68" s="373"/>
      <c r="I68" s="276"/>
      <c r="J68" s="255"/>
      <c r="K68" s="167">
        <v>1</v>
      </c>
      <c r="L68" s="168" t="s">
        <v>63</v>
      </c>
      <c r="M68" s="169">
        <f t="shared" si="4"/>
        <v>0</v>
      </c>
      <c r="N68" s="171"/>
      <c r="O68" s="277"/>
      <c r="P68" s="169" t="s">
        <v>63</v>
      </c>
      <c r="Q68" s="377"/>
      <c r="R68" s="277"/>
      <c r="S68" s="169" t="s">
        <v>63</v>
      </c>
      <c r="T68" s="278">
        <f t="shared" si="3"/>
        <v>0</v>
      </c>
      <c r="U68" s="279"/>
      <c r="V68" s="280"/>
      <c r="W68" s="278"/>
      <c r="X68" s="278"/>
      <c r="Y68" s="375"/>
      <c r="Z68" s="375"/>
      <c r="AA68" s="375"/>
      <c r="AB68" s="405"/>
    </row>
    <row r="69" spans="1:28" s="176" customFormat="1" ht="54.95" customHeight="1" x14ac:dyDescent="0.15">
      <c r="A69" s="388"/>
      <c r="B69" s="164">
        <f>G11</f>
        <v>0</v>
      </c>
      <c r="C69" s="413"/>
      <c r="D69" s="414"/>
      <c r="E69" s="415"/>
      <c r="F69" s="371"/>
      <c r="G69" s="372"/>
      <c r="H69" s="373"/>
      <c r="I69" s="276"/>
      <c r="J69" s="255"/>
      <c r="K69" s="167">
        <v>1</v>
      </c>
      <c r="L69" s="168" t="s">
        <v>63</v>
      </c>
      <c r="M69" s="169">
        <f t="shared" si="4"/>
        <v>0</v>
      </c>
      <c r="N69" s="171"/>
      <c r="O69" s="277"/>
      <c r="P69" s="169" t="s">
        <v>63</v>
      </c>
      <c r="Q69" s="378"/>
      <c r="R69" s="277"/>
      <c r="S69" s="169" t="s">
        <v>63</v>
      </c>
      <c r="T69" s="278">
        <f t="shared" si="3"/>
        <v>0</v>
      </c>
      <c r="U69" s="279"/>
      <c r="V69" s="280"/>
      <c r="W69" s="278"/>
      <c r="X69" s="278"/>
      <c r="Y69" s="379"/>
      <c r="Z69" s="379"/>
      <c r="AA69" s="379"/>
      <c r="AB69" s="406"/>
    </row>
    <row r="70" spans="1:28" s="176" customFormat="1" ht="54.95" customHeight="1" x14ac:dyDescent="0.15">
      <c r="A70" s="386" t="s">
        <v>68</v>
      </c>
      <c r="B70" s="164">
        <f>C5+C8</f>
        <v>250</v>
      </c>
      <c r="C70" s="407" t="str">
        <f>A5</f>
        <v>BK</v>
      </c>
      <c r="D70" s="408"/>
      <c r="E70" s="409"/>
      <c r="F70" s="371"/>
      <c r="G70" s="372"/>
      <c r="H70" s="373"/>
      <c r="I70" s="276"/>
      <c r="J70" s="276"/>
      <c r="K70" s="167">
        <v>1</v>
      </c>
      <c r="L70" s="168" t="s">
        <v>63</v>
      </c>
      <c r="M70" s="169">
        <f t="shared" si="4"/>
        <v>250</v>
      </c>
      <c r="N70" s="171"/>
      <c r="O70" s="277"/>
      <c r="P70" s="169" t="s">
        <v>63</v>
      </c>
      <c r="Q70" s="376">
        <v>45996</v>
      </c>
      <c r="R70" s="277">
        <v>250</v>
      </c>
      <c r="S70" s="169" t="s">
        <v>63</v>
      </c>
      <c r="T70" s="278">
        <f t="shared" si="3"/>
        <v>0</v>
      </c>
      <c r="U70" s="281"/>
      <c r="V70" s="282"/>
      <c r="W70" s="278"/>
      <c r="X70" s="278"/>
      <c r="Y70" s="374" t="s">
        <v>72</v>
      </c>
      <c r="Z70" s="374"/>
      <c r="AA70" s="374"/>
      <c r="AB70" s="404" t="s">
        <v>209</v>
      </c>
    </row>
    <row r="71" spans="1:28" s="176" customFormat="1" ht="54.95" customHeight="1" x14ac:dyDescent="0.15">
      <c r="A71" s="387"/>
      <c r="B71" s="164">
        <f>D5+D8</f>
        <v>270</v>
      </c>
      <c r="C71" s="410"/>
      <c r="D71" s="411"/>
      <c r="E71" s="412"/>
      <c r="F71" s="371"/>
      <c r="G71" s="372"/>
      <c r="H71" s="373"/>
      <c r="I71" s="276"/>
      <c r="J71" s="276"/>
      <c r="K71" s="167">
        <v>1</v>
      </c>
      <c r="L71" s="168" t="s">
        <v>63</v>
      </c>
      <c r="M71" s="169">
        <f t="shared" si="4"/>
        <v>270</v>
      </c>
      <c r="N71" s="171"/>
      <c r="O71" s="277"/>
      <c r="P71" s="169" t="s">
        <v>63</v>
      </c>
      <c r="Q71" s="377"/>
      <c r="R71" s="277">
        <v>270</v>
      </c>
      <c r="S71" s="169" t="s">
        <v>63</v>
      </c>
      <c r="T71" s="278">
        <f t="shared" si="3"/>
        <v>0</v>
      </c>
      <c r="U71" s="281"/>
      <c r="V71" s="282"/>
      <c r="W71" s="278"/>
      <c r="X71" s="278"/>
      <c r="Y71" s="375"/>
      <c r="Z71" s="375"/>
      <c r="AA71" s="375"/>
      <c r="AB71" s="405"/>
    </row>
    <row r="72" spans="1:28" s="176" customFormat="1" ht="54.95" customHeight="1" x14ac:dyDescent="0.15">
      <c r="A72" s="387"/>
      <c r="B72" s="164">
        <f>E5+E8</f>
        <v>80</v>
      </c>
      <c r="C72" s="410"/>
      <c r="D72" s="411"/>
      <c r="E72" s="412"/>
      <c r="F72" s="371"/>
      <c r="G72" s="372"/>
      <c r="H72" s="373"/>
      <c r="I72" s="276"/>
      <c r="J72" s="276"/>
      <c r="K72" s="167">
        <v>1</v>
      </c>
      <c r="L72" s="168" t="s">
        <v>63</v>
      </c>
      <c r="M72" s="169">
        <f t="shared" si="4"/>
        <v>80</v>
      </c>
      <c r="N72" s="171"/>
      <c r="O72" s="277"/>
      <c r="P72" s="169" t="s">
        <v>63</v>
      </c>
      <c r="Q72" s="377"/>
      <c r="R72" s="277">
        <v>80</v>
      </c>
      <c r="S72" s="169" t="s">
        <v>63</v>
      </c>
      <c r="T72" s="278">
        <f t="shared" si="3"/>
        <v>0</v>
      </c>
      <c r="U72" s="281"/>
      <c r="V72" s="282"/>
      <c r="W72" s="278"/>
      <c r="X72" s="278"/>
      <c r="Y72" s="375"/>
      <c r="Z72" s="375"/>
      <c r="AA72" s="375"/>
      <c r="AB72" s="405"/>
    </row>
    <row r="73" spans="1:28" s="176" customFormat="1" ht="54.95" customHeight="1" x14ac:dyDescent="0.15">
      <c r="A73" s="387"/>
      <c r="B73" s="164">
        <f>F5+F8</f>
        <v>0</v>
      </c>
      <c r="C73" s="410"/>
      <c r="D73" s="411"/>
      <c r="E73" s="412"/>
      <c r="F73" s="371"/>
      <c r="G73" s="372"/>
      <c r="H73" s="373"/>
      <c r="I73" s="276"/>
      <c r="J73" s="276"/>
      <c r="K73" s="167">
        <v>1</v>
      </c>
      <c r="L73" s="168" t="s">
        <v>63</v>
      </c>
      <c r="M73" s="169">
        <f t="shared" si="4"/>
        <v>0</v>
      </c>
      <c r="N73" s="171"/>
      <c r="O73" s="277"/>
      <c r="P73" s="169" t="s">
        <v>63</v>
      </c>
      <c r="Q73" s="377"/>
      <c r="R73" s="168"/>
      <c r="S73" s="169" t="s">
        <v>63</v>
      </c>
      <c r="T73" s="278">
        <f t="shared" si="3"/>
        <v>0</v>
      </c>
      <c r="U73" s="281"/>
      <c r="V73" s="282"/>
      <c r="W73" s="278"/>
      <c r="X73" s="278"/>
      <c r="Y73" s="375"/>
      <c r="Z73" s="375"/>
      <c r="AA73" s="375"/>
      <c r="AB73" s="405"/>
    </row>
    <row r="74" spans="1:28" s="176" customFormat="1" ht="54.95" customHeight="1" x14ac:dyDescent="0.15">
      <c r="A74" s="387"/>
      <c r="B74" s="164">
        <f>G5+G8</f>
        <v>0</v>
      </c>
      <c r="C74" s="413"/>
      <c r="D74" s="414"/>
      <c r="E74" s="415"/>
      <c r="F74" s="371"/>
      <c r="G74" s="372"/>
      <c r="H74" s="373"/>
      <c r="I74" s="276"/>
      <c r="J74" s="276"/>
      <c r="K74" s="167">
        <v>1</v>
      </c>
      <c r="L74" s="168" t="s">
        <v>63</v>
      </c>
      <c r="M74" s="169">
        <f t="shared" si="4"/>
        <v>0</v>
      </c>
      <c r="N74" s="171"/>
      <c r="O74" s="277"/>
      <c r="P74" s="169" t="s">
        <v>63</v>
      </c>
      <c r="Q74" s="377"/>
      <c r="R74" s="168"/>
      <c r="S74" s="169" t="s">
        <v>63</v>
      </c>
      <c r="T74" s="278">
        <f t="shared" si="3"/>
        <v>0</v>
      </c>
      <c r="U74" s="281"/>
      <c r="V74" s="282"/>
      <c r="W74" s="278"/>
      <c r="X74" s="278"/>
      <c r="Y74" s="375"/>
      <c r="Z74" s="375"/>
      <c r="AA74" s="375"/>
      <c r="AB74" s="405"/>
    </row>
    <row r="75" spans="1:28" s="176" customFormat="1" ht="54.95" customHeight="1" x14ac:dyDescent="0.15">
      <c r="A75" s="387"/>
      <c r="B75" s="164">
        <f>C6</f>
        <v>0</v>
      </c>
      <c r="C75" s="407">
        <f>A6</f>
        <v>0</v>
      </c>
      <c r="D75" s="408"/>
      <c r="E75" s="409"/>
      <c r="F75" s="371"/>
      <c r="G75" s="372"/>
      <c r="H75" s="373"/>
      <c r="I75" s="276"/>
      <c r="J75" s="276"/>
      <c r="K75" s="167">
        <v>1</v>
      </c>
      <c r="L75" s="168" t="s">
        <v>63</v>
      </c>
      <c r="M75" s="169">
        <f t="shared" si="4"/>
        <v>0</v>
      </c>
      <c r="N75" s="171"/>
      <c r="O75" s="277"/>
      <c r="P75" s="169" t="s">
        <v>63</v>
      </c>
      <c r="Q75" s="377"/>
      <c r="R75" s="277"/>
      <c r="S75" s="169" t="s">
        <v>63</v>
      </c>
      <c r="T75" s="278">
        <f>R75-M75</f>
        <v>0</v>
      </c>
      <c r="U75" s="281"/>
      <c r="V75" s="282"/>
      <c r="W75" s="278"/>
      <c r="X75" s="278"/>
      <c r="Y75" s="374" t="s">
        <v>72</v>
      </c>
      <c r="Z75" s="374"/>
      <c r="AA75" s="374"/>
      <c r="AB75" s="405"/>
    </row>
    <row r="76" spans="1:28" s="176" customFormat="1" ht="54.95" customHeight="1" x14ac:dyDescent="0.15">
      <c r="A76" s="387"/>
      <c r="B76" s="164">
        <f>D6</f>
        <v>0</v>
      </c>
      <c r="C76" s="410"/>
      <c r="D76" s="411"/>
      <c r="E76" s="412"/>
      <c r="F76" s="371"/>
      <c r="G76" s="372"/>
      <c r="H76" s="373"/>
      <c r="I76" s="276"/>
      <c r="J76" s="276"/>
      <c r="K76" s="167">
        <v>1</v>
      </c>
      <c r="L76" s="168" t="s">
        <v>63</v>
      </c>
      <c r="M76" s="169">
        <f t="shared" si="4"/>
        <v>0</v>
      </c>
      <c r="N76" s="171"/>
      <c r="O76" s="277"/>
      <c r="P76" s="169" t="s">
        <v>63</v>
      </c>
      <c r="Q76" s="377"/>
      <c r="R76" s="277"/>
      <c r="S76" s="169" t="s">
        <v>63</v>
      </c>
      <c r="T76" s="278">
        <f>R76-M76</f>
        <v>0</v>
      </c>
      <c r="U76" s="281"/>
      <c r="V76" s="282"/>
      <c r="W76" s="278"/>
      <c r="X76" s="278"/>
      <c r="Y76" s="375"/>
      <c r="Z76" s="375"/>
      <c r="AA76" s="375"/>
      <c r="AB76" s="405"/>
    </row>
    <row r="77" spans="1:28" s="176" customFormat="1" ht="54.95" customHeight="1" x14ac:dyDescent="0.15">
      <c r="A77" s="387"/>
      <c r="B77" s="164">
        <f>E6</f>
        <v>0</v>
      </c>
      <c r="C77" s="410"/>
      <c r="D77" s="411"/>
      <c r="E77" s="412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0</v>
      </c>
      <c r="N77" s="171"/>
      <c r="O77" s="277"/>
      <c r="P77" s="169" t="s">
        <v>63</v>
      </c>
      <c r="Q77" s="377"/>
      <c r="R77" s="277"/>
      <c r="S77" s="169" t="s">
        <v>63</v>
      </c>
      <c r="T77" s="278">
        <f>R77-M77</f>
        <v>0</v>
      </c>
      <c r="U77" s="281"/>
      <c r="V77" s="282"/>
      <c r="W77" s="278"/>
      <c r="X77" s="278"/>
      <c r="Y77" s="375"/>
      <c r="Z77" s="375"/>
      <c r="AA77" s="375"/>
      <c r="AB77" s="405"/>
    </row>
    <row r="78" spans="1:28" s="176" customFormat="1" ht="54.95" customHeight="1" x14ac:dyDescent="0.15">
      <c r="A78" s="387"/>
      <c r="B78" s="164"/>
      <c r="C78" s="410"/>
      <c r="D78" s="411"/>
      <c r="E78" s="412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0</v>
      </c>
      <c r="N78" s="171"/>
      <c r="O78" s="277"/>
      <c r="P78" s="169" t="s">
        <v>63</v>
      </c>
      <c r="Q78" s="377"/>
      <c r="R78" s="168"/>
      <c r="S78" s="169" t="s">
        <v>63</v>
      </c>
      <c r="T78" s="278">
        <f>R78-M78</f>
        <v>0</v>
      </c>
      <c r="U78" s="281"/>
      <c r="V78" s="282"/>
      <c r="W78" s="278"/>
      <c r="X78" s="278"/>
      <c r="Y78" s="375"/>
      <c r="Z78" s="375"/>
      <c r="AA78" s="375"/>
      <c r="AB78" s="405"/>
    </row>
    <row r="79" spans="1:28" s="176" customFormat="1" ht="54.95" customHeight="1" x14ac:dyDescent="0.15">
      <c r="A79" s="388"/>
      <c r="B79" s="164">
        <f>G10+G13</f>
        <v>0</v>
      </c>
      <c r="C79" s="413"/>
      <c r="D79" s="414"/>
      <c r="E79" s="415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0</v>
      </c>
      <c r="N79" s="171"/>
      <c r="O79" s="277"/>
      <c r="P79" s="169" t="s">
        <v>63</v>
      </c>
      <c r="Q79" s="378"/>
      <c r="R79" s="168"/>
      <c r="S79" s="169" t="s">
        <v>63</v>
      </c>
      <c r="T79" s="278">
        <f>R79-M79</f>
        <v>0</v>
      </c>
      <c r="U79" s="281"/>
      <c r="V79" s="282"/>
      <c r="W79" s="278"/>
      <c r="X79" s="278"/>
      <c r="Y79" s="375"/>
      <c r="Z79" s="375"/>
      <c r="AA79" s="375"/>
      <c r="AB79" s="406"/>
    </row>
    <row r="80" spans="1:28" s="176" customFormat="1" ht="54.95" customHeight="1" x14ac:dyDescent="0.15">
      <c r="A80" s="386" t="s">
        <v>69</v>
      </c>
      <c r="B80" s="164">
        <f>C5</f>
        <v>250</v>
      </c>
      <c r="C80" s="407" t="str">
        <f>A5</f>
        <v>BK</v>
      </c>
      <c r="D80" s="408"/>
      <c r="E80" s="409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250</v>
      </c>
      <c r="N80" s="171"/>
      <c r="O80" s="277"/>
      <c r="P80" s="169" t="s">
        <v>63</v>
      </c>
      <c r="Q80" s="376">
        <v>46045</v>
      </c>
      <c r="R80" s="277">
        <v>250</v>
      </c>
      <c r="S80" s="169" t="s">
        <v>63</v>
      </c>
      <c r="T80" s="278">
        <f t="shared" si="3"/>
        <v>0</v>
      </c>
      <c r="U80" s="281"/>
      <c r="V80" s="282"/>
      <c r="W80" s="278"/>
      <c r="X80" s="278"/>
      <c r="Y80" s="374" t="s">
        <v>67</v>
      </c>
      <c r="Z80" s="374"/>
      <c r="AA80" s="374"/>
      <c r="AB80" s="404" t="s">
        <v>245</v>
      </c>
    </row>
    <row r="81" spans="1:28" s="176" customFormat="1" ht="54.95" customHeight="1" x14ac:dyDescent="0.15">
      <c r="A81" s="387"/>
      <c r="B81" s="164">
        <f>D5</f>
        <v>270</v>
      </c>
      <c r="C81" s="410"/>
      <c r="D81" s="411"/>
      <c r="E81" s="412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270</v>
      </c>
      <c r="N81" s="171"/>
      <c r="O81" s="277"/>
      <c r="P81" s="169" t="s">
        <v>63</v>
      </c>
      <c r="Q81" s="377"/>
      <c r="R81" s="277">
        <v>270</v>
      </c>
      <c r="S81" s="169" t="s">
        <v>63</v>
      </c>
      <c r="T81" s="278">
        <f t="shared" si="3"/>
        <v>0</v>
      </c>
      <c r="U81" s="281"/>
      <c r="V81" s="282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387"/>
      <c r="B82" s="164">
        <f>E5</f>
        <v>80</v>
      </c>
      <c r="C82" s="410"/>
      <c r="D82" s="411"/>
      <c r="E82" s="412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80</v>
      </c>
      <c r="N82" s="171"/>
      <c r="O82" s="277"/>
      <c r="P82" s="169" t="s">
        <v>63</v>
      </c>
      <c r="Q82" s="377"/>
      <c r="R82" s="277">
        <v>80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387"/>
      <c r="B83" s="164">
        <f>F5</f>
        <v>0</v>
      </c>
      <c r="C83" s="410"/>
      <c r="D83" s="411"/>
      <c r="E83" s="412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7"/>
      <c r="R83" s="168"/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405"/>
    </row>
    <row r="84" spans="1:28" s="176" customFormat="1" ht="54.95" customHeight="1" x14ac:dyDescent="0.15">
      <c r="A84" s="387"/>
      <c r="B84" s="164">
        <f>G5</f>
        <v>0</v>
      </c>
      <c r="C84" s="413"/>
      <c r="D84" s="414"/>
      <c r="E84" s="415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7"/>
      <c r="R84" s="168"/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405"/>
    </row>
    <row r="85" spans="1:28" s="176" customFormat="1" ht="54.95" customHeight="1" x14ac:dyDescent="0.15">
      <c r="A85" s="387"/>
      <c r="B85" s="164">
        <f>C6</f>
        <v>0</v>
      </c>
      <c r="C85" s="407">
        <f>A6</f>
        <v>0</v>
      </c>
      <c r="D85" s="408"/>
      <c r="E85" s="409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7"/>
      <c r="R85" s="277"/>
      <c r="S85" s="169" t="s">
        <v>63</v>
      </c>
      <c r="T85" s="278">
        <f t="shared" si="3"/>
        <v>0</v>
      </c>
      <c r="U85" s="281"/>
      <c r="V85" s="282"/>
      <c r="W85" s="278"/>
      <c r="X85" s="278"/>
      <c r="Y85" s="374" t="s">
        <v>67</v>
      </c>
      <c r="Z85" s="374"/>
      <c r="AA85" s="374"/>
      <c r="AB85" s="405"/>
    </row>
    <row r="86" spans="1:28" s="176" customFormat="1" ht="54.95" customHeight="1" x14ac:dyDescent="0.15">
      <c r="A86" s="387"/>
      <c r="B86" s="164">
        <f>D6</f>
        <v>0</v>
      </c>
      <c r="C86" s="410"/>
      <c r="D86" s="411"/>
      <c r="E86" s="412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0</v>
      </c>
      <c r="N86" s="171"/>
      <c r="O86" s="277"/>
      <c r="P86" s="169" t="s">
        <v>63</v>
      </c>
      <c r="Q86" s="377"/>
      <c r="R86" s="277"/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405"/>
    </row>
    <row r="87" spans="1:28" s="176" customFormat="1" ht="54.95" customHeight="1" x14ac:dyDescent="0.15">
      <c r="A87" s="387"/>
      <c r="B87" s="164">
        <f>E6</f>
        <v>0</v>
      </c>
      <c r="C87" s="410"/>
      <c r="D87" s="411"/>
      <c r="E87" s="412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0</v>
      </c>
      <c r="N87" s="171"/>
      <c r="O87" s="277"/>
      <c r="P87" s="169" t="s">
        <v>63</v>
      </c>
      <c r="Q87" s="377"/>
      <c r="R87" s="277"/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405"/>
    </row>
    <row r="88" spans="1:28" s="176" customFormat="1" ht="54.95" customHeight="1" x14ac:dyDescent="0.15">
      <c r="A88" s="387"/>
      <c r="B88" s="164">
        <f>F10</f>
        <v>0</v>
      </c>
      <c r="C88" s="410"/>
      <c r="D88" s="411"/>
      <c r="E88" s="412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0</v>
      </c>
      <c r="N88" s="171"/>
      <c r="O88" s="277"/>
      <c r="P88" s="169" t="s">
        <v>63</v>
      </c>
      <c r="Q88" s="377"/>
      <c r="R88" s="168"/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405"/>
    </row>
    <row r="89" spans="1:28" s="176" customFormat="1" ht="54.95" customHeight="1" x14ac:dyDescent="0.15">
      <c r="A89" s="388"/>
      <c r="B89" s="164">
        <f>G10</f>
        <v>0</v>
      </c>
      <c r="C89" s="413"/>
      <c r="D89" s="414"/>
      <c r="E89" s="415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4"/>
        <v>0</v>
      </c>
      <c r="N89" s="171"/>
      <c r="O89" s="277"/>
      <c r="P89" s="169" t="s">
        <v>63</v>
      </c>
      <c r="Q89" s="378"/>
      <c r="R89" s="168"/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406"/>
    </row>
    <row r="90" spans="1:28" s="55" customFormat="1" ht="54.95" customHeight="1" x14ac:dyDescent="0.15">
      <c r="A90" s="386" t="s">
        <v>70</v>
      </c>
      <c r="B90" s="87">
        <f>C11</f>
        <v>250</v>
      </c>
      <c r="C90" s="389" t="s">
        <v>71</v>
      </c>
      <c r="D90" s="390"/>
      <c r="E90" s="391"/>
      <c r="F90" s="368"/>
      <c r="G90" s="369"/>
      <c r="H90" s="370"/>
      <c r="I90" s="152"/>
      <c r="J90" s="90"/>
      <c r="K90" s="156">
        <v>1</v>
      </c>
      <c r="L90" s="77" t="s">
        <v>63</v>
      </c>
      <c r="M90" s="88">
        <f t="shared" si="4"/>
        <v>250</v>
      </c>
      <c r="N90" s="89"/>
      <c r="O90" s="153"/>
      <c r="P90" s="88" t="s">
        <v>63</v>
      </c>
      <c r="Q90" s="398">
        <v>45996</v>
      </c>
      <c r="R90" s="93">
        <v>250</v>
      </c>
      <c r="S90" s="88" t="s">
        <v>63</v>
      </c>
      <c r="T90" s="154">
        <f t="shared" si="3"/>
        <v>0</v>
      </c>
      <c r="U90" s="91"/>
      <c r="V90" s="159"/>
      <c r="W90" s="159"/>
      <c r="X90" s="159"/>
      <c r="Y90" s="401" t="s">
        <v>94</v>
      </c>
      <c r="Z90" s="416"/>
      <c r="AA90" s="416"/>
      <c r="AB90" s="419" t="s">
        <v>244</v>
      </c>
    </row>
    <row r="91" spans="1:28" s="55" customFormat="1" ht="54.95" customHeight="1" x14ac:dyDescent="0.15">
      <c r="A91" s="387"/>
      <c r="B91" s="87">
        <f>D11</f>
        <v>270</v>
      </c>
      <c r="C91" s="392"/>
      <c r="D91" s="393"/>
      <c r="E91" s="394"/>
      <c r="F91" s="368"/>
      <c r="G91" s="369"/>
      <c r="H91" s="370"/>
      <c r="I91" s="152"/>
      <c r="J91" s="90"/>
      <c r="K91" s="156">
        <v>1</v>
      </c>
      <c r="L91" s="77" t="s">
        <v>63</v>
      </c>
      <c r="M91" s="88">
        <f t="shared" si="4"/>
        <v>270</v>
      </c>
      <c r="N91" s="89"/>
      <c r="O91" s="153"/>
      <c r="P91" s="88" t="s">
        <v>63</v>
      </c>
      <c r="Q91" s="399"/>
      <c r="R91" s="93">
        <v>270</v>
      </c>
      <c r="S91" s="88" t="s">
        <v>63</v>
      </c>
      <c r="T91" s="154">
        <f t="shared" si="3"/>
        <v>0</v>
      </c>
      <c r="U91" s="91"/>
      <c r="V91" s="159"/>
      <c r="W91" s="159"/>
      <c r="X91" s="159"/>
      <c r="Y91" s="402"/>
      <c r="Z91" s="417"/>
      <c r="AA91" s="417"/>
      <c r="AB91" s="420"/>
    </row>
    <row r="92" spans="1:28" s="55" customFormat="1" ht="54.95" customHeight="1" x14ac:dyDescent="0.15">
      <c r="A92" s="387"/>
      <c r="B92" s="87">
        <f>E11</f>
        <v>80</v>
      </c>
      <c r="C92" s="392"/>
      <c r="D92" s="393"/>
      <c r="E92" s="394"/>
      <c r="F92" s="368"/>
      <c r="G92" s="369"/>
      <c r="H92" s="370"/>
      <c r="I92" s="152"/>
      <c r="J92" s="90"/>
      <c r="K92" s="156">
        <v>1</v>
      </c>
      <c r="L92" s="77" t="s">
        <v>63</v>
      </c>
      <c r="M92" s="88">
        <f t="shared" si="4"/>
        <v>80</v>
      </c>
      <c r="N92" s="89"/>
      <c r="O92" s="153"/>
      <c r="P92" s="88" t="s">
        <v>63</v>
      </c>
      <c r="Q92" s="399"/>
      <c r="R92" s="93">
        <v>80</v>
      </c>
      <c r="S92" s="88" t="s">
        <v>63</v>
      </c>
      <c r="T92" s="154">
        <f t="shared" si="3"/>
        <v>0</v>
      </c>
      <c r="U92" s="91"/>
      <c r="V92" s="159"/>
      <c r="W92" s="159"/>
      <c r="X92" s="159"/>
      <c r="Y92" s="402"/>
      <c r="Z92" s="417"/>
      <c r="AA92" s="417"/>
      <c r="AB92" s="420"/>
    </row>
    <row r="93" spans="1:28" s="55" customFormat="1" ht="54.95" customHeight="1" x14ac:dyDescent="0.15">
      <c r="A93" s="388"/>
      <c r="B93" s="87">
        <f>F11</f>
        <v>0</v>
      </c>
      <c r="C93" s="395"/>
      <c r="D93" s="396"/>
      <c r="E93" s="397"/>
      <c r="F93" s="368"/>
      <c r="G93" s="369"/>
      <c r="H93" s="370"/>
      <c r="I93" s="152"/>
      <c r="J93" s="90"/>
      <c r="K93" s="156"/>
      <c r="L93" s="77" t="s">
        <v>63</v>
      </c>
      <c r="M93" s="88">
        <f t="shared" si="4"/>
        <v>0</v>
      </c>
      <c r="N93" s="89"/>
      <c r="O93" s="153"/>
      <c r="P93" s="88" t="s">
        <v>63</v>
      </c>
      <c r="Q93" s="400"/>
      <c r="R93" s="162"/>
      <c r="S93" s="88" t="s">
        <v>63</v>
      </c>
      <c r="T93" s="154">
        <f t="shared" si="3"/>
        <v>0</v>
      </c>
      <c r="U93" s="91"/>
      <c r="V93" s="159"/>
      <c r="W93" s="159"/>
      <c r="X93" s="159"/>
      <c r="Y93" s="403"/>
      <c r="Z93" s="418"/>
      <c r="AA93" s="418"/>
      <c r="AB93" s="421"/>
    </row>
    <row r="94" spans="1:28" s="176" customFormat="1" ht="54.95" customHeight="1" x14ac:dyDescent="0.15">
      <c r="A94" s="163" t="s">
        <v>73</v>
      </c>
      <c r="B94" s="164">
        <f>I11</f>
        <v>600</v>
      </c>
      <c r="C94" s="371" t="s">
        <v>71</v>
      </c>
      <c r="D94" s="372"/>
      <c r="E94" s="373"/>
      <c r="F94" s="371"/>
      <c r="G94" s="372"/>
      <c r="H94" s="373"/>
      <c r="I94" s="165"/>
      <c r="J94" s="166"/>
      <c r="K94" s="167">
        <v>1</v>
      </c>
      <c r="L94" s="168" t="s">
        <v>63</v>
      </c>
      <c r="M94" s="88">
        <f t="shared" si="4"/>
        <v>600</v>
      </c>
      <c r="N94" s="170"/>
      <c r="O94" s="170"/>
      <c r="P94" s="169" t="s">
        <v>63</v>
      </c>
      <c r="Q94" s="363">
        <v>45996</v>
      </c>
      <c r="R94" s="165">
        <v>600</v>
      </c>
      <c r="S94" s="169" t="s">
        <v>63</v>
      </c>
      <c r="T94" s="154">
        <f t="shared" si="3"/>
        <v>0</v>
      </c>
      <c r="U94" s="170"/>
      <c r="V94" s="172"/>
      <c r="W94" s="172"/>
      <c r="X94" s="172"/>
      <c r="Y94" s="374" t="s">
        <v>72</v>
      </c>
      <c r="Z94" s="380"/>
      <c r="AA94" s="383"/>
      <c r="AB94" s="586" t="s">
        <v>209</v>
      </c>
    </row>
    <row r="95" spans="1:28" s="55" customFormat="1" ht="54.95" customHeight="1" x14ac:dyDescent="0.15">
      <c r="A95" s="163" t="s">
        <v>81</v>
      </c>
      <c r="B95" s="87">
        <f>I11</f>
        <v>600</v>
      </c>
      <c r="C95" s="368" t="s">
        <v>71</v>
      </c>
      <c r="D95" s="369"/>
      <c r="E95" s="370"/>
      <c r="F95" s="368"/>
      <c r="G95" s="369"/>
      <c r="H95" s="370"/>
      <c r="I95" s="93"/>
      <c r="J95" s="90"/>
      <c r="K95" s="156">
        <v>1</v>
      </c>
      <c r="L95" s="77" t="s">
        <v>63</v>
      </c>
      <c r="M95" s="88">
        <f>K95*B95</f>
        <v>600</v>
      </c>
      <c r="N95" s="91"/>
      <c r="O95" s="91"/>
      <c r="P95" s="169" t="s">
        <v>63</v>
      </c>
      <c r="Q95" s="364"/>
      <c r="R95" s="93">
        <v>600</v>
      </c>
      <c r="S95" s="169" t="s">
        <v>63</v>
      </c>
      <c r="T95" s="154">
        <f t="shared" si="3"/>
        <v>0</v>
      </c>
      <c r="U95" s="91"/>
      <c r="V95" s="91"/>
      <c r="W95" s="91"/>
      <c r="X95" s="91"/>
      <c r="Y95" s="375"/>
      <c r="Z95" s="381"/>
      <c r="AA95" s="384"/>
      <c r="AB95" s="587"/>
    </row>
    <row r="96" spans="1:28" s="55" customFormat="1" ht="54.95" customHeight="1" x14ac:dyDescent="0.15">
      <c r="A96" s="284" t="s">
        <v>74</v>
      </c>
      <c r="B96" s="87">
        <f>I11</f>
        <v>600</v>
      </c>
      <c r="C96" s="368" t="s">
        <v>71</v>
      </c>
      <c r="D96" s="369"/>
      <c r="E96" s="370"/>
      <c r="F96" s="368"/>
      <c r="G96" s="369"/>
      <c r="H96" s="370"/>
      <c r="I96" s="93" t="s">
        <v>199</v>
      </c>
      <c r="J96" s="93"/>
      <c r="K96" s="156">
        <v>1</v>
      </c>
      <c r="L96" s="77" t="s">
        <v>63</v>
      </c>
      <c r="M96" s="88">
        <f t="shared" si="4"/>
        <v>600</v>
      </c>
      <c r="N96" s="91"/>
      <c r="O96" s="91"/>
      <c r="P96" s="89" t="s">
        <v>63</v>
      </c>
      <c r="Q96" s="365"/>
      <c r="R96" s="93">
        <v>600</v>
      </c>
      <c r="S96" s="89" t="s">
        <v>63</v>
      </c>
      <c r="T96" s="154">
        <f t="shared" si="3"/>
        <v>0</v>
      </c>
      <c r="U96" s="91"/>
      <c r="V96" s="91"/>
      <c r="W96" s="91"/>
      <c r="X96" s="91"/>
      <c r="Y96" s="379"/>
      <c r="Z96" s="382"/>
      <c r="AA96" s="385"/>
      <c r="AB96" s="588"/>
    </row>
    <row r="97" spans="1:29" x14ac:dyDescent="0.15">
      <c r="A97" s="285"/>
      <c r="B97" s="366"/>
      <c r="C97" s="366"/>
      <c r="D97" s="177"/>
      <c r="E97" s="177"/>
      <c r="F97" s="100"/>
      <c r="G97" s="100"/>
      <c r="H97" s="100"/>
      <c r="I97" s="177"/>
      <c r="J97" s="177"/>
      <c r="K97" s="101"/>
      <c r="L97" s="102"/>
      <c r="M97" s="103"/>
      <c r="N97" s="104"/>
      <c r="O97" s="104"/>
      <c r="P97" s="177"/>
      <c r="Q97" s="105"/>
      <c r="R97" s="105"/>
      <c r="S97" s="106"/>
      <c r="T97" s="107"/>
      <c r="U97" s="108"/>
      <c r="V97" s="108"/>
      <c r="W97" s="109"/>
      <c r="X97" s="107"/>
      <c r="Y97" s="110"/>
      <c r="Z97" s="111"/>
      <c r="AA97" s="111"/>
    </row>
    <row r="98" spans="1:29" x14ac:dyDescent="0.15">
      <c r="A98" s="285"/>
      <c r="B98" s="366"/>
      <c r="C98" s="366"/>
      <c r="D98" s="177"/>
      <c r="E98" s="177"/>
      <c r="F98" s="367"/>
      <c r="G98" s="367"/>
      <c r="H98" s="367"/>
      <c r="I98" s="177"/>
      <c r="J98" s="177"/>
      <c r="K98" s="101"/>
      <c r="L98" s="102"/>
      <c r="M98" s="103"/>
      <c r="N98" s="104"/>
      <c r="O98" s="104"/>
      <c r="P98" s="177"/>
      <c r="Q98" s="105"/>
      <c r="R98" s="105"/>
      <c r="S98" s="106"/>
      <c r="T98" s="107"/>
      <c r="U98" s="108"/>
      <c r="V98" s="108"/>
      <c r="W98" s="109"/>
      <c r="X98" s="107"/>
      <c r="Y98" s="112"/>
      <c r="Z98" s="111"/>
      <c r="AA98" s="111"/>
    </row>
    <row r="99" spans="1:29" x14ac:dyDescent="0.15">
      <c r="J99" s="177"/>
    </row>
    <row r="100" spans="1:29" x14ac:dyDescent="0.15">
      <c r="J100" s="177"/>
    </row>
    <row r="107" spans="1:29" s="114" customFormat="1" x14ac:dyDescent="0.15">
      <c r="A107" s="286"/>
      <c r="B107" s="113"/>
      <c r="C107" s="1"/>
      <c r="D107" s="1"/>
      <c r="E107" s="1"/>
      <c r="F107" s="1"/>
      <c r="G107" s="1"/>
      <c r="H107" s="1"/>
      <c r="I107" s="1"/>
      <c r="J107" s="1"/>
      <c r="L107" s="115"/>
      <c r="M107" s="116"/>
      <c r="N107" s="117"/>
      <c r="O107" s="117"/>
      <c r="P107" s="1"/>
      <c r="Q107" s="118"/>
      <c r="R107" s="118"/>
      <c r="S107" s="115"/>
      <c r="T107" s="119"/>
      <c r="U107" s="1"/>
      <c r="V107" s="1"/>
      <c r="W107" s="120"/>
      <c r="X107" s="121"/>
      <c r="Y107" s="1"/>
      <c r="Z107" s="1"/>
      <c r="AA107" s="1"/>
      <c r="AB107" s="1"/>
      <c r="AC107" s="1"/>
    </row>
    <row r="108" spans="1:29" s="114" customFormat="1" x14ac:dyDescent="0.15">
      <c r="A108" s="286"/>
      <c r="B108" s="113"/>
      <c r="C108" s="1"/>
      <c r="D108" s="1"/>
      <c r="E108" s="1"/>
      <c r="F108" s="1"/>
      <c r="G108" s="1"/>
      <c r="H108" s="1"/>
      <c r="I108" s="1"/>
      <c r="J108" s="1"/>
      <c r="L108" s="115"/>
      <c r="M108" s="116"/>
      <c r="N108" s="117"/>
      <c r="O108" s="117"/>
      <c r="P108" s="1"/>
      <c r="Q108" s="118"/>
      <c r="R108" s="118"/>
      <c r="S108" s="115"/>
      <c r="T108" s="119"/>
      <c r="U108" s="1"/>
      <c r="V108" s="1"/>
      <c r="W108" s="120"/>
      <c r="X108" s="121"/>
      <c r="Y108" s="1"/>
      <c r="Z108" s="1"/>
      <c r="AA108" s="1"/>
      <c r="AB108" s="1"/>
      <c r="AC108" s="1"/>
    </row>
  </sheetData>
  <mergeCells count="356">
    <mergeCell ref="C56:E56"/>
    <mergeCell ref="F56:H56"/>
    <mergeCell ref="B98:C98"/>
    <mergeCell ref="F98:H98"/>
    <mergeCell ref="A55:A56"/>
    <mergeCell ref="C55:E55"/>
    <mergeCell ref="F55:H55"/>
    <mergeCell ref="Q55:Q56"/>
    <mergeCell ref="AB94:AB96"/>
    <mergeCell ref="C95:E95"/>
    <mergeCell ref="F95:H95"/>
    <mergeCell ref="C96:E96"/>
    <mergeCell ref="F96:H96"/>
    <mergeCell ref="B97:C97"/>
    <mergeCell ref="C94:E94"/>
    <mergeCell ref="F94:H94"/>
    <mergeCell ref="Q94:Q96"/>
    <mergeCell ref="Y94:Y96"/>
    <mergeCell ref="Z94:Z96"/>
    <mergeCell ref="AA94:AA96"/>
    <mergeCell ref="A90:A93"/>
    <mergeCell ref="C90:E93"/>
    <mergeCell ref="F90:H90"/>
    <mergeCell ref="AB90:AB93"/>
    <mergeCell ref="F91:H91"/>
    <mergeCell ref="F92:H92"/>
    <mergeCell ref="F93:H93"/>
    <mergeCell ref="AA85:AA89"/>
    <mergeCell ref="F86:H86"/>
    <mergeCell ref="F87:H87"/>
    <mergeCell ref="F88:H88"/>
    <mergeCell ref="F89:H89"/>
    <mergeCell ref="Q41:Q42"/>
    <mergeCell ref="Q43:Q44"/>
    <mergeCell ref="Y55:Y56"/>
    <mergeCell ref="Z90:Z93"/>
    <mergeCell ref="AA90:AA93"/>
    <mergeCell ref="Q90:Q93"/>
    <mergeCell ref="Y90:Y93"/>
    <mergeCell ref="AB80:AB89"/>
    <mergeCell ref="F81:H81"/>
    <mergeCell ref="F82:H82"/>
    <mergeCell ref="F83:H83"/>
    <mergeCell ref="F84:H84"/>
    <mergeCell ref="F85:H85"/>
    <mergeCell ref="Y85:Y89"/>
    <mergeCell ref="Z85:Z89"/>
    <mergeCell ref="AB55:AB56"/>
    <mergeCell ref="F79:H79"/>
    <mergeCell ref="Z80:Z84"/>
    <mergeCell ref="AA80:AA84"/>
    <mergeCell ref="F66:H66"/>
    <mergeCell ref="F67:H67"/>
    <mergeCell ref="F68:H68"/>
    <mergeCell ref="F69:H69"/>
    <mergeCell ref="A80:A89"/>
    <mergeCell ref="C80:E84"/>
    <mergeCell ref="F80:H80"/>
    <mergeCell ref="Q80:Q89"/>
    <mergeCell ref="Y80:Y84"/>
    <mergeCell ref="C85:E89"/>
    <mergeCell ref="A70:A79"/>
    <mergeCell ref="C70:E74"/>
    <mergeCell ref="C75:E79"/>
    <mergeCell ref="C64:E64"/>
    <mergeCell ref="F64:H64"/>
    <mergeCell ref="AA70:AA74"/>
    <mergeCell ref="AB70:AB79"/>
    <mergeCell ref="F71:H71"/>
    <mergeCell ref="F72:H72"/>
    <mergeCell ref="F73:H73"/>
    <mergeCell ref="F74:H74"/>
    <mergeCell ref="F75:H75"/>
    <mergeCell ref="Y75:Y79"/>
    <mergeCell ref="Z75:Z79"/>
    <mergeCell ref="AA75:AA79"/>
    <mergeCell ref="F70:H70"/>
    <mergeCell ref="Q70:Q79"/>
    <mergeCell ref="Y70:Y74"/>
    <mergeCell ref="Z70:Z74"/>
    <mergeCell ref="F76:H76"/>
    <mergeCell ref="F77:H77"/>
    <mergeCell ref="F78:H78"/>
    <mergeCell ref="A65:A69"/>
    <mergeCell ref="C65:E69"/>
    <mergeCell ref="F65:H65"/>
    <mergeCell ref="Q65:Q69"/>
    <mergeCell ref="AB61:AB62"/>
    <mergeCell ref="C62:E62"/>
    <mergeCell ref="F62:H62"/>
    <mergeCell ref="A63:A64"/>
    <mergeCell ref="C63:E63"/>
    <mergeCell ref="F63:H63"/>
    <mergeCell ref="I63:I64"/>
    <mergeCell ref="Q63:Q64"/>
    <mergeCell ref="Y63:Y64"/>
    <mergeCell ref="AB63:AB64"/>
    <mergeCell ref="A61:A62"/>
    <mergeCell ref="C61:E61"/>
    <mergeCell ref="F61:H61"/>
    <mergeCell ref="I61:I62"/>
    <mergeCell ref="Q61:Q62"/>
    <mergeCell ref="Y61:Y62"/>
    <mergeCell ref="Y65:Y69"/>
    <mergeCell ref="Z65:Z69"/>
    <mergeCell ref="AA65:AA69"/>
    <mergeCell ref="AB65:AB69"/>
    <mergeCell ref="A59:A60"/>
    <mergeCell ref="C59:E59"/>
    <mergeCell ref="F59:H59"/>
    <mergeCell ref="Q59:Q60"/>
    <mergeCell ref="Y59:Y60"/>
    <mergeCell ref="AB59:AB60"/>
    <mergeCell ref="C60:E60"/>
    <mergeCell ref="F60:H60"/>
    <mergeCell ref="A57:A58"/>
    <mergeCell ref="C57:E57"/>
    <mergeCell ref="F57:H57"/>
    <mergeCell ref="Q57:Q58"/>
    <mergeCell ref="Y57:Y58"/>
    <mergeCell ref="AB57:AB58"/>
    <mergeCell ref="C58:E58"/>
    <mergeCell ref="F58:H58"/>
    <mergeCell ref="A53:A54"/>
    <mergeCell ref="C53:E53"/>
    <mergeCell ref="F53:H53"/>
    <mergeCell ref="Q53:Q54"/>
    <mergeCell ref="Y53:Y54"/>
    <mergeCell ref="AB53:AB54"/>
    <mergeCell ref="C54:E54"/>
    <mergeCell ref="F54:H54"/>
    <mergeCell ref="Y49:Y50"/>
    <mergeCell ref="AB49:AB52"/>
    <mergeCell ref="C50:E50"/>
    <mergeCell ref="F50:H50"/>
    <mergeCell ref="A51:A52"/>
    <mergeCell ref="C51:E51"/>
    <mergeCell ref="F51:H51"/>
    <mergeCell ref="I51:I52"/>
    <mergeCell ref="Y51:Y52"/>
    <mergeCell ref="C52:E52"/>
    <mergeCell ref="A49:A50"/>
    <mergeCell ref="C49:E49"/>
    <mergeCell ref="F49:H49"/>
    <mergeCell ref="I49:I50"/>
    <mergeCell ref="Q49:Q52"/>
    <mergeCell ref="F52:H52"/>
    <mergeCell ref="AB45:AB46"/>
    <mergeCell ref="C46:E46"/>
    <mergeCell ref="F46:H46"/>
    <mergeCell ref="A47:A48"/>
    <mergeCell ref="C47:E47"/>
    <mergeCell ref="F47:H47"/>
    <mergeCell ref="Q47:Q48"/>
    <mergeCell ref="Y47:Y48"/>
    <mergeCell ref="AB47:AB48"/>
    <mergeCell ref="C48:E48"/>
    <mergeCell ref="A45:A46"/>
    <mergeCell ref="C45:E45"/>
    <mergeCell ref="F45:H45"/>
    <mergeCell ref="I45:I46"/>
    <mergeCell ref="Q45:Q46"/>
    <mergeCell ref="Y45:Y46"/>
    <mergeCell ref="F48:H48"/>
    <mergeCell ref="AC38:AF38"/>
    <mergeCell ref="AC40:AF40"/>
    <mergeCell ref="A41:A42"/>
    <mergeCell ref="C41:E41"/>
    <mergeCell ref="F41:H41"/>
    <mergeCell ref="Y41:Y42"/>
    <mergeCell ref="AB41:AB44"/>
    <mergeCell ref="C42:E42"/>
    <mergeCell ref="F42:H42"/>
    <mergeCell ref="A43:A44"/>
    <mergeCell ref="C43:E43"/>
    <mergeCell ref="A39:A40"/>
    <mergeCell ref="C39:E39"/>
    <mergeCell ref="F39:H39"/>
    <mergeCell ref="I39:I40"/>
    <mergeCell ref="Y39:Y40"/>
    <mergeCell ref="AB39:AB40"/>
    <mergeCell ref="C40:E40"/>
    <mergeCell ref="F40:H40"/>
    <mergeCell ref="F43:H43"/>
    <mergeCell ref="Y43:Y44"/>
    <mergeCell ref="C44:E44"/>
    <mergeCell ref="F44:H44"/>
    <mergeCell ref="Q33:Q38"/>
    <mergeCell ref="A33:A34"/>
    <mergeCell ref="C33:E33"/>
    <mergeCell ref="F33:H33"/>
    <mergeCell ref="I33:I34"/>
    <mergeCell ref="Y33:Y34"/>
    <mergeCell ref="AB33:AB38"/>
    <mergeCell ref="C34:E34"/>
    <mergeCell ref="F34:H34"/>
    <mergeCell ref="AC34:AF34"/>
    <mergeCell ref="A35:A36"/>
    <mergeCell ref="C35:E35"/>
    <mergeCell ref="F35:H35"/>
    <mergeCell ref="I35:I36"/>
    <mergeCell ref="Y35:Y36"/>
    <mergeCell ref="C36:E36"/>
    <mergeCell ref="F36:H36"/>
    <mergeCell ref="AC36:AF36"/>
    <mergeCell ref="A37:A38"/>
    <mergeCell ref="C37:E37"/>
    <mergeCell ref="F37:H37"/>
    <mergeCell ref="I37:I38"/>
    <mergeCell ref="Y37:Y38"/>
    <mergeCell ref="C38:E38"/>
    <mergeCell ref="F38:H38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C26:AF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28:AF28"/>
    <mergeCell ref="A25:A26"/>
    <mergeCell ref="C25:E25"/>
    <mergeCell ref="F25:H25"/>
    <mergeCell ref="I25:I26"/>
    <mergeCell ref="Q25:Q26"/>
    <mergeCell ref="Y25:Y26"/>
    <mergeCell ref="AB25:AB26"/>
    <mergeCell ref="C26:E26"/>
    <mergeCell ref="F26:H26"/>
    <mergeCell ref="A23:A24"/>
    <mergeCell ref="C23:E23"/>
    <mergeCell ref="F23:H23"/>
    <mergeCell ref="I23:I24"/>
    <mergeCell ref="Q23:Q24"/>
    <mergeCell ref="Y23:Y24"/>
    <mergeCell ref="AB23:AB24"/>
    <mergeCell ref="C24:E24"/>
    <mergeCell ref="F24:H24"/>
    <mergeCell ref="N13:P13"/>
    <mergeCell ref="C20:E20"/>
    <mergeCell ref="F20:H20"/>
    <mergeCell ref="A21:A22"/>
    <mergeCell ref="C21:E21"/>
    <mergeCell ref="F21:H21"/>
    <mergeCell ref="I21:I22"/>
    <mergeCell ref="AB17:AB18"/>
    <mergeCell ref="C18:E18"/>
    <mergeCell ref="F18:H18"/>
    <mergeCell ref="A19:A20"/>
    <mergeCell ref="C19:E19"/>
    <mergeCell ref="F19:H19"/>
    <mergeCell ref="I19:I20"/>
    <mergeCell ref="Q19:Q20"/>
    <mergeCell ref="Y19:Y20"/>
    <mergeCell ref="AB19:AB20"/>
    <mergeCell ref="Q21:Q22"/>
    <mergeCell ref="Y21:Y22"/>
    <mergeCell ref="AB21:AB22"/>
    <mergeCell ref="C22:E22"/>
    <mergeCell ref="F22:H22"/>
    <mergeCell ref="AB15:AB16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3" orientation="portrait" r:id="rId1"/>
  <headerFooter alignWithMargins="0"/>
  <rowBreaks count="1" manualBreakCount="1">
    <brk id="69" max="27" man="1"/>
  </rowBreaks>
  <colBreaks count="1" manualBreakCount="1">
    <brk id="2" max="4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7CB-F443-4F35-8C5D-096A7447702D}">
  <sheetPr>
    <pageSetUpPr fitToPage="1"/>
  </sheetPr>
  <dimension ref="A1:AF106"/>
  <sheetViews>
    <sheetView view="pageBreakPreview" zoomScale="75" zoomScaleNormal="100" zoomScaleSheetLayoutView="75" workbookViewId="0">
      <selection activeCell="B2" sqref="B2:G2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194</v>
      </c>
      <c r="C2" s="548"/>
      <c r="D2" s="548"/>
      <c r="E2" s="548"/>
      <c r="F2" s="548"/>
      <c r="G2" s="549"/>
      <c r="H2" s="180" t="s">
        <v>1</v>
      </c>
      <c r="I2" s="550">
        <f>I11</f>
        <v>552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240</v>
      </c>
      <c r="D5" s="182">
        <v>250</v>
      </c>
      <c r="E5" s="182">
        <v>62</v>
      </c>
      <c r="F5" s="182"/>
      <c r="G5" s="182"/>
      <c r="H5" s="542" t="s">
        <v>24</v>
      </c>
      <c r="I5" s="524">
        <f t="shared" ref="I5:I11" si="0">SUM(C5:G5)</f>
        <v>552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45978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240</v>
      </c>
      <c r="D11" s="181">
        <f>SUM(D5:D10)</f>
        <v>250</v>
      </c>
      <c r="E11" s="181">
        <f>SUM(E5:E10)</f>
        <v>62</v>
      </c>
      <c r="F11" s="181">
        <f>SUM(F5:F10)</f>
        <v>0</v>
      </c>
      <c r="G11" s="181">
        <f>SUM(G5:G10)</f>
        <v>0</v>
      </c>
      <c r="H11" s="182"/>
      <c r="I11" s="481">
        <f t="shared" si="0"/>
        <v>552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46080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244.8</v>
      </c>
      <c r="D12" s="43">
        <f>D11*1.02</f>
        <v>255</v>
      </c>
      <c r="E12" s="43">
        <f>E11*1.02</f>
        <v>63.24</v>
      </c>
      <c r="F12" s="43">
        <f>F11*1.02</f>
        <v>0</v>
      </c>
      <c r="G12" s="43">
        <f>G11*1.02</f>
        <v>0</v>
      </c>
      <c r="H12" s="44"/>
      <c r="I12" s="486">
        <f>I11*1.02</f>
        <v>563.04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552</v>
      </c>
      <c r="C15" s="474" t="str">
        <f t="shared" ref="C15:C23" si="2">$A$5</f>
        <v>BK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1.05</v>
      </c>
      <c r="L15" s="67" t="s">
        <v>7</v>
      </c>
      <c r="M15" s="68">
        <f>K15*B15</f>
        <v>579.6</v>
      </c>
      <c r="N15" s="69"/>
      <c r="O15" s="70"/>
      <c r="P15" s="67" t="s">
        <v>7</v>
      </c>
      <c r="Q15" s="478">
        <v>45996</v>
      </c>
      <c r="R15" s="293">
        <v>601</v>
      </c>
      <c r="S15" s="71" t="s">
        <v>7</v>
      </c>
      <c r="T15" s="123">
        <f t="shared" ref="T15:T94" si="3">R15-M15</f>
        <v>21.399999999999977</v>
      </c>
      <c r="U15" s="72"/>
      <c r="V15" s="72"/>
      <c r="W15" s="73"/>
      <c r="X15" s="74"/>
      <c r="Y15" s="479" t="s">
        <v>185</v>
      </c>
      <c r="Z15" s="63"/>
      <c r="AA15" s="64"/>
      <c r="AB15" s="566" t="s">
        <v>210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442"/>
      <c r="J16" s="76" t="s">
        <v>6</v>
      </c>
      <c r="K16" s="83"/>
      <c r="L16" s="77" t="s">
        <v>7</v>
      </c>
      <c r="M16" s="78">
        <f t="shared" ref="M16:M94" si="4">K16*B16</f>
        <v>0</v>
      </c>
      <c r="N16" s="79"/>
      <c r="O16" s="128"/>
      <c r="P16" s="77" t="s">
        <v>7</v>
      </c>
      <c r="Q16" s="444"/>
      <c r="R16" s="130"/>
      <c r="S16" s="75" t="s">
        <v>7</v>
      </c>
      <c r="T16" s="81">
        <f t="shared" si="3"/>
        <v>0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552</v>
      </c>
      <c r="C17" s="461" t="str">
        <f t="shared" si="2"/>
        <v>BK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55" customFormat="1" ht="69.95" customHeight="1" x14ac:dyDescent="0.15">
      <c r="A19" s="431" t="s">
        <v>195</v>
      </c>
      <c r="B19" s="182">
        <f t="shared" si="1"/>
        <v>552</v>
      </c>
      <c r="C19" s="461" t="str">
        <f t="shared" si="2"/>
        <v>BK</v>
      </c>
      <c r="D19" s="461"/>
      <c r="E19" s="461"/>
      <c r="F19" s="461"/>
      <c r="G19" s="461"/>
      <c r="H19" s="461"/>
      <c r="I19" s="441" t="s">
        <v>144</v>
      </c>
      <c r="J19" s="76" t="s">
        <v>6</v>
      </c>
      <c r="K19" s="136">
        <v>0.5</v>
      </c>
      <c r="L19" s="77" t="s">
        <v>7</v>
      </c>
      <c r="M19" s="78">
        <f t="shared" si="4"/>
        <v>276</v>
      </c>
      <c r="N19" s="79"/>
      <c r="O19" s="78"/>
      <c r="P19" s="80" t="s">
        <v>7</v>
      </c>
      <c r="Q19" s="443">
        <v>45996</v>
      </c>
      <c r="R19" s="78">
        <v>276</v>
      </c>
      <c r="S19" s="80" t="s">
        <v>7</v>
      </c>
      <c r="T19" s="81">
        <f t="shared" si="3"/>
        <v>0</v>
      </c>
      <c r="U19" s="82"/>
      <c r="V19" s="137"/>
      <c r="W19" s="78"/>
      <c r="X19" s="78"/>
      <c r="Y19" s="445" t="s">
        <v>93</v>
      </c>
      <c r="Z19" s="138"/>
      <c r="AA19" s="135"/>
      <c r="AB19" s="360" t="s">
        <v>210</v>
      </c>
      <c r="AC19" s="178"/>
      <c r="AD19" s="179"/>
      <c r="AE19" s="179"/>
      <c r="AF19" s="179"/>
    </row>
    <row r="20" spans="1:32" s="55" customFormat="1" ht="69.95" customHeight="1" x14ac:dyDescent="0.15">
      <c r="A20" s="432"/>
      <c r="B20" s="182">
        <f>$I$6</f>
        <v>0</v>
      </c>
      <c r="C20" s="461">
        <f>$A$6</f>
        <v>0</v>
      </c>
      <c r="D20" s="461"/>
      <c r="E20" s="461"/>
      <c r="F20" s="461"/>
      <c r="G20" s="461"/>
      <c r="H20" s="461"/>
      <c r="I20" s="442"/>
      <c r="J20" s="76" t="s">
        <v>6</v>
      </c>
      <c r="K20" s="136"/>
      <c r="L20" s="77" t="s">
        <v>7</v>
      </c>
      <c r="M20" s="78">
        <f t="shared" si="4"/>
        <v>0</v>
      </c>
      <c r="N20" s="79"/>
      <c r="O20" s="128"/>
      <c r="P20" s="77" t="s">
        <v>7</v>
      </c>
      <c r="Q20" s="444"/>
      <c r="R20" s="130"/>
      <c r="S20" s="75" t="s">
        <v>7</v>
      </c>
      <c r="T20" s="81">
        <f t="shared" si="3"/>
        <v>0</v>
      </c>
      <c r="U20" s="131"/>
      <c r="V20" s="131"/>
      <c r="W20" s="132"/>
      <c r="X20" s="133"/>
      <c r="Y20" s="446"/>
      <c r="Z20" s="228"/>
      <c r="AA20" s="228"/>
      <c r="AB20" s="362"/>
      <c r="AC20" s="178"/>
      <c r="AD20" s="179"/>
      <c r="AE20" s="179"/>
      <c r="AF20" s="179"/>
    </row>
    <row r="21" spans="1:32" s="206" customFormat="1" ht="69.95" customHeight="1" x14ac:dyDescent="0.15">
      <c r="A21" s="431" t="s">
        <v>115</v>
      </c>
      <c r="B21" s="182">
        <f t="shared" si="1"/>
        <v>552</v>
      </c>
      <c r="C21" s="461" t="str">
        <f t="shared" si="2"/>
        <v>BK</v>
      </c>
      <c r="D21" s="461"/>
      <c r="E21" s="461"/>
      <c r="F21" s="461"/>
      <c r="G21" s="461"/>
      <c r="H21" s="461"/>
      <c r="I21" s="441" t="s">
        <v>8</v>
      </c>
      <c r="J21" s="76" t="s">
        <v>6</v>
      </c>
      <c r="K21" s="136">
        <v>0.15</v>
      </c>
      <c r="L21" s="77" t="s">
        <v>7</v>
      </c>
      <c r="M21" s="78">
        <f t="shared" si="4"/>
        <v>82.8</v>
      </c>
      <c r="N21" s="79"/>
      <c r="O21" s="78"/>
      <c r="P21" s="80" t="s">
        <v>7</v>
      </c>
      <c r="Q21" s="443">
        <v>45996</v>
      </c>
      <c r="R21" s="78">
        <v>83</v>
      </c>
      <c r="S21" s="80" t="s">
        <v>7</v>
      </c>
      <c r="T21" s="81">
        <f t="shared" si="3"/>
        <v>0.20000000000000284</v>
      </c>
      <c r="U21" s="82"/>
      <c r="V21" s="137"/>
      <c r="W21" s="78"/>
      <c r="X21" s="78"/>
      <c r="Y21" s="445" t="s">
        <v>93</v>
      </c>
      <c r="Z21" s="138"/>
      <c r="AA21" s="135"/>
      <c r="AB21" s="360" t="s">
        <v>210</v>
      </c>
      <c r="AC21" s="229"/>
      <c r="AD21" s="230"/>
      <c r="AE21" s="230"/>
      <c r="AF21" s="230"/>
    </row>
    <row r="22" spans="1:32" s="206" customFormat="1" ht="69.95" customHeight="1" x14ac:dyDescent="0.15">
      <c r="A22" s="432"/>
      <c r="B22" s="182">
        <f>$I$6</f>
        <v>0</v>
      </c>
      <c r="C22" s="461">
        <f>$A$6</f>
        <v>0</v>
      </c>
      <c r="D22" s="461"/>
      <c r="E22" s="461"/>
      <c r="F22" s="461"/>
      <c r="G22" s="461"/>
      <c r="H22" s="461"/>
      <c r="I22" s="442"/>
      <c r="J22" s="76" t="s">
        <v>6</v>
      </c>
      <c r="K22" s="136"/>
      <c r="L22" s="77" t="s">
        <v>7</v>
      </c>
      <c r="M22" s="78">
        <f t="shared" si="4"/>
        <v>0</v>
      </c>
      <c r="N22" s="79"/>
      <c r="O22" s="128"/>
      <c r="P22" s="77" t="s">
        <v>7</v>
      </c>
      <c r="Q22" s="444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228"/>
      <c r="AA22" s="228"/>
      <c r="AB22" s="362"/>
      <c r="AC22" s="229"/>
      <c r="AD22" s="230"/>
      <c r="AE22" s="230"/>
      <c r="AF22" s="230"/>
    </row>
    <row r="23" spans="1:32" s="176" customFormat="1" ht="69.95" customHeight="1" x14ac:dyDescent="0.15">
      <c r="A23" s="431" t="s">
        <v>107</v>
      </c>
      <c r="B23" s="239">
        <f t="shared" si="1"/>
        <v>552</v>
      </c>
      <c r="C23" s="456" t="str">
        <f t="shared" si="2"/>
        <v>BK</v>
      </c>
      <c r="D23" s="456"/>
      <c r="E23" s="456"/>
      <c r="F23" s="456"/>
      <c r="G23" s="456"/>
      <c r="H23" s="456"/>
      <c r="I23" s="457" t="s">
        <v>58</v>
      </c>
      <c r="J23" s="240" t="s">
        <v>6</v>
      </c>
      <c r="K23" s="241">
        <v>0.12</v>
      </c>
      <c r="L23" s="168" t="s">
        <v>7</v>
      </c>
      <c r="M23" s="242">
        <f t="shared" si="4"/>
        <v>66.239999999999995</v>
      </c>
      <c r="N23" s="243"/>
      <c r="O23" s="242"/>
      <c r="P23" s="244" t="s">
        <v>7</v>
      </c>
      <c r="Q23" s="443">
        <v>45996</v>
      </c>
      <c r="R23" s="245">
        <v>66</v>
      </c>
      <c r="S23" s="244" t="s">
        <v>7</v>
      </c>
      <c r="T23" s="245">
        <f t="shared" si="3"/>
        <v>-0.23999999999999488</v>
      </c>
      <c r="U23" s="246"/>
      <c r="V23" s="247"/>
      <c r="W23" s="242"/>
      <c r="X23" s="242"/>
      <c r="Y23" s="459" t="s">
        <v>59</v>
      </c>
      <c r="Z23" s="248"/>
      <c r="AA23" s="249"/>
      <c r="AB23" s="360" t="s">
        <v>210</v>
      </c>
      <c r="AC23" s="250"/>
      <c r="AD23" s="251"/>
      <c r="AE23" s="251"/>
      <c r="AF23" s="251"/>
    </row>
    <row r="24" spans="1:32" s="176" customFormat="1" ht="69.95" customHeight="1" x14ac:dyDescent="0.15">
      <c r="A24" s="432"/>
      <c r="B24" s="239">
        <f>$I$6</f>
        <v>0</v>
      </c>
      <c r="C24" s="456">
        <f>$A$6</f>
        <v>0</v>
      </c>
      <c r="D24" s="456"/>
      <c r="E24" s="456"/>
      <c r="F24" s="456"/>
      <c r="G24" s="456"/>
      <c r="H24" s="456"/>
      <c r="I24" s="458"/>
      <c r="J24" s="240" t="s">
        <v>6</v>
      </c>
      <c r="K24" s="241"/>
      <c r="L24" s="168" t="s">
        <v>7</v>
      </c>
      <c r="M24" s="242">
        <f t="shared" si="4"/>
        <v>0</v>
      </c>
      <c r="N24" s="243"/>
      <c r="O24" s="253"/>
      <c r="P24" s="168" t="s">
        <v>7</v>
      </c>
      <c r="Q24" s="444"/>
      <c r="R24" s="254"/>
      <c r="S24" s="255" t="s">
        <v>7</v>
      </c>
      <c r="T24" s="245">
        <f t="shared" si="3"/>
        <v>0</v>
      </c>
      <c r="U24" s="256"/>
      <c r="V24" s="256"/>
      <c r="W24" s="257"/>
      <c r="X24" s="258"/>
      <c r="Y24" s="460"/>
      <c r="Z24" s="259"/>
      <c r="AA24" s="249"/>
      <c r="AB24" s="362"/>
      <c r="AC24" s="250"/>
      <c r="AD24" s="251"/>
      <c r="AE24" s="251"/>
      <c r="AF24" s="251"/>
    </row>
    <row r="25" spans="1:32" s="261" customFormat="1" ht="69.95" customHeight="1" x14ac:dyDescent="0.15">
      <c r="A25" s="431" t="s">
        <v>108</v>
      </c>
      <c r="B25" s="182">
        <f>$I$5</f>
        <v>552</v>
      </c>
      <c r="C25" s="461" t="str">
        <f>$A$5</f>
        <v>BK</v>
      </c>
      <c r="D25" s="461"/>
      <c r="E25" s="461"/>
      <c r="F25" s="461"/>
      <c r="G25" s="461"/>
      <c r="H25" s="461"/>
      <c r="I25" s="441" t="s">
        <v>8</v>
      </c>
      <c r="J25" s="76" t="s">
        <v>6</v>
      </c>
      <c r="K25" s="136">
        <v>0.17</v>
      </c>
      <c r="L25" s="77" t="s">
        <v>7</v>
      </c>
      <c r="M25" s="78">
        <f>K25*B25</f>
        <v>93.84</v>
      </c>
      <c r="N25" s="79"/>
      <c r="O25" s="78"/>
      <c r="P25" s="80" t="s">
        <v>7</v>
      </c>
      <c r="Q25" s="443">
        <v>45996</v>
      </c>
      <c r="R25" s="78">
        <v>94</v>
      </c>
      <c r="S25" s="80" t="s">
        <v>9</v>
      </c>
      <c r="T25" s="81">
        <f t="shared" si="3"/>
        <v>0.15999999999999659</v>
      </c>
      <c r="U25" s="82"/>
      <c r="V25" s="137"/>
      <c r="W25" s="78"/>
      <c r="X25" s="78"/>
      <c r="Y25" s="445" t="s">
        <v>59</v>
      </c>
      <c r="Z25" s="141"/>
      <c r="AA25" s="135"/>
      <c r="AB25" s="360" t="s">
        <v>210</v>
      </c>
    </row>
    <row r="26" spans="1:32" s="261" customFormat="1" ht="69.95" customHeight="1" x14ac:dyDescent="0.15">
      <c r="A26" s="432"/>
      <c r="B26" s="182">
        <f>$I$6</f>
        <v>0</v>
      </c>
      <c r="C26" s="461">
        <f>$A$6</f>
        <v>0</v>
      </c>
      <c r="D26" s="461"/>
      <c r="E26" s="461"/>
      <c r="F26" s="461"/>
      <c r="G26" s="461"/>
      <c r="H26" s="461"/>
      <c r="I26" s="442"/>
      <c r="J26" s="76" t="s">
        <v>6</v>
      </c>
      <c r="K26" s="83"/>
      <c r="L26" s="77" t="s">
        <v>7</v>
      </c>
      <c r="M26" s="78">
        <f>K26*B26</f>
        <v>0</v>
      </c>
      <c r="N26" s="79"/>
      <c r="O26" s="128"/>
      <c r="P26" s="77" t="s">
        <v>7</v>
      </c>
      <c r="Q26" s="444"/>
      <c r="R26" s="137"/>
      <c r="S26" s="75" t="s">
        <v>9</v>
      </c>
      <c r="T26" s="81">
        <f t="shared" si="3"/>
        <v>0</v>
      </c>
      <c r="U26" s="131"/>
      <c r="V26" s="131"/>
      <c r="W26" s="132"/>
      <c r="X26" s="133"/>
      <c r="Y26" s="446"/>
      <c r="Z26" s="134"/>
      <c r="AA26" s="135"/>
      <c r="AB26" s="362"/>
      <c r="AC26" s="462"/>
      <c r="AD26" s="463"/>
      <c r="AE26" s="463"/>
      <c r="AF26" s="463"/>
    </row>
    <row r="27" spans="1:32" s="203" customFormat="1" ht="69.95" customHeight="1" x14ac:dyDescent="0.15">
      <c r="A27" s="464" t="s">
        <v>77</v>
      </c>
      <c r="B27" s="191">
        <f>$I$5</f>
        <v>552</v>
      </c>
      <c r="C27" s="465" t="str">
        <f>$A$5</f>
        <v>BK</v>
      </c>
      <c r="D27" s="465"/>
      <c r="E27" s="465"/>
      <c r="F27" s="465"/>
      <c r="G27" s="465"/>
      <c r="H27" s="465"/>
      <c r="I27" s="433" t="s">
        <v>110</v>
      </c>
      <c r="J27" s="192"/>
      <c r="K27" s="209">
        <v>1.8</v>
      </c>
      <c r="L27" s="194" t="s">
        <v>7</v>
      </c>
      <c r="M27" s="195">
        <f>K27*B27/100</f>
        <v>9.9359999999999999</v>
      </c>
      <c r="N27" s="196"/>
      <c r="O27" s="195"/>
      <c r="P27" s="197" t="s">
        <v>7</v>
      </c>
      <c r="Q27" s="435"/>
      <c r="R27" s="195"/>
      <c r="S27" s="197" t="s">
        <v>9</v>
      </c>
      <c r="T27" s="198">
        <f t="shared" si="3"/>
        <v>-9.9359999999999999</v>
      </c>
      <c r="U27" s="199"/>
      <c r="V27" s="200"/>
      <c r="W27" s="195"/>
      <c r="X27" s="195"/>
      <c r="Y27" s="437" t="s">
        <v>94</v>
      </c>
      <c r="Z27" s="201"/>
      <c r="AA27" s="202"/>
      <c r="AB27" s="439"/>
    </row>
    <row r="28" spans="1:32" s="203" customFormat="1" ht="69.95" customHeight="1" x14ac:dyDescent="0.15">
      <c r="A28" s="464"/>
      <c r="B28" s="191">
        <f>$I$6</f>
        <v>0</v>
      </c>
      <c r="C28" s="465">
        <f>$A$6</f>
        <v>0</v>
      </c>
      <c r="D28" s="465"/>
      <c r="E28" s="465"/>
      <c r="F28" s="465"/>
      <c r="G28" s="465"/>
      <c r="H28" s="465"/>
      <c r="I28" s="434"/>
      <c r="J28" s="192"/>
      <c r="K28" s="208">
        <v>1.8</v>
      </c>
      <c r="L28" s="194" t="s">
        <v>7</v>
      </c>
      <c r="M28" s="195">
        <f>K28*B28/100</f>
        <v>0</v>
      </c>
      <c r="N28" s="196"/>
      <c r="O28" s="210"/>
      <c r="P28" s="194" t="s">
        <v>7</v>
      </c>
      <c r="Q28" s="436"/>
      <c r="R28" s="200"/>
      <c r="S28" s="207" t="s">
        <v>9</v>
      </c>
      <c r="T28" s="198">
        <f t="shared" si="3"/>
        <v>0</v>
      </c>
      <c r="U28" s="211"/>
      <c r="V28" s="211"/>
      <c r="W28" s="212"/>
      <c r="X28" s="213"/>
      <c r="Y28" s="438"/>
      <c r="Z28" s="214"/>
      <c r="AA28" s="202"/>
      <c r="AB28" s="440"/>
      <c r="AC28" s="466"/>
      <c r="AD28" s="467"/>
      <c r="AE28" s="467"/>
      <c r="AF28" s="467"/>
    </row>
    <row r="29" spans="1:32" s="261" customFormat="1" ht="69.95" customHeight="1" x14ac:dyDescent="0.15">
      <c r="A29" s="464" t="s">
        <v>86</v>
      </c>
      <c r="B29" s="182">
        <f>$I$5</f>
        <v>552</v>
      </c>
      <c r="C29" s="461" t="str">
        <f>$A$5</f>
        <v>BK</v>
      </c>
      <c r="D29" s="461"/>
      <c r="E29" s="461"/>
      <c r="F29" s="461"/>
      <c r="G29" s="461"/>
      <c r="H29" s="461"/>
      <c r="I29" s="441" t="s">
        <v>76</v>
      </c>
      <c r="J29" s="76"/>
      <c r="K29" s="136">
        <v>4</v>
      </c>
      <c r="L29" s="77" t="s">
        <v>7</v>
      </c>
      <c r="M29" s="78">
        <f>K29*B29/50</f>
        <v>44.16</v>
      </c>
      <c r="N29" s="79"/>
      <c r="O29" s="78"/>
      <c r="P29" s="80" t="s">
        <v>7</v>
      </c>
      <c r="Q29" s="443">
        <v>45996</v>
      </c>
      <c r="R29" s="78">
        <v>45</v>
      </c>
      <c r="S29" s="80" t="s">
        <v>9</v>
      </c>
      <c r="T29" s="81">
        <f t="shared" si="3"/>
        <v>0.84000000000000341</v>
      </c>
      <c r="U29" s="82"/>
      <c r="V29" s="137"/>
      <c r="W29" s="78"/>
      <c r="X29" s="78"/>
      <c r="Y29" s="445" t="s">
        <v>94</v>
      </c>
      <c r="Z29" s="141"/>
      <c r="AA29" s="135"/>
      <c r="AB29" s="360" t="s">
        <v>210</v>
      </c>
    </row>
    <row r="30" spans="1:32" s="261" customFormat="1" ht="69.95" customHeight="1" x14ac:dyDescent="0.15">
      <c r="A30" s="464"/>
      <c r="B30" s="182">
        <f>$I$6</f>
        <v>0</v>
      </c>
      <c r="C30" s="461">
        <f>$A$6</f>
        <v>0</v>
      </c>
      <c r="D30" s="461"/>
      <c r="E30" s="461"/>
      <c r="F30" s="461"/>
      <c r="G30" s="461"/>
      <c r="H30" s="461"/>
      <c r="I30" s="442"/>
      <c r="J30" s="76"/>
      <c r="K30" s="83"/>
      <c r="L30" s="77" t="s">
        <v>7</v>
      </c>
      <c r="M30" s="78">
        <f>K30*B30/50</f>
        <v>0</v>
      </c>
      <c r="N30" s="79"/>
      <c r="O30" s="128"/>
      <c r="P30" s="77" t="s">
        <v>7</v>
      </c>
      <c r="Q30" s="444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2"/>
      <c r="AC30" s="462"/>
      <c r="AD30" s="463"/>
      <c r="AE30" s="463"/>
      <c r="AF30" s="463"/>
    </row>
    <row r="31" spans="1:32" s="203" customFormat="1" ht="69.95" customHeight="1" x14ac:dyDescent="0.15">
      <c r="A31" s="464" t="s">
        <v>116</v>
      </c>
      <c r="B31" s="191">
        <f>$I$5</f>
        <v>552</v>
      </c>
      <c r="C31" s="465" t="str">
        <f>$A$5</f>
        <v>BK</v>
      </c>
      <c r="D31" s="465"/>
      <c r="E31" s="465"/>
      <c r="F31" s="465"/>
      <c r="G31" s="465"/>
      <c r="H31" s="465"/>
      <c r="I31" s="433" t="s">
        <v>76</v>
      </c>
      <c r="J31" s="192"/>
      <c r="K31" s="209">
        <v>2.4</v>
      </c>
      <c r="L31" s="194" t="s">
        <v>7</v>
      </c>
      <c r="M31" s="195">
        <f>K31*B31/50</f>
        <v>26.495999999999999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-26.495999999999999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x14ac:dyDescent="0.15">
      <c r="A32" s="464"/>
      <c r="B32" s="191">
        <f>$I$6</f>
        <v>0</v>
      </c>
      <c r="C32" s="465">
        <f>$A$6</f>
        <v>0</v>
      </c>
      <c r="D32" s="465"/>
      <c r="E32" s="465"/>
      <c r="F32" s="465"/>
      <c r="G32" s="465"/>
      <c r="H32" s="465"/>
      <c r="I32" s="434"/>
      <c r="J32" s="192"/>
      <c r="K32" s="208">
        <v>2.4</v>
      </c>
      <c r="L32" s="194" t="s">
        <v>7</v>
      </c>
      <c r="M32" s="195">
        <f>K32*B32/50</f>
        <v>0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0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x14ac:dyDescent="0.15">
      <c r="A33" s="431" t="s">
        <v>88</v>
      </c>
      <c r="B33" s="239">
        <f>$I$5</f>
        <v>552</v>
      </c>
      <c r="C33" s="371" t="str">
        <f>$A$5</f>
        <v>BK</v>
      </c>
      <c r="D33" s="372"/>
      <c r="E33" s="373"/>
      <c r="F33" s="371" t="str">
        <f>$A$5</f>
        <v>BK</v>
      </c>
      <c r="G33" s="372"/>
      <c r="H33" s="373"/>
      <c r="I33" s="457" t="s">
        <v>62</v>
      </c>
      <c r="J33" s="240"/>
      <c r="K33" s="263">
        <v>130</v>
      </c>
      <c r="L33" s="168" t="s">
        <v>61</v>
      </c>
      <c r="M33" s="242">
        <f t="shared" ref="M33:M34" si="5">K33*B33/2500</f>
        <v>28.704000000000001</v>
      </c>
      <c r="N33" s="243"/>
      <c r="O33" s="242"/>
      <c r="P33" s="244" t="s">
        <v>10</v>
      </c>
      <c r="Q33" s="376">
        <v>45996</v>
      </c>
      <c r="R33" s="242">
        <v>29</v>
      </c>
      <c r="S33" s="244" t="s">
        <v>10</v>
      </c>
      <c r="T33" s="245">
        <f>R33-M33</f>
        <v>0.29599999999999937</v>
      </c>
      <c r="U33" s="246"/>
      <c r="V33" s="247"/>
      <c r="W33" s="242"/>
      <c r="X33" s="242"/>
      <c r="Y33" s="459" t="s">
        <v>94</v>
      </c>
      <c r="Z33" s="260"/>
      <c r="AA33" s="249"/>
      <c r="AB33" s="448" t="s">
        <v>210</v>
      </c>
    </row>
    <row r="34" spans="1:32" s="176" customFormat="1" ht="69.95" customHeight="1" x14ac:dyDescent="0.15">
      <c r="A34" s="432"/>
      <c r="B34" s="264">
        <f>$I$6</f>
        <v>0</v>
      </c>
      <c r="C34" s="371">
        <f>$A$6</f>
        <v>0</v>
      </c>
      <c r="D34" s="372"/>
      <c r="E34" s="373"/>
      <c r="F34" s="371">
        <f>$A$6</f>
        <v>0</v>
      </c>
      <c r="G34" s="372"/>
      <c r="H34" s="373"/>
      <c r="I34" s="458"/>
      <c r="J34" s="265"/>
      <c r="K34" s="263"/>
      <c r="L34" s="266" t="s">
        <v>61</v>
      </c>
      <c r="M34" s="242">
        <f t="shared" si="5"/>
        <v>0</v>
      </c>
      <c r="N34" s="267"/>
      <c r="O34" s="268"/>
      <c r="P34" s="266" t="s">
        <v>10</v>
      </c>
      <c r="Q34" s="377"/>
      <c r="R34" s="269"/>
      <c r="S34" s="252" t="s">
        <v>10</v>
      </c>
      <c r="T34" s="270">
        <f>R34-M34</f>
        <v>0</v>
      </c>
      <c r="U34" s="271"/>
      <c r="V34" s="271"/>
      <c r="W34" s="272"/>
      <c r="X34" s="273"/>
      <c r="Y34" s="460"/>
      <c r="Z34" s="274"/>
      <c r="AA34" s="275"/>
      <c r="AB34" s="449"/>
      <c r="AC34" s="590"/>
      <c r="AD34" s="591"/>
      <c r="AE34" s="591"/>
      <c r="AF34" s="591"/>
    </row>
    <row r="35" spans="1:32" s="261" customFormat="1" ht="69.95" customHeight="1" x14ac:dyDescent="0.15">
      <c r="A35" s="431" t="s">
        <v>147</v>
      </c>
      <c r="B35" s="239">
        <f>$I$5</f>
        <v>552</v>
      </c>
      <c r="C35" s="371" t="str">
        <f>$A$5</f>
        <v>BK</v>
      </c>
      <c r="D35" s="372"/>
      <c r="E35" s="373"/>
      <c r="F35" s="371" t="str">
        <f>$A$5</f>
        <v>BK</v>
      </c>
      <c r="G35" s="372"/>
      <c r="H35" s="373"/>
      <c r="I35" s="457" t="s">
        <v>60</v>
      </c>
      <c r="J35" s="240"/>
      <c r="K35" s="263">
        <v>220</v>
      </c>
      <c r="L35" s="168" t="s">
        <v>61</v>
      </c>
      <c r="M35" s="242">
        <f t="shared" ref="M35:M38" si="6">K35*B35/4000</f>
        <v>30.36</v>
      </c>
      <c r="N35" s="243"/>
      <c r="O35" s="242"/>
      <c r="P35" s="244" t="s">
        <v>10</v>
      </c>
      <c r="Q35" s="377"/>
      <c r="R35" s="242">
        <v>31</v>
      </c>
      <c r="S35" s="244" t="s">
        <v>10</v>
      </c>
      <c r="T35" s="245">
        <f t="shared" si="3"/>
        <v>0.64000000000000057</v>
      </c>
      <c r="U35" s="246"/>
      <c r="V35" s="247"/>
      <c r="W35" s="242"/>
      <c r="X35" s="242"/>
      <c r="Y35" s="459" t="s">
        <v>94</v>
      </c>
      <c r="Z35" s="260"/>
      <c r="AA35" s="249"/>
      <c r="AB35" s="449"/>
    </row>
    <row r="36" spans="1:32" s="176" customFormat="1" ht="69.95" customHeight="1" x14ac:dyDescent="0.15">
      <c r="A36" s="432"/>
      <c r="B36" s="264">
        <f>$I$6</f>
        <v>0</v>
      </c>
      <c r="C36" s="371">
        <f>$A$6</f>
        <v>0</v>
      </c>
      <c r="D36" s="372"/>
      <c r="E36" s="373"/>
      <c r="F36" s="371">
        <f>$A$6</f>
        <v>0</v>
      </c>
      <c r="G36" s="372"/>
      <c r="H36" s="373"/>
      <c r="I36" s="458"/>
      <c r="J36" s="265"/>
      <c r="K36" s="263"/>
      <c r="L36" s="266" t="s">
        <v>61</v>
      </c>
      <c r="M36" s="242">
        <f t="shared" si="6"/>
        <v>0</v>
      </c>
      <c r="N36" s="267"/>
      <c r="O36" s="268"/>
      <c r="P36" s="266" t="s">
        <v>10</v>
      </c>
      <c r="Q36" s="377"/>
      <c r="R36" s="269"/>
      <c r="S36" s="252" t="s">
        <v>10</v>
      </c>
      <c r="T36" s="270">
        <f t="shared" si="3"/>
        <v>0</v>
      </c>
      <c r="U36" s="271"/>
      <c r="V36" s="271"/>
      <c r="W36" s="272"/>
      <c r="X36" s="273"/>
      <c r="Y36" s="460"/>
      <c r="Z36" s="274"/>
      <c r="AA36" s="275"/>
      <c r="AB36" s="449"/>
      <c r="AC36" s="592"/>
      <c r="AD36" s="593"/>
      <c r="AE36" s="593"/>
      <c r="AF36" s="593"/>
    </row>
    <row r="37" spans="1:32" s="261" customFormat="1" ht="69.95" customHeight="1" x14ac:dyDescent="0.15">
      <c r="A37" s="431" t="s">
        <v>217</v>
      </c>
      <c r="B37" s="182">
        <f>$I$5</f>
        <v>552</v>
      </c>
      <c r="C37" s="461" t="str">
        <f>$A$5</f>
        <v>BK</v>
      </c>
      <c r="D37" s="461"/>
      <c r="E37" s="461"/>
      <c r="F37" s="461" t="str">
        <f>$A$5</f>
        <v>BK</v>
      </c>
      <c r="G37" s="461"/>
      <c r="H37" s="461"/>
      <c r="I37" s="441" t="s">
        <v>60</v>
      </c>
      <c r="J37" s="76"/>
      <c r="K37" s="139">
        <v>10</v>
      </c>
      <c r="L37" s="77" t="s">
        <v>61</v>
      </c>
      <c r="M37" s="78">
        <f t="shared" si="6"/>
        <v>1.38</v>
      </c>
      <c r="N37" s="79"/>
      <c r="O37" s="78"/>
      <c r="P37" s="80" t="s">
        <v>10</v>
      </c>
      <c r="Q37" s="377"/>
      <c r="R37" s="78">
        <v>2</v>
      </c>
      <c r="S37" s="80" t="s">
        <v>10</v>
      </c>
      <c r="T37" s="81">
        <f t="shared" si="3"/>
        <v>0.62000000000000011</v>
      </c>
      <c r="U37" s="82"/>
      <c r="V37" s="137"/>
      <c r="W37" s="78"/>
      <c r="X37" s="78"/>
      <c r="Y37" s="445" t="s">
        <v>94</v>
      </c>
      <c r="Z37" s="141"/>
      <c r="AA37" s="135"/>
      <c r="AB37" s="449"/>
    </row>
    <row r="38" spans="1:32" s="176" customFormat="1" ht="69.95" customHeight="1" x14ac:dyDescent="0.15">
      <c r="A38" s="432"/>
      <c r="B38" s="186">
        <f>$I$6</f>
        <v>0</v>
      </c>
      <c r="C38" s="395">
        <f>$A$6</f>
        <v>0</v>
      </c>
      <c r="D38" s="396"/>
      <c r="E38" s="397"/>
      <c r="F38" s="395">
        <f>$A$6</f>
        <v>0</v>
      </c>
      <c r="G38" s="396"/>
      <c r="H38" s="397"/>
      <c r="I38" s="442"/>
      <c r="J38" s="144"/>
      <c r="K38" s="139"/>
      <c r="L38" s="145" t="s">
        <v>61</v>
      </c>
      <c r="M38" s="78">
        <f t="shared" si="6"/>
        <v>0</v>
      </c>
      <c r="N38" s="146"/>
      <c r="O38" s="147"/>
      <c r="P38" s="145" t="s">
        <v>10</v>
      </c>
      <c r="Q38" s="377"/>
      <c r="R38" s="161"/>
      <c r="S38" s="148" t="s">
        <v>10</v>
      </c>
      <c r="T38" s="84">
        <f t="shared" si="3"/>
        <v>0</v>
      </c>
      <c r="U38" s="149"/>
      <c r="V38" s="149"/>
      <c r="W38" s="150"/>
      <c r="X38" s="151"/>
      <c r="Y38" s="446"/>
      <c r="Z38" s="216"/>
      <c r="AA38" s="217"/>
      <c r="AB38" s="449"/>
      <c r="AC38" s="451"/>
      <c r="AD38" s="452"/>
      <c r="AE38" s="452"/>
      <c r="AF38" s="452"/>
    </row>
    <row r="39" spans="1:32" s="261" customFormat="1" ht="69.95" customHeight="1" x14ac:dyDescent="0.15">
      <c r="A39" s="431" t="s">
        <v>206</v>
      </c>
      <c r="B39" s="191">
        <f>$I$5</f>
        <v>552</v>
      </c>
      <c r="C39" s="465" t="str">
        <f>$A$5</f>
        <v>BK</v>
      </c>
      <c r="D39" s="465"/>
      <c r="E39" s="465"/>
      <c r="F39" s="465" t="str">
        <f>$A$5</f>
        <v>BK</v>
      </c>
      <c r="G39" s="465"/>
      <c r="H39" s="465"/>
      <c r="I39" s="433" t="s">
        <v>60</v>
      </c>
      <c r="J39" s="192"/>
      <c r="K39" s="193">
        <v>40</v>
      </c>
      <c r="L39" s="194" t="s">
        <v>61</v>
      </c>
      <c r="M39" s="195">
        <f>K39*B39/500</f>
        <v>44.16</v>
      </c>
      <c r="N39" s="196"/>
      <c r="O39" s="195"/>
      <c r="P39" s="197" t="s">
        <v>10</v>
      </c>
      <c r="Q39" s="307"/>
      <c r="R39" s="195"/>
      <c r="S39" s="197" t="s">
        <v>10</v>
      </c>
      <c r="T39" s="198">
        <f t="shared" si="3"/>
        <v>-44.16</v>
      </c>
      <c r="U39" s="199"/>
      <c r="V39" s="200"/>
      <c r="W39" s="195"/>
      <c r="X39" s="195"/>
      <c r="Y39" s="437" t="s">
        <v>94</v>
      </c>
      <c r="Z39" s="201"/>
      <c r="AA39" s="202"/>
      <c r="AB39" s="558"/>
    </row>
    <row r="40" spans="1:32" s="176" customFormat="1" ht="69.95" customHeight="1" x14ac:dyDescent="0.15">
      <c r="A40" s="432"/>
      <c r="B40" s="204">
        <f>$I$6</f>
        <v>0</v>
      </c>
      <c r="C40" s="453">
        <f>$A$6</f>
        <v>0</v>
      </c>
      <c r="D40" s="454"/>
      <c r="E40" s="455"/>
      <c r="F40" s="453">
        <f>$A$6</f>
        <v>0</v>
      </c>
      <c r="G40" s="454"/>
      <c r="H40" s="455"/>
      <c r="I40" s="434"/>
      <c r="J40" s="218"/>
      <c r="K40" s="193">
        <v>40</v>
      </c>
      <c r="L40" s="219" t="s">
        <v>61</v>
      </c>
      <c r="M40" s="195">
        <f>K40*B40/500</f>
        <v>0</v>
      </c>
      <c r="N40" s="220"/>
      <c r="O40" s="221"/>
      <c r="P40" s="219" t="s">
        <v>10</v>
      </c>
      <c r="Q40" s="307"/>
      <c r="R40" s="222"/>
      <c r="S40" s="215" t="s">
        <v>10</v>
      </c>
      <c r="T40" s="205">
        <f t="shared" si="3"/>
        <v>0</v>
      </c>
      <c r="U40" s="223"/>
      <c r="V40" s="223"/>
      <c r="W40" s="224"/>
      <c r="X40" s="225"/>
      <c r="Y40" s="438"/>
      <c r="Z40" s="226"/>
      <c r="AA40" s="227"/>
      <c r="AB40" s="558"/>
      <c r="AC40" s="451"/>
      <c r="AD40" s="452"/>
      <c r="AE40" s="452"/>
      <c r="AF40" s="452"/>
    </row>
    <row r="41" spans="1:32" s="55" customFormat="1" ht="69.95" customHeight="1" x14ac:dyDescent="0.15">
      <c r="A41" s="431" t="s">
        <v>123</v>
      </c>
      <c r="B41" s="182">
        <f t="shared" ref="B41:B57" si="7">$I$5</f>
        <v>552</v>
      </c>
      <c r="C41" s="368" t="str">
        <f t="shared" ref="C41:C57" si="8">$A$5</f>
        <v>BK</v>
      </c>
      <c r="D41" s="369"/>
      <c r="E41" s="370"/>
      <c r="F41" s="428"/>
      <c r="G41" s="429"/>
      <c r="H41" s="430"/>
      <c r="I41" s="75" t="s">
        <v>101</v>
      </c>
      <c r="J41" s="76"/>
      <c r="K41" s="139">
        <v>1</v>
      </c>
      <c r="L41" s="77" t="s">
        <v>63</v>
      </c>
      <c r="M41" s="78">
        <f>K41*B41</f>
        <v>552</v>
      </c>
      <c r="N41" s="79"/>
      <c r="O41" s="78"/>
      <c r="P41" s="80" t="s">
        <v>63</v>
      </c>
      <c r="Q41" s="377">
        <v>45996</v>
      </c>
      <c r="R41" s="78">
        <v>552</v>
      </c>
      <c r="S41" s="80" t="s">
        <v>63</v>
      </c>
      <c r="T41" s="84">
        <f t="shared" si="3"/>
        <v>0</v>
      </c>
      <c r="U41" s="82"/>
      <c r="V41" s="82"/>
      <c r="W41" s="83"/>
      <c r="X41" s="81"/>
      <c r="Y41" s="445" t="s">
        <v>94</v>
      </c>
      <c r="Z41" s="86"/>
      <c r="AA41" s="85"/>
      <c r="AB41" s="449" t="s">
        <v>210</v>
      </c>
    </row>
    <row r="42" spans="1:32" s="55" customFormat="1" ht="69.95" customHeight="1" x14ac:dyDescent="0.15">
      <c r="A42" s="432"/>
      <c r="B42" s="186">
        <f>$I$6</f>
        <v>0</v>
      </c>
      <c r="C42" s="368">
        <f>$A$6</f>
        <v>0</v>
      </c>
      <c r="D42" s="369"/>
      <c r="E42" s="370"/>
      <c r="F42" s="428"/>
      <c r="G42" s="429"/>
      <c r="H42" s="430"/>
      <c r="I42" s="75" t="s">
        <v>101</v>
      </c>
      <c r="J42" s="76"/>
      <c r="K42" s="139"/>
      <c r="L42" s="77" t="s">
        <v>63</v>
      </c>
      <c r="M42" s="78">
        <f>K42*B42</f>
        <v>0</v>
      </c>
      <c r="N42" s="140"/>
      <c r="O42" s="78"/>
      <c r="P42" s="80" t="s">
        <v>63</v>
      </c>
      <c r="Q42" s="377"/>
      <c r="R42" s="78"/>
      <c r="S42" s="80" t="s">
        <v>63</v>
      </c>
      <c r="T42" s="81">
        <f t="shared" si="3"/>
        <v>0</v>
      </c>
      <c r="U42" s="82"/>
      <c r="V42" s="137"/>
      <c r="W42" s="78"/>
      <c r="X42" s="78"/>
      <c r="Y42" s="446"/>
      <c r="Z42" s="141"/>
      <c r="AA42" s="135"/>
      <c r="AB42" s="449"/>
      <c r="AC42" s="142"/>
      <c r="AD42" s="179"/>
      <c r="AE42" s="179"/>
      <c r="AF42" s="179"/>
    </row>
    <row r="43" spans="1:32" s="55" customFormat="1" ht="69.95" customHeight="1" x14ac:dyDescent="0.15">
      <c r="A43" s="431" t="s">
        <v>136</v>
      </c>
      <c r="B43" s="182">
        <f t="shared" ref="B43" si="9">$I$5</f>
        <v>552</v>
      </c>
      <c r="C43" s="368" t="str">
        <f t="shared" ref="C43" si="10">$A$5</f>
        <v>BK</v>
      </c>
      <c r="D43" s="369"/>
      <c r="E43" s="370"/>
      <c r="F43" s="428"/>
      <c r="G43" s="429"/>
      <c r="H43" s="430"/>
      <c r="I43" s="75"/>
      <c r="J43" s="76"/>
      <c r="K43" s="139">
        <v>1</v>
      </c>
      <c r="L43" s="77" t="s">
        <v>65</v>
      </c>
      <c r="M43" s="78">
        <f>K43*B43</f>
        <v>552</v>
      </c>
      <c r="N43" s="79"/>
      <c r="O43" s="78"/>
      <c r="P43" s="80" t="s">
        <v>65</v>
      </c>
      <c r="Q43" s="377">
        <v>45996</v>
      </c>
      <c r="R43" s="78">
        <v>552</v>
      </c>
      <c r="S43" s="80" t="s">
        <v>65</v>
      </c>
      <c r="T43" s="84">
        <f t="shared" si="3"/>
        <v>0</v>
      </c>
      <c r="U43" s="82"/>
      <c r="V43" s="82"/>
      <c r="W43" s="83"/>
      <c r="X43" s="81"/>
      <c r="Y43" s="445" t="s">
        <v>94</v>
      </c>
      <c r="Z43" s="86"/>
      <c r="AA43" s="85"/>
      <c r="AB43" s="449" t="s">
        <v>210</v>
      </c>
    </row>
    <row r="44" spans="1:32" s="55" customFormat="1" ht="69.95" customHeight="1" x14ac:dyDescent="0.15">
      <c r="A44" s="432"/>
      <c r="B44" s="186">
        <f>$I$6</f>
        <v>0</v>
      </c>
      <c r="C44" s="368">
        <f>$A$6</f>
        <v>0</v>
      </c>
      <c r="D44" s="369"/>
      <c r="E44" s="370"/>
      <c r="F44" s="428"/>
      <c r="G44" s="429"/>
      <c r="H44" s="430"/>
      <c r="I44" s="75"/>
      <c r="J44" s="76"/>
      <c r="K44" s="139"/>
      <c r="L44" s="77" t="s">
        <v>65</v>
      </c>
      <c r="M44" s="78">
        <f>K44*B44</f>
        <v>0</v>
      </c>
      <c r="N44" s="140"/>
      <c r="O44" s="78"/>
      <c r="P44" s="80" t="s">
        <v>65</v>
      </c>
      <c r="Q44" s="377"/>
      <c r="R44" s="78"/>
      <c r="S44" s="80" t="s">
        <v>65</v>
      </c>
      <c r="T44" s="81">
        <f t="shared" si="3"/>
        <v>0</v>
      </c>
      <c r="U44" s="82"/>
      <c r="V44" s="137"/>
      <c r="W44" s="78"/>
      <c r="X44" s="78"/>
      <c r="Y44" s="446"/>
      <c r="Z44" s="141"/>
      <c r="AA44" s="135"/>
      <c r="AB44" s="449"/>
      <c r="AC44" s="142"/>
      <c r="AD44" s="179"/>
      <c r="AE44" s="179"/>
      <c r="AF44" s="179"/>
    </row>
    <row r="45" spans="1:32" s="206" customFormat="1" ht="69.95" customHeight="1" x14ac:dyDescent="0.15">
      <c r="A45" s="431" t="s">
        <v>117</v>
      </c>
      <c r="B45" s="191">
        <f t="shared" ref="B45:B47" si="11">$I$5</f>
        <v>552</v>
      </c>
      <c r="C45" s="422" t="str">
        <f t="shared" ref="C45:C47" si="12">$A$5</f>
        <v>BK</v>
      </c>
      <c r="D45" s="423"/>
      <c r="E45" s="424"/>
      <c r="F45" s="425"/>
      <c r="G45" s="423"/>
      <c r="H45" s="424"/>
      <c r="I45" s="433" t="s">
        <v>80</v>
      </c>
      <c r="J45" s="192"/>
      <c r="K45" s="193">
        <v>1</v>
      </c>
      <c r="L45" s="194" t="s">
        <v>65</v>
      </c>
      <c r="M45" s="195">
        <f t="shared" ref="M45:M58" si="13">K45*B45</f>
        <v>552</v>
      </c>
      <c r="N45" s="196"/>
      <c r="O45" s="195"/>
      <c r="P45" s="194" t="s">
        <v>65</v>
      </c>
      <c r="Q45" s="435"/>
      <c r="R45" s="195"/>
      <c r="S45" s="194" t="s">
        <v>65</v>
      </c>
      <c r="T45" s="205">
        <f t="shared" si="3"/>
        <v>-552</v>
      </c>
      <c r="U45" s="199"/>
      <c r="V45" s="199"/>
      <c r="W45" s="208"/>
      <c r="X45" s="198"/>
      <c r="Y45" s="437" t="s">
        <v>57</v>
      </c>
      <c r="Z45" s="231"/>
      <c r="AA45" s="232"/>
      <c r="AB45" s="439"/>
    </row>
    <row r="46" spans="1:32" s="206" customFormat="1" ht="69.95" customHeight="1" x14ac:dyDescent="0.15">
      <c r="A46" s="432"/>
      <c r="B46" s="204">
        <f>$I$6</f>
        <v>0</v>
      </c>
      <c r="C46" s="453">
        <f>$A$6</f>
        <v>0</v>
      </c>
      <c r="D46" s="454"/>
      <c r="E46" s="455"/>
      <c r="F46" s="425"/>
      <c r="G46" s="423"/>
      <c r="H46" s="424"/>
      <c r="I46" s="434"/>
      <c r="J46" s="192"/>
      <c r="K46" s="193">
        <v>1</v>
      </c>
      <c r="L46" s="194" t="s">
        <v>65</v>
      </c>
      <c r="M46" s="195">
        <f t="shared" si="13"/>
        <v>0</v>
      </c>
      <c r="N46" s="233"/>
      <c r="O46" s="195"/>
      <c r="P46" s="194" t="s">
        <v>65</v>
      </c>
      <c r="Q46" s="436"/>
      <c r="R46" s="195"/>
      <c r="S46" s="194" t="s">
        <v>65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440"/>
      <c r="AC46" s="234"/>
      <c r="AD46" s="230"/>
      <c r="AE46" s="230"/>
      <c r="AF46" s="230"/>
    </row>
    <row r="47" spans="1:32" s="206" customFormat="1" ht="69.95" customHeight="1" x14ac:dyDescent="0.15">
      <c r="A47" s="431" t="s">
        <v>78</v>
      </c>
      <c r="B47" s="191">
        <f t="shared" si="11"/>
        <v>552</v>
      </c>
      <c r="C47" s="422" t="str">
        <f t="shared" si="12"/>
        <v>BK</v>
      </c>
      <c r="D47" s="423"/>
      <c r="E47" s="424"/>
      <c r="F47" s="425"/>
      <c r="G47" s="423"/>
      <c r="H47" s="424"/>
      <c r="I47" s="207"/>
      <c r="J47" s="192"/>
      <c r="K47" s="193">
        <v>1</v>
      </c>
      <c r="L47" s="194" t="s">
        <v>65</v>
      </c>
      <c r="M47" s="195">
        <f t="shared" si="13"/>
        <v>552</v>
      </c>
      <c r="N47" s="196"/>
      <c r="O47" s="195"/>
      <c r="P47" s="194" t="s">
        <v>65</v>
      </c>
      <c r="Q47" s="435"/>
      <c r="R47" s="195"/>
      <c r="S47" s="194" t="s">
        <v>65</v>
      </c>
      <c r="T47" s="205">
        <f t="shared" si="3"/>
        <v>-552</v>
      </c>
      <c r="U47" s="199"/>
      <c r="V47" s="199"/>
      <c r="W47" s="208"/>
      <c r="X47" s="198"/>
      <c r="Y47" s="437" t="s">
        <v>57</v>
      </c>
      <c r="Z47" s="231"/>
      <c r="AA47" s="232"/>
      <c r="AB47" s="439"/>
    </row>
    <row r="48" spans="1:32" s="206" customFormat="1" ht="69.95" customHeight="1" x14ac:dyDescent="0.15">
      <c r="A48" s="432"/>
      <c r="B48" s="204">
        <f>$I$6</f>
        <v>0</v>
      </c>
      <c r="C48" s="453">
        <f>$A$6</f>
        <v>0</v>
      </c>
      <c r="D48" s="454"/>
      <c r="E48" s="455"/>
      <c r="F48" s="425"/>
      <c r="G48" s="423"/>
      <c r="H48" s="424"/>
      <c r="I48" s="207"/>
      <c r="J48" s="192"/>
      <c r="K48" s="193">
        <v>1</v>
      </c>
      <c r="L48" s="194" t="s">
        <v>65</v>
      </c>
      <c r="M48" s="195">
        <f t="shared" si="13"/>
        <v>0</v>
      </c>
      <c r="N48" s="233"/>
      <c r="O48" s="195"/>
      <c r="P48" s="194" t="s">
        <v>65</v>
      </c>
      <c r="Q48" s="436"/>
      <c r="R48" s="195"/>
      <c r="S48" s="194" t="s">
        <v>65</v>
      </c>
      <c r="T48" s="198">
        <f t="shared" si="3"/>
        <v>0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55" customFormat="1" ht="69.95" customHeight="1" x14ac:dyDescent="0.15">
      <c r="A49" s="431" t="s">
        <v>146</v>
      </c>
      <c r="B49" s="191">
        <f t="shared" ref="B49:B51" si="14">$I$5</f>
        <v>552</v>
      </c>
      <c r="C49" s="422" t="str">
        <f t="shared" ref="C49:C51" si="15">$A$5</f>
        <v>BK</v>
      </c>
      <c r="D49" s="423"/>
      <c r="E49" s="424"/>
      <c r="F49" s="425"/>
      <c r="G49" s="426"/>
      <c r="H49" s="427"/>
      <c r="I49" s="433" t="s">
        <v>102</v>
      </c>
      <c r="J49" s="192"/>
      <c r="K49" s="209">
        <v>0.95</v>
      </c>
      <c r="L49" s="194" t="s">
        <v>129</v>
      </c>
      <c r="M49" s="195">
        <f t="shared" si="13"/>
        <v>524.4</v>
      </c>
      <c r="N49" s="196"/>
      <c r="O49" s="195"/>
      <c r="P49" s="197" t="s">
        <v>63</v>
      </c>
      <c r="Q49" s="435"/>
      <c r="R49" s="195"/>
      <c r="S49" s="197" t="s">
        <v>63</v>
      </c>
      <c r="T49" s="205">
        <f t="shared" si="3"/>
        <v>-524.4</v>
      </c>
      <c r="U49" s="199"/>
      <c r="V49" s="199"/>
      <c r="W49" s="208"/>
      <c r="X49" s="198"/>
      <c r="Y49" s="437" t="s">
        <v>130</v>
      </c>
      <c r="Z49" s="231"/>
      <c r="AA49" s="232"/>
      <c r="AB49" s="439"/>
    </row>
    <row r="50" spans="1:32" s="55" customFormat="1" ht="69.95" customHeight="1" x14ac:dyDescent="0.15">
      <c r="A50" s="432"/>
      <c r="B50" s="204">
        <f>$I$6</f>
        <v>0</v>
      </c>
      <c r="C50" s="422">
        <f>$A$6</f>
        <v>0</v>
      </c>
      <c r="D50" s="423"/>
      <c r="E50" s="424"/>
      <c r="F50" s="425"/>
      <c r="G50" s="426"/>
      <c r="H50" s="427"/>
      <c r="I50" s="434"/>
      <c r="J50" s="192"/>
      <c r="K50" s="193"/>
      <c r="L50" s="194" t="s">
        <v>129</v>
      </c>
      <c r="M50" s="195">
        <f t="shared" si="13"/>
        <v>0</v>
      </c>
      <c r="N50" s="233"/>
      <c r="O50" s="195"/>
      <c r="P50" s="197" t="s">
        <v>63</v>
      </c>
      <c r="Q50" s="561"/>
      <c r="R50" s="195"/>
      <c r="S50" s="197" t="s">
        <v>63</v>
      </c>
      <c r="T50" s="198">
        <f t="shared" si="3"/>
        <v>0</v>
      </c>
      <c r="U50" s="199"/>
      <c r="V50" s="200"/>
      <c r="W50" s="195"/>
      <c r="X50" s="195"/>
      <c r="Y50" s="438"/>
      <c r="Z50" s="201"/>
      <c r="AA50" s="202"/>
      <c r="AB50" s="558"/>
      <c r="AC50" s="142"/>
      <c r="AD50" s="179"/>
      <c r="AE50" s="179"/>
      <c r="AF50" s="179"/>
    </row>
    <row r="51" spans="1:32" s="55" customFormat="1" ht="69.95" customHeight="1" x14ac:dyDescent="0.15">
      <c r="A51" s="431" t="s">
        <v>141</v>
      </c>
      <c r="B51" s="191">
        <f t="shared" si="14"/>
        <v>552</v>
      </c>
      <c r="C51" s="422" t="str">
        <f t="shared" si="15"/>
        <v>BK</v>
      </c>
      <c r="D51" s="423"/>
      <c r="E51" s="424"/>
      <c r="F51" s="425"/>
      <c r="G51" s="426"/>
      <c r="H51" s="427"/>
      <c r="I51" s="433" t="s">
        <v>124</v>
      </c>
      <c r="J51" s="192"/>
      <c r="K51" s="209">
        <v>0.95</v>
      </c>
      <c r="L51" s="194" t="s">
        <v>129</v>
      </c>
      <c r="M51" s="195">
        <f t="shared" si="13"/>
        <v>524.4</v>
      </c>
      <c r="N51" s="196"/>
      <c r="O51" s="195"/>
      <c r="P51" s="197" t="s">
        <v>63</v>
      </c>
      <c r="Q51" s="561"/>
      <c r="R51" s="195"/>
      <c r="S51" s="197" t="s">
        <v>63</v>
      </c>
      <c r="T51" s="205">
        <f t="shared" si="3"/>
        <v>-524.4</v>
      </c>
      <c r="U51" s="199"/>
      <c r="V51" s="199"/>
      <c r="W51" s="208"/>
      <c r="X51" s="198"/>
      <c r="Y51" s="437" t="s">
        <v>130</v>
      </c>
      <c r="Z51" s="231"/>
      <c r="AA51" s="232"/>
      <c r="AB51" s="558"/>
    </row>
    <row r="52" spans="1:32" s="55" customFormat="1" ht="69.95" customHeight="1" x14ac:dyDescent="0.15">
      <c r="A52" s="432"/>
      <c r="B52" s="204">
        <f>$I$6</f>
        <v>0</v>
      </c>
      <c r="C52" s="422">
        <f>$A$6</f>
        <v>0</v>
      </c>
      <c r="D52" s="423"/>
      <c r="E52" s="424"/>
      <c r="F52" s="425"/>
      <c r="G52" s="426"/>
      <c r="H52" s="427"/>
      <c r="I52" s="434"/>
      <c r="J52" s="192"/>
      <c r="K52" s="193"/>
      <c r="L52" s="194" t="s">
        <v>129</v>
      </c>
      <c r="M52" s="195">
        <f t="shared" si="13"/>
        <v>0</v>
      </c>
      <c r="N52" s="233"/>
      <c r="O52" s="195"/>
      <c r="P52" s="197" t="s">
        <v>63</v>
      </c>
      <c r="Q52" s="436"/>
      <c r="R52" s="195"/>
      <c r="S52" s="197" t="s">
        <v>63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  <c r="AC52" s="142"/>
      <c r="AD52" s="179"/>
      <c r="AE52" s="179"/>
      <c r="AF52" s="179"/>
    </row>
    <row r="53" spans="1:32" s="55" customFormat="1" ht="69.95" customHeight="1" x14ac:dyDescent="0.15">
      <c r="A53" s="431" t="s">
        <v>134</v>
      </c>
      <c r="B53" s="191">
        <f t="shared" ref="B53" si="16">$I$5</f>
        <v>552</v>
      </c>
      <c r="C53" s="422" t="str">
        <f t="shared" ref="C53" si="17">$A$5</f>
        <v>BK</v>
      </c>
      <c r="D53" s="423"/>
      <c r="E53" s="424"/>
      <c r="F53" s="425"/>
      <c r="G53" s="426"/>
      <c r="H53" s="427"/>
      <c r="I53" s="207"/>
      <c r="J53" s="192"/>
      <c r="K53" s="193">
        <v>1</v>
      </c>
      <c r="L53" s="194" t="s">
        <v>65</v>
      </c>
      <c r="M53" s="195">
        <f t="shared" si="13"/>
        <v>552</v>
      </c>
      <c r="N53" s="196"/>
      <c r="O53" s="195"/>
      <c r="P53" s="197" t="s">
        <v>65</v>
      </c>
      <c r="Q53" s="435"/>
      <c r="R53" s="195"/>
      <c r="S53" s="197" t="s">
        <v>65</v>
      </c>
      <c r="T53" s="205">
        <f t="shared" si="3"/>
        <v>-552</v>
      </c>
      <c r="U53" s="199"/>
      <c r="V53" s="199"/>
      <c r="W53" s="208"/>
      <c r="X53" s="198"/>
      <c r="Y53" s="437" t="s">
        <v>135</v>
      </c>
      <c r="Z53" s="231"/>
      <c r="AA53" s="232"/>
      <c r="AB53" s="439"/>
    </row>
    <row r="54" spans="1:32" s="55" customFormat="1" ht="69.95" customHeight="1" x14ac:dyDescent="0.15">
      <c r="A54" s="432"/>
      <c r="B54" s="204">
        <f>$I$6</f>
        <v>0</v>
      </c>
      <c r="C54" s="422">
        <f>$A$6</f>
        <v>0</v>
      </c>
      <c r="D54" s="423"/>
      <c r="E54" s="424"/>
      <c r="F54" s="425"/>
      <c r="G54" s="426"/>
      <c r="H54" s="427"/>
      <c r="I54" s="207"/>
      <c r="J54" s="192"/>
      <c r="K54" s="193">
        <v>1</v>
      </c>
      <c r="L54" s="194" t="s">
        <v>65</v>
      </c>
      <c r="M54" s="195">
        <f t="shared" si="13"/>
        <v>0</v>
      </c>
      <c r="N54" s="233"/>
      <c r="O54" s="195"/>
      <c r="P54" s="197" t="s">
        <v>65</v>
      </c>
      <c r="Q54" s="436"/>
      <c r="R54" s="195"/>
      <c r="S54" s="197" t="s">
        <v>65</v>
      </c>
      <c r="T54" s="198">
        <f t="shared" si="3"/>
        <v>0</v>
      </c>
      <c r="U54" s="199"/>
      <c r="V54" s="200"/>
      <c r="W54" s="195"/>
      <c r="X54" s="195"/>
      <c r="Y54" s="438"/>
      <c r="Z54" s="201"/>
      <c r="AA54" s="202"/>
      <c r="AB54" s="440"/>
      <c r="AC54" s="142"/>
      <c r="AD54" s="179"/>
      <c r="AE54" s="179"/>
      <c r="AF54" s="179"/>
    </row>
    <row r="55" spans="1:32" s="206" customFormat="1" ht="69.95" customHeight="1" x14ac:dyDescent="0.15">
      <c r="A55" s="431" t="s">
        <v>90</v>
      </c>
      <c r="B55" s="191">
        <f t="shared" si="7"/>
        <v>552</v>
      </c>
      <c r="C55" s="422" t="str">
        <f t="shared" si="8"/>
        <v>BK</v>
      </c>
      <c r="D55" s="423"/>
      <c r="E55" s="424"/>
      <c r="F55" s="425"/>
      <c r="G55" s="426"/>
      <c r="H55" s="427"/>
      <c r="I55" s="207" t="s">
        <v>79</v>
      </c>
      <c r="J55" s="192"/>
      <c r="K55" s="193">
        <v>1</v>
      </c>
      <c r="L55" s="194" t="s">
        <v>63</v>
      </c>
      <c r="M55" s="195">
        <f t="shared" si="13"/>
        <v>552</v>
      </c>
      <c r="N55" s="196"/>
      <c r="O55" s="195"/>
      <c r="P55" s="197" t="s">
        <v>63</v>
      </c>
      <c r="Q55" s="435"/>
      <c r="R55" s="195"/>
      <c r="S55" s="197" t="s">
        <v>63</v>
      </c>
      <c r="T55" s="205">
        <f t="shared" si="3"/>
        <v>-552</v>
      </c>
      <c r="U55" s="199"/>
      <c r="V55" s="199"/>
      <c r="W55" s="208"/>
      <c r="X55" s="198"/>
      <c r="Y55" s="437" t="s">
        <v>64</v>
      </c>
      <c r="Z55" s="231"/>
      <c r="AA55" s="232"/>
      <c r="AB55" s="439"/>
    </row>
    <row r="56" spans="1:32" s="206" customFormat="1" ht="69.95" customHeight="1" x14ac:dyDescent="0.15">
      <c r="A56" s="432"/>
      <c r="B56" s="204">
        <f>$I$6</f>
        <v>0</v>
      </c>
      <c r="C56" s="422">
        <f>$A$6</f>
        <v>0</v>
      </c>
      <c r="D56" s="423"/>
      <c r="E56" s="424"/>
      <c r="F56" s="425"/>
      <c r="G56" s="426"/>
      <c r="H56" s="427"/>
      <c r="I56" s="207" t="s">
        <v>79</v>
      </c>
      <c r="J56" s="192"/>
      <c r="K56" s="193">
        <v>1</v>
      </c>
      <c r="L56" s="194" t="s">
        <v>63</v>
      </c>
      <c r="M56" s="195">
        <f t="shared" si="13"/>
        <v>0</v>
      </c>
      <c r="N56" s="233"/>
      <c r="O56" s="195"/>
      <c r="P56" s="197" t="s">
        <v>63</v>
      </c>
      <c r="Q56" s="436"/>
      <c r="R56" s="195"/>
      <c r="S56" s="197" t="s">
        <v>63</v>
      </c>
      <c r="T56" s="198">
        <f t="shared" si="3"/>
        <v>0</v>
      </c>
      <c r="U56" s="199"/>
      <c r="V56" s="200"/>
      <c r="W56" s="195"/>
      <c r="X56" s="195"/>
      <c r="Y56" s="438"/>
      <c r="Z56" s="201"/>
      <c r="AA56" s="202"/>
      <c r="AB56" s="440"/>
      <c r="AC56" s="234"/>
      <c r="AD56" s="230"/>
      <c r="AE56" s="230"/>
      <c r="AF56" s="230"/>
    </row>
    <row r="57" spans="1:32" s="55" customFormat="1" ht="69.95" customHeight="1" x14ac:dyDescent="0.15">
      <c r="A57" s="431" t="s">
        <v>91</v>
      </c>
      <c r="B57" s="191">
        <f t="shared" si="7"/>
        <v>552</v>
      </c>
      <c r="C57" s="422" t="str">
        <f t="shared" si="8"/>
        <v>BK</v>
      </c>
      <c r="D57" s="423"/>
      <c r="E57" s="424"/>
      <c r="F57" s="425"/>
      <c r="G57" s="426"/>
      <c r="H57" s="427"/>
      <c r="I57" s="207" t="s">
        <v>75</v>
      </c>
      <c r="J57" s="192"/>
      <c r="K57" s="193">
        <v>1</v>
      </c>
      <c r="L57" s="194" t="s">
        <v>63</v>
      </c>
      <c r="M57" s="195">
        <f t="shared" si="13"/>
        <v>552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si="3"/>
        <v>-552</v>
      </c>
      <c r="U57" s="199"/>
      <c r="V57" s="199"/>
      <c r="W57" s="208"/>
      <c r="X57" s="198"/>
      <c r="Y57" s="437" t="s">
        <v>64</v>
      </c>
      <c r="Z57" s="231"/>
      <c r="AA57" s="232"/>
      <c r="AB57" s="439"/>
    </row>
    <row r="58" spans="1:32" s="55" customFormat="1" ht="69.95" customHeight="1" x14ac:dyDescent="0.15">
      <c r="A58" s="432"/>
      <c r="B58" s="204">
        <f>$I$6</f>
        <v>0</v>
      </c>
      <c r="C58" s="422">
        <f>$A$6</f>
        <v>0</v>
      </c>
      <c r="D58" s="423"/>
      <c r="E58" s="424"/>
      <c r="F58" s="425"/>
      <c r="G58" s="426"/>
      <c r="H58" s="427"/>
      <c r="I58" s="207" t="s">
        <v>75</v>
      </c>
      <c r="J58" s="192"/>
      <c r="K58" s="193">
        <v>1</v>
      </c>
      <c r="L58" s="194" t="s">
        <v>63</v>
      </c>
      <c r="M58" s="195">
        <f t="shared" si="13"/>
        <v>0</v>
      </c>
      <c r="N58" s="233"/>
      <c r="O58" s="195"/>
      <c r="P58" s="197" t="s">
        <v>63</v>
      </c>
      <c r="Q58" s="436"/>
      <c r="R58" s="195"/>
      <c r="S58" s="197" t="s">
        <v>63</v>
      </c>
      <c r="T58" s="198">
        <f t="shared" si="3"/>
        <v>0</v>
      </c>
      <c r="U58" s="199"/>
      <c r="V58" s="200"/>
      <c r="W58" s="195"/>
      <c r="X58" s="195"/>
      <c r="Y58" s="438"/>
      <c r="Z58" s="201"/>
      <c r="AA58" s="202"/>
      <c r="AB58" s="440"/>
      <c r="AC58" s="142"/>
      <c r="AD58" s="179"/>
      <c r="AE58" s="179"/>
      <c r="AF58" s="179"/>
    </row>
    <row r="59" spans="1:32" s="206" customFormat="1" ht="69.95" customHeight="1" x14ac:dyDescent="0.15">
      <c r="A59" s="431" t="s">
        <v>119</v>
      </c>
      <c r="B59" s="191">
        <f t="shared" ref="B59:B61" si="18">$I$5</f>
        <v>552</v>
      </c>
      <c r="C59" s="422" t="str">
        <f t="shared" ref="C59:C61" si="19">$A$5</f>
        <v>BK</v>
      </c>
      <c r="D59" s="423"/>
      <c r="E59" s="424"/>
      <c r="F59" s="425"/>
      <c r="G59" s="426"/>
      <c r="H59" s="427"/>
      <c r="I59" s="433" t="s">
        <v>121</v>
      </c>
      <c r="J59" s="192"/>
      <c r="K59" s="193">
        <v>2</v>
      </c>
      <c r="L59" s="194" t="s">
        <v>63</v>
      </c>
      <c r="M59" s="195">
        <f t="shared" si="4"/>
        <v>1104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-1104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206" customFormat="1" ht="69.95" customHeight="1" x14ac:dyDescent="0.15">
      <c r="A60" s="432"/>
      <c r="B60" s="204">
        <f>$I$6</f>
        <v>0</v>
      </c>
      <c r="C60" s="422">
        <f>$A$6</f>
        <v>0</v>
      </c>
      <c r="D60" s="423"/>
      <c r="E60" s="424"/>
      <c r="F60" s="425"/>
      <c r="G60" s="426"/>
      <c r="H60" s="427"/>
      <c r="I60" s="434"/>
      <c r="J60" s="192"/>
      <c r="K60" s="193">
        <v>2</v>
      </c>
      <c r="L60" s="194" t="s">
        <v>63</v>
      </c>
      <c r="M60" s="195">
        <f t="shared" si="4"/>
        <v>0</v>
      </c>
      <c r="N60" s="233"/>
      <c r="O60" s="195"/>
      <c r="P60" s="197" t="s">
        <v>63</v>
      </c>
      <c r="Q60" s="436"/>
      <c r="R60" s="195"/>
      <c r="S60" s="197" t="s">
        <v>63</v>
      </c>
      <c r="T60" s="198">
        <f t="shared" si="3"/>
        <v>0</v>
      </c>
      <c r="U60" s="199"/>
      <c r="V60" s="200"/>
      <c r="W60" s="195"/>
      <c r="X60" s="195"/>
      <c r="Y60" s="438"/>
      <c r="Z60" s="201"/>
      <c r="AA60" s="202"/>
      <c r="AB60" s="440"/>
      <c r="AC60" s="234"/>
      <c r="AD60" s="230"/>
      <c r="AE60" s="230"/>
      <c r="AF60" s="230"/>
    </row>
    <row r="61" spans="1:32" s="206" customFormat="1" ht="69.95" customHeight="1" x14ac:dyDescent="0.15">
      <c r="A61" s="431" t="s">
        <v>120</v>
      </c>
      <c r="B61" s="191">
        <f t="shared" si="18"/>
        <v>552</v>
      </c>
      <c r="C61" s="422" t="str">
        <f t="shared" si="19"/>
        <v>BK</v>
      </c>
      <c r="D61" s="423"/>
      <c r="E61" s="424"/>
      <c r="F61" s="425"/>
      <c r="G61" s="426"/>
      <c r="H61" s="427"/>
      <c r="I61" s="433" t="s">
        <v>75</v>
      </c>
      <c r="J61" s="192"/>
      <c r="K61" s="193">
        <v>2</v>
      </c>
      <c r="L61" s="194" t="s">
        <v>63</v>
      </c>
      <c r="M61" s="195">
        <f t="shared" si="4"/>
        <v>1104</v>
      </c>
      <c r="N61" s="196"/>
      <c r="O61" s="195"/>
      <c r="P61" s="197" t="s">
        <v>63</v>
      </c>
      <c r="Q61" s="435"/>
      <c r="R61" s="195"/>
      <c r="S61" s="197" t="s">
        <v>63</v>
      </c>
      <c r="T61" s="205">
        <f t="shared" si="3"/>
        <v>-1104</v>
      </c>
      <c r="U61" s="199"/>
      <c r="V61" s="199"/>
      <c r="W61" s="208"/>
      <c r="X61" s="198"/>
      <c r="Y61" s="437" t="s">
        <v>64</v>
      </c>
      <c r="Z61" s="231"/>
      <c r="AA61" s="232"/>
      <c r="AB61" s="439"/>
    </row>
    <row r="62" spans="1:32" s="206" customFormat="1" ht="69.95" customHeight="1" x14ac:dyDescent="0.15">
      <c r="A62" s="432"/>
      <c r="B62" s="204">
        <f>$I$6</f>
        <v>0</v>
      </c>
      <c r="C62" s="422">
        <f>$A$6</f>
        <v>0</v>
      </c>
      <c r="D62" s="423"/>
      <c r="E62" s="424"/>
      <c r="F62" s="425"/>
      <c r="G62" s="426"/>
      <c r="H62" s="427"/>
      <c r="I62" s="434"/>
      <c r="J62" s="192"/>
      <c r="K62" s="193">
        <v>2</v>
      </c>
      <c r="L62" s="194" t="s">
        <v>63</v>
      </c>
      <c r="M62" s="195">
        <f t="shared" si="4"/>
        <v>0</v>
      </c>
      <c r="N62" s="233"/>
      <c r="O62" s="195"/>
      <c r="P62" s="197" t="s">
        <v>63</v>
      </c>
      <c r="Q62" s="436"/>
      <c r="R62" s="195"/>
      <c r="S62" s="197" t="s">
        <v>63</v>
      </c>
      <c r="T62" s="198">
        <f t="shared" si="3"/>
        <v>0</v>
      </c>
      <c r="U62" s="199"/>
      <c r="V62" s="200"/>
      <c r="W62" s="195"/>
      <c r="X62" s="195"/>
      <c r="Y62" s="438"/>
      <c r="Z62" s="201"/>
      <c r="AA62" s="202"/>
      <c r="AB62" s="440"/>
      <c r="AC62" s="234"/>
      <c r="AD62" s="230"/>
      <c r="AE62" s="230"/>
      <c r="AF62" s="230"/>
    </row>
    <row r="63" spans="1:32" s="176" customFormat="1" ht="54.95" customHeight="1" x14ac:dyDescent="0.15">
      <c r="A63" s="386" t="s">
        <v>66</v>
      </c>
      <c r="B63" s="164">
        <f>C11</f>
        <v>240</v>
      </c>
      <c r="C63" s="407" t="e">
        <f>#REF!</f>
        <v>#REF!</v>
      </c>
      <c r="D63" s="408"/>
      <c r="E63" s="409"/>
      <c r="F63" s="371"/>
      <c r="G63" s="372"/>
      <c r="H63" s="373"/>
      <c r="I63" s="276"/>
      <c r="J63" s="255"/>
      <c r="K63" s="263">
        <v>1</v>
      </c>
      <c r="L63" s="168" t="s">
        <v>63</v>
      </c>
      <c r="M63" s="169">
        <f t="shared" si="4"/>
        <v>240</v>
      </c>
      <c r="N63" s="171"/>
      <c r="O63" s="277"/>
      <c r="P63" s="169" t="s">
        <v>63</v>
      </c>
      <c r="Q63" s="376">
        <v>45996</v>
      </c>
      <c r="R63" s="277">
        <v>240</v>
      </c>
      <c r="S63" s="169" t="s">
        <v>63</v>
      </c>
      <c r="T63" s="278">
        <f t="shared" si="3"/>
        <v>0</v>
      </c>
      <c r="U63" s="279"/>
      <c r="V63" s="280"/>
      <c r="W63" s="278"/>
      <c r="X63" s="278"/>
      <c r="Y63" s="374" t="s">
        <v>72</v>
      </c>
      <c r="Z63" s="374"/>
      <c r="AA63" s="374"/>
      <c r="AB63" s="404" t="s">
        <v>209</v>
      </c>
    </row>
    <row r="64" spans="1:32" s="176" customFormat="1" ht="54.95" customHeight="1" x14ac:dyDescent="0.15">
      <c r="A64" s="387"/>
      <c r="B64" s="164">
        <f>D11</f>
        <v>250</v>
      </c>
      <c r="C64" s="410"/>
      <c r="D64" s="411"/>
      <c r="E64" s="412"/>
      <c r="F64" s="371"/>
      <c r="G64" s="372"/>
      <c r="H64" s="373"/>
      <c r="I64" s="276"/>
      <c r="J64" s="255"/>
      <c r="K64" s="167">
        <v>1</v>
      </c>
      <c r="L64" s="168" t="s">
        <v>63</v>
      </c>
      <c r="M64" s="169">
        <f t="shared" si="4"/>
        <v>250</v>
      </c>
      <c r="N64" s="171"/>
      <c r="O64" s="277"/>
      <c r="P64" s="169" t="s">
        <v>63</v>
      </c>
      <c r="Q64" s="377"/>
      <c r="R64" s="277">
        <v>250</v>
      </c>
      <c r="S64" s="169" t="s">
        <v>63</v>
      </c>
      <c r="T64" s="278">
        <f t="shared" si="3"/>
        <v>0</v>
      </c>
      <c r="U64" s="279"/>
      <c r="V64" s="280"/>
      <c r="W64" s="278"/>
      <c r="X64" s="278"/>
      <c r="Y64" s="375"/>
      <c r="Z64" s="375"/>
      <c r="AA64" s="375"/>
      <c r="AB64" s="405"/>
    </row>
    <row r="65" spans="1:28" s="176" customFormat="1" ht="54.95" customHeight="1" x14ac:dyDescent="0.15">
      <c r="A65" s="387"/>
      <c r="B65" s="164">
        <f>E11</f>
        <v>62</v>
      </c>
      <c r="C65" s="410"/>
      <c r="D65" s="411"/>
      <c r="E65" s="412"/>
      <c r="F65" s="371"/>
      <c r="G65" s="372"/>
      <c r="H65" s="373"/>
      <c r="I65" s="276"/>
      <c r="J65" s="255"/>
      <c r="K65" s="167">
        <v>1</v>
      </c>
      <c r="L65" s="168" t="s">
        <v>63</v>
      </c>
      <c r="M65" s="169">
        <f t="shared" si="4"/>
        <v>62</v>
      </c>
      <c r="N65" s="171"/>
      <c r="O65" s="277"/>
      <c r="P65" s="169" t="s">
        <v>63</v>
      </c>
      <c r="Q65" s="377"/>
      <c r="R65" s="277">
        <v>62</v>
      </c>
      <c r="S65" s="169" t="s">
        <v>63</v>
      </c>
      <c r="T65" s="278">
        <f t="shared" si="3"/>
        <v>0</v>
      </c>
      <c r="U65" s="279"/>
      <c r="V65" s="280"/>
      <c r="W65" s="278"/>
      <c r="X65" s="278"/>
      <c r="Y65" s="375"/>
      <c r="Z65" s="375"/>
      <c r="AA65" s="375"/>
      <c r="AB65" s="405"/>
    </row>
    <row r="66" spans="1:28" s="176" customFormat="1" ht="54.95" customHeight="1" x14ac:dyDescent="0.15">
      <c r="A66" s="387"/>
      <c r="B66" s="164">
        <f>F11</f>
        <v>0</v>
      </c>
      <c r="C66" s="410"/>
      <c r="D66" s="411"/>
      <c r="E66" s="412"/>
      <c r="F66" s="371"/>
      <c r="G66" s="372"/>
      <c r="H66" s="373"/>
      <c r="I66" s="276"/>
      <c r="J66" s="255"/>
      <c r="K66" s="167">
        <v>1</v>
      </c>
      <c r="L66" s="168" t="s">
        <v>63</v>
      </c>
      <c r="M66" s="169">
        <f t="shared" si="4"/>
        <v>0</v>
      </c>
      <c r="N66" s="171"/>
      <c r="O66" s="277"/>
      <c r="P66" s="169" t="s">
        <v>63</v>
      </c>
      <c r="Q66" s="377"/>
      <c r="R66" s="277"/>
      <c r="S66" s="169" t="s">
        <v>63</v>
      </c>
      <c r="T66" s="278">
        <f t="shared" si="3"/>
        <v>0</v>
      </c>
      <c r="U66" s="279"/>
      <c r="V66" s="280"/>
      <c r="W66" s="278"/>
      <c r="X66" s="278"/>
      <c r="Y66" s="375"/>
      <c r="Z66" s="375"/>
      <c r="AA66" s="375"/>
      <c r="AB66" s="405"/>
    </row>
    <row r="67" spans="1:28" s="176" customFormat="1" ht="54.95" customHeight="1" x14ac:dyDescent="0.15">
      <c r="A67" s="388"/>
      <c r="B67" s="164">
        <f>G11</f>
        <v>0</v>
      </c>
      <c r="C67" s="413"/>
      <c r="D67" s="414"/>
      <c r="E67" s="415"/>
      <c r="F67" s="371"/>
      <c r="G67" s="372"/>
      <c r="H67" s="373"/>
      <c r="I67" s="276"/>
      <c r="J67" s="255"/>
      <c r="K67" s="167">
        <v>1</v>
      </c>
      <c r="L67" s="168" t="s">
        <v>63</v>
      </c>
      <c r="M67" s="169">
        <f t="shared" si="4"/>
        <v>0</v>
      </c>
      <c r="N67" s="171"/>
      <c r="O67" s="277"/>
      <c r="P67" s="169" t="s">
        <v>63</v>
      </c>
      <c r="Q67" s="378"/>
      <c r="R67" s="277"/>
      <c r="S67" s="169" t="s">
        <v>63</v>
      </c>
      <c r="T67" s="278">
        <f t="shared" si="3"/>
        <v>0</v>
      </c>
      <c r="U67" s="279"/>
      <c r="V67" s="280"/>
      <c r="W67" s="278"/>
      <c r="X67" s="278"/>
      <c r="Y67" s="379"/>
      <c r="Z67" s="379"/>
      <c r="AA67" s="379"/>
      <c r="AB67" s="406"/>
    </row>
    <row r="68" spans="1:28" s="176" customFormat="1" ht="54.95" customHeight="1" x14ac:dyDescent="0.15">
      <c r="A68" s="386" t="s">
        <v>68</v>
      </c>
      <c r="B68" s="164">
        <f>C5+C8</f>
        <v>240</v>
      </c>
      <c r="C68" s="407" t="str">
        <f>A5</f>
        <v>BK</v>
      </c>
      <c r="D68" s="408"/>
      <c r="E68" s="409"/>
      <c r="F68" s="371"/>
      <c r="G68" s="372"/>
      <c r="H68" s="373"/>
      <c r="I68" s="276"/>
      <c r="J68" s="276"/>
      <c r="K68" s="167">
        <v>1</v>
      </c>
      <c r="L68" s="168" t="s">
        <v>63</v>
      </c>
      <c r="M68" s="169">
        <f t="shared" si="4"/>
        <v>240</v>
      </c>
      <c r="N68" s="171"/>
      <c r="O68" s="277"/>
      <c r="P68" s="169" t="s">
        <v>63</v>
      </c>
      <c r="Q68" s="376">
        <v>45996</v>
      </c>
      <c r="R68" s="277">
        <v>240</v>
      </c>
      <c r="S68" s="169" t="s">
        <v>63</v>
      </c>
      <c r="T68" s="278">
        <f t="shared" si="3"/>
        <v>0</v>
      </c>
      <c r="U68" s="281"/>
      <c r="V68" s="282"/>
      <c r="W68" s="278"/>
      <c r="X68" s="278"/>
      <c r="Y68" s="374" t="s">
        <v>72</v>
      </c>
      <c r="Z68" s="374"/>
      <c r="AA68" s="374"/>
      <c r="AB68" s="404" t="s">
        <v>210</v>
      </c>
    </row>
    <row r="69" spans="1:28" s="176" customFormat="1" ht="54.95" customHeight="1" x14ac:dyDescent="0.15">
      <c r="A69" s="387"/>
      <c r="B69" s="164">
        <f>D5+D8</f>
        <v>250</v>
      </c>
      <c r="C69" s="410"/>
      <c r="D69" s="411"/>
      <c r="E69" s="412"/>
      <c r="F69" s="371"/>
      <c r="G69" s="372"/>
      <c r="H69" s="373"/>
      <c r="I69" s="276"/>
      <c r="J69" s="276"/>
      <c r="K69" s="167">
        <v>1</v>
      </c>
      <c r="L69" s="168" t="s">
        <v>63</v>
      </c>
      <c r="M69" s="169">
        <f t="shared" si="4"/>
        <v>250</v>
      </c>
      <c r="N69" s="171"/>
      <c r="O69" s="277"/>
      <c r="P69" s="169" t="s">
        <v>63</v>
      </c>
      <c r="Q69" s="377"/>
      <c r="R69" s="277">
        <v>250</v>
      </c>
      <c r="S69" s="169" t="s">
        <v>63</v>
      </c>
      <c r="T69" s="278">
        <f t="shared" si="3"/>
        <v>0</v>
      </c>
      <c r="U69" s="281"/>
      <c r="V69" s="282"/>
      <c r="W69" s="278"/>
      <c r="X69" s="278"/>
      <c r="Y69" s="375"/>
      <c r="Z69" s="375"/>
      <c r="AA69" s="375"/>
      <c r="AB69" s="405"/>
    </row>
    <row r="70" spans="1:28" s="176" customFormat="1" ht="54.95" customHeight="1" x14ac:dyDescent="0.15">
      <c r="A70" s="387"/>
      <c r="B70" s="164">
        <f>E5+E8</f>
        <v>62</v>
      </c>
      <c r="C70" s="410"/>
      <c r="D70" s="411"/>
      <c r="E70" s="412"/>
      <c r="F70" s="371"/>
      <c r="G70" s="372"/>
      <c r="H70" s="373"/>
      <c r="I70" s="276"/>
      <c r="J70" s="276"/>
      <c r="K70" s="167">
        <v>1</v>
      </c>
      <c r="L70" s="168" t="s">
        <v>63</v>
      </c>
      <c r="M70" s="169">
        <f t="shared" si="4"/>
        <v>62</v>
      </c>
      <c r="N70" s="171"/>
      <c r="O70" s="277"/>
      <c r="P70" s="169" t="s">
        <v>63</v>
      </c>
      <c r="Q70" s="377"/>
      <c r="R70" s="277">
        <v>62</v>
      </c>
      <c r="S70" s="169" t="s">
        <v>63</v>
      </c>
      <c r="T70" s="278">
        <f t="shared" si="3"/>
        <v>0</v>
      </c>
      <c r="U70" s="281"/>
      <c r="V70" s="282"/>
      <c r="W70" s="278"/>
      <c r="X70" s="278"/>
      <c r="Y70" s="375"/>
      <c r="Z70" s="375"/>
      <c r="AA70" s="375"/>
      <c r="AB70" s="405"/>
    </row>
    <row r="71" spans="1:28" s="176" customFormat="1" ht="54.95" customHeight="1" x14ac:dyDescent="0.15">
      <c r="A71" s="387"/>
      <c r="B71" s="164">
        <f>F5+F8</f>
        <v>0</v>
      </c>
      <c r="C71" s="410"/>
      <c r="D71" s="411"/>
      <c r="E71" s="412"/>
      <c r="F71" s="371"/>
      <c r="G71" s="372"/>
      <c r="H71" s="373"/>
      <c r="I71" s="276"/>
      <c r="J71" s="276"/>
      <c r="K71" s="167">
        <v>1</v>
      </c>
      <c r="L71" s="168" t="s">
        <v>63</v>
      </c>
      <c r="M71" s="169">
        <f t="shared" si="4"/>
        <v>0</v>
      </c>
      <c r="N71" s="171"/>
      <c r="O71" s="277"/>
      <c r="P71" s="169" t="s">
        <v>63</v>
      </c>
      <c r="Q71" s="377"/>
      <c r="R71" s="168"/>
      <c r="S71" s="169" t="s">
        <v>63</v>
      </c>
      <c r="T71" s="278">
        <f t="shared" si="3"/>
        <v>0</v>
      </c>
      <c r="U71" s="281"/>
      <c r="V71" s="282"/>
      <c r="W71" s="278"/>
      <c r="X71" s="278"/>
      <c r="Y71" s="375"/>
      <c r="Z71" s="375"/>
      <c r="AA71" s="375"/>
      <c r="AB71" s="405"/>
    </row>
    <row r="72" spans="1:28" s="176" customFormat="1" ht="54.95" customHeight="1" x14ac:dyDescent="0.15">
      <c r="A72" s="387"/>
      <c r="B72" s="164">
        <f>G5+G8</f>
        <v>0</v>
      </c>
      <c r="C72" s="413"/>
      <c r="D72" s="414"/>
      <c r="E72" s="415"/>
      <c r="F72" s="371"/>
      <c r="G72" s="372"/>
      <c r="H72" s="373"/>
      <c r="I72" s="276"/>
      <c r="J72" s="276"/>
      <c r="K72" s="167">
        <v>1</v>
      </c>
      <c r="L72" s="168" t="s">
        <v>63</v>
      </c>
      <c r="M72" s="169">
        <f t="shared" si="4"/>
        <v>0</v>
      </c>
      <c r="N72" s="171"/>
      <c r="O72" s="277"/>
      <c r="P72" s="169" t="s">
        <v>63</v>
      </c>
      <c r="Q72" s="377"/>
      <c r="R72" s="168"/>
      <c r="S72" s="169" t="s">
        <v>63</v>
      </c>
      <c r="T72" s="278">
        <f t="shared" si="3"/>
        <v>0</v>
      </c>
      <c r="U72" s="281"/>
      <c r="V72" s="282"/>
      <c r="W72" s="278"/>
      <c r="X72" s="278"/>
      <c r="Y72" s="375"/>
      <c r="Z72" s="375"/>
      <c r="AA72" s="375"/>
      <c r="AB72" s="405"/>
    </row>
    <row r="73" spans="1:28" s="176" customFormat="1" ht="54.95" customHeight="1" x14ac:dyDescent="0.15">
      <c r="A73" s="387"/>
      <c r="B73" s="164">
        <f>C6</f>
        <v>0</v>
      </c>
      <c r="C73" s="407">
        <f>A6</f>
        <v>0</v>
      </c>
      <c r="D73" s="408"/>
      <c r="E73" s="409"/>
      <c r="F73" s="371"/>
      <c r="G73" s="372"/>
      <c r="H73" s="373"/>
      <c r="I73" s="276"/>
      <c r="J73" s="276"/>
      <c r="K73" s="167">
        <v>1</v>
      </c>
      <c r="L73" s="168" t="s">
        <v>63</v>
      </c>
      <c r="M73" s="169">
        <f t="shared" si="4"/>
        <v>0</v>
      </c>
      <c r="N73" s="171"/>
      <c r="O73" s="277"/>
      <c r="P73" s="169" t="s">
        <v>63</v>
      </c>
      <c r="Q73" s="377"/>
      <c r="R73" s="277"/>
      <c r="S73" s="169" t="s">
        <v>63</v>
      </c>
      <c r="T73" s="278">
        <f>R73-M73</f>
        <v>0</v>
      </c>
      <c r="U73" s="281"/>
      <c r="V73" s="282"/>
      <c r="W73" s="278"/>
      <c r="X73" s="278"/>
      <c r="Y73" s="374" t="s">
        <v>72</v>
      </c>
      <c r="Z73" s="374"/>
      <c r="AA73" s="374"/>
      <c r="AB73" s="405"/>
    </row>
    <row r="74" spans="1:28" s="176" customFormat="1" ht="54.95" customHeight="1" x14ac:dyDescent="0.15">
      <c r="A74" s="387"/>
      <c r="B74" s="164">
        <f>D6</f>
        <v>0</v>
      </c>
      <c r="C74" s="410"/>
      <c r="D74" s="411"/>
      <c r="E74" s="412"/>
      <c r="F74" s="371"/>
      <c r="G74" s="372"/>
      <c r="H74" s="373"/>
      <c r="I74" s="276"/>
      <c r="J74" s="276"/>
      <c r="K74" s="167">
        <v>1</v>
      </c>
      <c r="L74" s="168" t="s">
        <v>63</v>
      </c>
      <c r="M74" s="169">
        <f t="shared" si="4"/>
        <v>0</v>
      </c>
      <c r="N74" s="171"/>
      <c r="O74" s="277"/>
      <c r="P74" s="169" t="s">
        <v>63</v>
      </c>
      <c r="Q74" s="377"/>
      <c r="R74" s="277"/>
      <c r="S74" s="169" t="s">
        <v>63</v>
      </c>
      <c r="T74" s="278">
        <f>R74-M74</f>
        <v>0</v>
      </c>
      <c r="U74" s="281"/>
      <c r="V74" s="282"/>
      <c r="W74" s="278"/>
      <c r="X74" s="278"/>
      <c r="Y74" s="375"/>
      <c r="Z74" s="375"/>
      <c r="AA74" s="375"/>
      <c r="AB74" s="405"/>
    </row>
    <row r="75" spans="1:28" s="176" customFormat="1" ht="54.95" customHeight="1" x14ac:dyDescent="0.15">
      <c r="A75" s="387"/>
      <c r="B75" s="164">
        <f>E6</f>
        <v>0</v>
      </c>
      <c r="C75" s="410"/>
      <c r="D75" s="411"/>
      <c r="E75" s="412"/>
      <c r="F75" s="371"/>
      <c r="G75" s="372"/>
      <c r="H75" s="373"/>
      <c r="I75" s="276"/>
      <c r="J75" s="276"/>
      <c r="K75" s="167">
        <v>1</v>
      </c>
      <c r="L75" s="168" t="s">
        <v>63</v>
      </c>
      <c r="M75" s="169">
        <f t="shared" si="4"/>
        <v>0</v>
      </c>
      <c r="N75" s="171"/>
      <c r="O75" s="277"/>
      <c r="P75" s="169" t="s">
        <v>63</v>
      </c>
      <c r="Q75" s="377"/>
      <c r="R75" s="277"/>
      <c r="S75" s="169" t="s">
        <v>63</v>
      </c>
      <c r="T75" s="278">
        <f>R75-M75</f>
        <v>0</v>
      </c>
      <c r="U75" s="281"/>
      <c r="V75" s="282"/>
      <c r="W75" s="278"/>
      <c r="X75" s="278"/>
      <c r="Y75" s="375"/>
      <c r="Z75" s="375"/>
      <c r="AA75" s="375"/>
      <c r="AB75" s="405"/>
    </row>
    <row r="76" spans="1:28" s="176" customFormat="1" ht="54.95" customHeight="1" x14ac:dyDescent="0.15">
      <c r="A76" s="387"/>
      <c r="B76" s="164"/>
      <c r="C76" s="410"/>
      <c r="D76" s="411"/>
      <c r="E76" s="412"/>
      <c r="F76" s="371"/>
      <c r="G76" s="372"/>
      <c r="H76" s="373"/>
      <c r="I76" s="276"/>
      <c r="J76" s="276"/>
      <c r="K76" s="167">
        <v>1</v>
      </c>
      <c r="L76" s="168" t="s">
        <v>63</v>
      </c>
      <c r="M76" s="169">
        <f t="shared" si="4"/>
        <v>0</v>
      </c>
      <c r="N76" s="171"/>
      <c r="O76" s="277"/>
      <c r="P76" s="169" t="s">
        <v>63</v>
      </c>
      <c r="Q76" s="377"/>
      <c r="R76" s="168"/>
      <c r="S76" s="169" t="s">
        <v>63</v>
      </c>
      <c r="T76" s="278">
        <f>R76-M76</f>
        <v>0</v>
      </c>
      <c r="U76" s="281"/>
      <c r="V76" s="282"/>
      <c r="W76" s="278"/>
      <c r="X76" s="278"/>
      <c r="Y76" s="375"/>
      <c r="Z76" s="375"/>
      <c r="AA76" s="375"/>
      <c r="AB76" s="405"/>
    </row>
    <row r="77" spans="1:28" s="176" customFormat="1" ht="54.95" customHeight="1" x14ac:dyDescent="0.15">
      <c r="A77" s="388"/>
      <c r="B77" s="164">
        <f>G10+G13</f>
        <v>0</v>
      </c>
      <c r="C77" s="413"/>
      <c r="D77" s="414"/>
      <c r="E77" s="415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0</v>
      </c>
      <c r="N77" s="171"/>
      <c r="O77" s="277"/>
      <c r="P77" s="169" t="s">
        <v>63</v>
      </c>
      <c r="Q77" s="378"/>
      <c r="R77" s="168"/>
      <c r="S77" s="169" t="s">
        <v>63</v>
      </c>
      <c r="T77" s="278">
        <f>R77-M77</f>
        <v>0</v>
      </c>
      <c r="U77" s="281"/>
      <c r="V77" s="282"/>
      <c r="W77" s="278"/>
      <c r="X77" s="278"/>
      <c r="Y77" s="375"/>
      <c r="Z77" s="375"/>
      <c r="AA77" s="375"/>
      <c r="AB77" s="406"/>
    </row>
    <row r="78" spans="1:28" s="176" customFormat="1" ht="54.95" customHeight="1" x14ac:dyDescent="0.15">
      <c r="A78" s="386" t="s">
        <v>69</v>
      </c>
      <c r="B78" s="164">
        <f>C5</f>
        <v>240</v>
      </c>
      <c r="C78" s="407" t="str">
        <f>A5</f>
        <v>BK</v>
      </c>
      <c r="D78" s="408"/>
      <c r="E78" s="409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240</v>
      </c>
      <c r="N78" s="171"/>
      <c r="O78" s="277"/>
      <c r="P78" s="169" t="s">
        <v>63</v>
      </c>
      <c r="Q78" s="376">
        <v>46045</v>
      </c>
      <c r="R78" s="277">
        <v>240</v>
      </c>
      <c r="S78" s="169" t="s">
        <v>63</v>
      </c>
      <c r="T78" s="278">
        <f t="shared" si="3"/>
        <v>0</v>
      </c>
      <c r="U78" s="281"/>
      <c r="V78" s="282"/>
      <c r="W78" s="278"/>
      <c r="X78" s="278"/>
      <c r="Y78" s="374" t="s">
        <v>67</v>
      </c>
      <c r="Z78" s="374"/>
      <c r="AA78" s="374"/>
      <c r="AB78" s="404" t="s">
        <v>245</v>
      </c>
    </row>
    <row r="79" spans="1:28" s="176" customFormat="1" ht="54.95" customHeight="1" x14ac:dyDescent="0.15">
      <c r="A79" s="387"/>
      <c r="B79" s="164">
        <f>D5</f>
        <v>250</v>
      </c>
      <c r="C79" s="410"/>
      <c r="D79" s="411"/>
      <c r="E79" s="412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250</v>
      </c>
      <c r="N79" s="171"/>
      <c r="O79" s="277"/>
      <c r="P79" s="169" t="s">
        <v>63</v>
      </c>
      <c r="Q79" s="377"/>
      <c r="R79" s="277">
        <v>250</v>
      </c>
      <c r="S79" s="169" t="s">
        <v>63</v>
      </c>
      <c r="T79" s="278">
        <f t="shared" si="3"/>
        <v>0</v>
      </c>
      <c r="U79" s="281"/>
      <c r="V79" s="282"/>
      <c r="W79" s="278"/>
      <c r="X79" s="278"/>
      <c r="Y79" s="375"/>
      <c r="Z79" s="375"/>
      <c r="AA79" s="375"/>
      <c r="AB79" s="405"/>
    </row>
    <row r="80" spans="1:28" s="176" customFormat="1" ht="54.95" customHeight="1" x14ac:dyDescent="0.15">
      <c r="A80" s="387"/>
      <c r="B80" s="164">
        <f>E5</f>
        <v>62</v>
      </c>
      <c r="C80" s="410"/>
      <c r="D80" s="411"/>
      <c r="E80" s="412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62</v>
      </c>
      <c r="N80" s="171"/>
      <c r="O80" s="277"/>
      <c r="P80" s="169" t="s">
        <v>63</v>
      </c>
      <c r="Q80" s="377"/>
      <c r="R80" s="277">
        <v>62</v>
      </c>
      <c r="S80" s="169" t="s">
        <v>63</v>
      </c>
      <c r="T80" s="278">
        <f t="shared" si="3"/>
        <v>0</v>
      </c>
      <c r="U80" s="281"/>
      <c r="V80" s="282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7"/>
      <c r="B81" s="164">
        <f>F5</f>
        <v>0</v>
      </c>
      <c r="C81" s="410"/>
      <c r="D81" s="411"/>
      <c r="E81" s="412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7"/>
      <c r="R81" s="168"/>
      <c r="S81" s="169" t="s">
        <v>63</v>
      </c>
      <c r="T81" s="278">
        <f t="shared" si="3"/>
        <v>0</v>
      </c>
      <c r="U81" s="281"/>
      <c r="V81" s="282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387"/>
      <c r="B82" s="164">
        <f>G5</f>
        <v>0</v>
      </c>
      <c r="C82" s="413"/>
      <c r="D82" s="414"/>
      <c r="E82" s="415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0</v>
      </c>
      <c r="N82" s="171"/>
      <c r="O82" s="277"/>
      <c r="P82" s="169" t="s">
        <v>63</v>
      </c>
      <c r="Q82" s="377"/>
      <c r="R82" s="168"/>
      <c r="S82" s="169" t="s">
        <v>63</v>
      </c>
      <c r="T82" s="278">
        <f t="shared" si="3"/>
        <v>0</v>
      </c>
      <c r="U82" s="281"/>
      <c r="V82" s="282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387"/>
      <c r="B83" s="164">
        <f>C6</f>
        <v>0</v>
      </c>
      <c r="C83" s="407">
        <f>A6</f>
        <v>0</v>
      </c>
      <c r="D83" s="408"/>
      <c r="E83" s="409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7"/>
      <c r="R83" s="277"/>
      <c r="S83" s="169" t="s">
        <v>63</v>
      </c>
      <c r="T83" s="278">
        <f t="shared" si="3"/>
        <v>0</v>
      </c>
      <c r="U83" s="281"/>
      <c r="V83" s="282"/>
      <c r="W83" s="278"/>
      <c r="X83" s="278"/>
      <c r="Y83" s="374" t="s">
        <v>67</v>
      </c>
      <c r="Z83" s="374"/>
      <c r="AA83" s="374"/>
      <c r="AB83" s="405"/>
    </row>
    <row r="84" spans="1:28" s="176" customFormat="1" ht="54.95" customHeight="1" x14ac:dyDescent="0.15">
      <c r="A84" s="387"/>
      <c r="B84" s="164">
        <f>D6</f>
        <v>0</v>
      </c>
      <c r="C84" s="410"/>
      <c r="D84" s="411"/>
      <c r="E84" s="412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7"/>
      <c r="R84" s="277"/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405"/>
    </row>
    <row r="85" spans="1:28" s="176" customFormat="1" ht="54.95" customHeight="1" x14ac:dyDescent="0.15">
      <c r="A85" s="387"/>
      <c r="B85" s="164">
        <f>E6</f>
        <v>0</v>
      </c>
      <c r="C85" s="410"/>
      <c r="D85" s="411"/>
      <c r="E85" s="412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7"/>
      <c r="R85" s="277"/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405"/>
    </row>
    <row r="86" spans="1:28" s="176" customFormat="1" ht="54.95" customHeight="1" x14ac:dyDescent="0.15">
      <c r="A86" s="387"/>
      <c r="B86" s="164">
        <f>F10</f>
        <v>0</v>
      </c>
      <c r="C86" s="410"/>
      <c r="D86" s="411"/>
      <c r="E86" s="412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0</v>
      </c>
      <c r="N86" s="171"/>
      <c r="O86" s="277"/>
      <c r="P86" s="169" t="s">
        <v>63</v>
      </c>
      <c r="Q86" s="377"/>
      <c r="R86" s="168"/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405"/>
    </row>
    <row r="87" spans="1:28" s="176" customFormat="1" ht="54.95" customHeight="1" x14ac:dyDescent="0.15">
      <c r="A87" s="388"/>
      <c r="B87" s="164">
        <f>G10</f>
        <v>0</v>
      </c>
      <c r="C87" s="413"/>
      <c r="D87" s="414"/>
      <c r="E87" s="415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0</v>
      </c>
      <c r="N87" s="171"/>
      <c r="O87" s="277"/>
      <c r="P87" s="169" t="s">
        <v>63</v>
      </c>
      <c r="Q87" s="378"/>
      <c r="R87" s="168"/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406"/>
    </row>
    <row r="88" spans="1:28" s="55" customFormat="1" ht="54.95" customHeight="1" x14ac:dyDescent="0.15">
      <c r="A88" s="386" t="s">
        <v>70</v>
      </c>
      <c r="B88" s="87">
        <f>C11</f>
        <v>240</v>
      </c>
      <c r="C88" s="389" t="s">
        <v>71</v>
      </c>
      <c r="D88" s="390"/>
      <c r="E88" s="391"/>
      <c r="F88" s="368"/>
      <c r="G88" s="369"/>
      <c r="H88" s="370"/>
      <c r="I88" s="152"/>
      <c r="J88" s="90"/>
      <c r="K88" s="156">
        <v>1</v>
      </c>
      <c r="L88" s="77" t="s">
        <v>63</v>
      </c>
      <c r="M88" s="88">
        <f t="shared" si="4"/>
        <v>240</v>
      </c>
      <c r="N88" s="89"/>
      <c r="O88" s="153"/>
      <c r="P88" s="88" t="s">
        <v>63</v>
      </c>
      <c r="Q88" s="398">
        <v>45996</v>
      </c>
      <c r="R88" s="93">
        <v>240</v>
      </c>
      <c r="S88" s="88" t="s">
        <v>63</v>
      </c>
      <c r="T88" s="154">
        <f t="shared" si="3"/>
        <v>0</v>
      </c>
      <c r="U88" s="91"/>
      <c r="V88" s="159"/>
      <c r="W88" s="159"/>
      <c r="X88" s="159"/>
      <c r="Y88" s="401" t="s">
        <v>94</v>
      </c>
      <c r="Z88" s="416"/>
      <c r="AA88" s="416"/>
      <c r="AB88" s="419" t="s">
        <v>210</v>
      </c>
    </row>
    <row r="89" spans="1:28" s="55" customFormat="1" ht="54.95" customHeight="1" x14ac:dyDescent="0.15">
      <c r="A89" s="387"/>
      <c r="B89" s="87">
        <f>D11</f>
        <v>250</v>
      </c>
      <c r="C89" s="392"/>
      <c r="D89" s="393"/>
      <c r="E89" s="394"/>
      <c r="F89" s="368"/>
      <c r="G89" s="369"/>
      <c r="H89" s="370"/>
      <c r="I89" s="152"/>
      <c r="J89" s="90"/>
      <c r="K89" s="156">
        <v>1</v>
      </c>
      <c r="L89" s="77" t="s">
        <v>63</v>
      </c>
      <c r="M89" s="88">
        <f t="shared" si="4"/>
        <v>250</v>
      </c>
      <c r="N89" s="89"/>
      <c r="O89" s="153"/>
      <c r="P89" s="88" t="s">
        <v>63</v>
      </c>
      <c r="Q89" s="399"/>
      <c r="R89" s="93">
        <v>250</v>
      </c>
      <c r="S89" s="88" t="s">
        <v>63</v>
      </c>
      <c r="T89" s="154">
        <f t="shared" si="3"/>
        <v>0</v>
      </c>
      <c r="U89" s="91"/>
      <c r="V89" s="159"/>
      <c r="W89" s="159"/>
      <c r="X89" s="159"/>
      <c r="Y89" s="402"/>
      <c r="Z89" s="417"/>
      <c r="AA89" s="417"/>
      <c r="AB89" s="420"/>
    </row>
    <row r="90" spans="1:28" s="55" customFormat="1" ht="54.95" customHeight="1" x14ac:dyDescent="0.15">
      <c r="A90" s="387"/>
      <c r="B90" s="87">
        <f>E11</f>
        <v>62</v>
      </c>
      <c r="C90" s="392"/>
      <c r="D90" s="393"/>
      <c r="E90" s="394"/>
      <c r="F90" s="368"/>
      <c r="G90" s="369"/>
      <c r="H90" s="370"/>
      <c r="I90" s="152"/>
      <c r="J90" s="90"/>
      <c r="K90" s="156">
        <v>1</v>
      </c>
      <c r="L90" s="77" t="s">
        <v>63</v>
      </c>
      <c r="M90" s="88">
        <f t="shared" si="4"/>
        <v>62</v>
      </c>
      <c r="N90" s="89"/>
      <c r="O90" s="153"/>
      <c r="P90" s="88" t="s">
        <v>63</v>
      </c>
      <c r="Q90" s="399"/>
      <c r="R90" s="93">
        <v>62</v>
      </c>
      <c r="S90" s="88" t="s">
        <v>63</v>
      </c>
      <c r="T90" s="154">
        <f t="shared" si="3"/>
        <v>0</v>
      </c>
      <c r="U90" s="91"/>
      <c r="V90" s="159"/>
      <c r="W90" s="159"/>
      <c r="X90" s="159"/>
      <c r="Y90" s="402"/>
      <c r="Z90" s="417"/>
      <c r="AA90" s="417"/>
      <c r="AB90" s="420"/>
    </row>
    <row r="91" spans="1:28" s="55" customFormat="1" ht="54.95" customHeight="1" x14ac:dyDescent="0.15">
      <c r="A91" s="388"/>
      <c r="B91" s="87">
        <f>F11</f>
        <v>0</v>
      </c>
      <c r="C91" s="395"/>
      <c r="D91" s="396"/>
      <c r="E91" s="397"/>
      <c r="F91" s="368"/>
      <c r="G91" s="369"/>
      <c r="H91" s="370"/>
      <c r="I91" s="152"/>
      <c r="J91" s="90"/>
      <c r="K91" s="156"/>
      <c r="L91" s="77" t="s">
        <v>63</v>
      </c>
      <c r="M91" s="88">
        <f t="shared" si="4"/>
        <v>0</v>
      </c>
      <c r="N91" s="89"/>
      <c r="O91" s="153"/>
      <c r="P91" s="88" t="s">
        <v>63</v>
      </c>
      <c r="Q91" s="400"/>
      <c r="R91" s="162"/>
      <c r="S91" s="88" t="s">
        <v>63</v>
      </c>
      <c r="T91" s="154">
        <f t="shared" si="3"/>
        <v>0</v>
      </c>
      <c r="U91" s="91"/>
      <c r="V91" s="159"/>
      <c r="W91" s="159"/>
      <c r="X91" s="159"/>
      <c r="Y91" s="403"/>
      <c r="Z91" s="418"/>
      <c r="AA91" s="418"/>
      <c r="AB91" s="421"/>
    </row>
    <row r="92" spans="1:28" s="176" customFormat="1" ht="54.95" customHeight="1" x14ac:dyDescent="0.15">
      <c r="A92" s="163" t="s">
        <v>73</v>
      </c>
      <c r="B92" s="164">
        <f>I11</f>
        <v>552</v>
      </c>
      <c r="C92" s="371" t="s">
        <v>71</v>
      </c>
      <c r="D92" s="372"/>
      <c r="E92" s="373"/>
      <c r="F92" s="371"/>
      <c r="G92" s="372"/>
      <c r="H92" s="373"/>
      <c r="I92" s="165"/>
      <c r="J92" s="166"/>
      <c r="K92" s="167">
        <v>1</v>
      </c>
      <c r="L92" s="168" t="s">
        <v>63</v>
      </c>
      <c r="M92" s="88">
        <f t="shared" si="4"/>
        <v>552</v>
      </c>
      <c r="N92" s="170"/>
      <c r="O92" s="170"/>
      <c r="P92" s="169" t="s">
        <v>63</v>
      </c>
      <c r="Q92" s="363">
        <v>45996</v>
      </c>
      <c r="R92" s="165">
        <v>552</v>
      </c>
      <c r="S92" s="169" t="s">
        <v>63</v>
      </c>
      <c r="T92" s="154">
        <f t="shared" si="3"/>
        <v>0</v>
      </c>
      <c r="U92" s="170"/>
      <c r="V92" s="172"/>
      <c r="W92" s="172"/>
      <c r="X92" s="172"/>
      <c r="Y92" s="374" t="s">
        <v>72</v>
      </c>
      <c r="Z92" s="380"/>
      <c r="AA92" s="383"/>
      <c r="AB92" s="586" t="s">
        <v>210</v>
      </c>
    </row>
    <row r="93" spans="1:28" s="55" customFormat="1" ht="54.95" customHeight="1" x14ac:dyDescent="0.15">
      <c r="A93" s="163" t="s">
        <v>81</v>
      </c>
      <c r="B93" s="87">
        <f>I11</f>
        <v>552</v>
      </c>
      <c r="C93" s="368" t="s">
        <v>71</v>
      </c>
      <c r="D93" s="369"/>
      <c r="E93" s="370"/>
      <c r="F93" s="368"/>
      <c r="G93" s="369"/>
      <c r="H93" s="370"/>
      <c r="I93" s="93"/>
      <c r="J93" s="90"/>
      <c r="K93" s="156">
        <v>1</v>
      </c>
      <c r="L93" s="77" t="s">
        <v>63</v>
      </c>
      <c r="M93" s="88">
        <f>K93*B93</f>
        <v>552</v>
      </c>
      <c r="N93" s="91"/>
      <c r="O93" s="91"/>
      <c r="P93" s="169" t="s">
        <v>63</v>
      </c>
      <c r="Q93" s="364"/>
      <c r="R93" s="93">
        <v>552</v>
      </c>
      <c r="S93" s="169" t="s">
        <v>63</v>
      </c>
      <c r="T93" s="154">
        <f t="shared" si="3"/>
        <v>0</v>
      </c>
      <c r="U93" s="91"/>
      <c r="V93" s="91"/>
      <c r="W93" s="91"/>
      <c r="X93" s="91"/>
      <c r="Y93" s="375"/>
      <c r="Z93" s="381"/>
      <c r="AA93" s="384"/>
      <c r="AB93" s="587"/>
    </row>
    <row r="94" spans="1:28" s="55" customFormat="1" ht="54.95" customHeight="1" x14ac:dyDescent="0.15">
      <c r="A94" s="284" t="s">
        <v>74</v>
      </c>
      <c r="B94" s="87">
        <f>I11</f>
        <v>552</v>
      </c>
      <c r="C94" s="368" t="s">
        <v>71</v>
      </c>
      <c r="D94" s="369"/>
      <c r="E94" s="370"/>
      <c r="F94" s="368"/>
      <c r="G94" s="369"/>
      <c r="H94" s="370"/>
      <c r="I94" s="93" t="s">
        <v>199</v>
      </c>
      <c r="J94" s="93"/>
      <c r="K94" s="156">
        <v>1</v>
      </c>
      <c r="L94" s="77" t="s">
        <v>63</v>
      </c>
      <c r="M94" s="88">
        <f t="shared" si="4"/>
        <v>552</v>
      </c>
      <c r="N94" s="91"/>
      <c r="O94" s="91"/>
      <c r="P94" s="89" t="s">
        <v>63</v>
      </c>
      <c r="Q94" s="365"/>
      <c r="R94" s="93">
        <v>552</v>
      </c>
      <c r="S94" s="89" t="s">
        <v>63</v>
      </c>
      <c r="T94" s="154">
        <f t="shared" si="3"/>
        <v>0</v>
      </c>
      <c r="U94" s="91"/>
      <c r="V94" s="91"/>
      <c r="W94" s="91"/>
      <c r="X94" s="91"/>
      <c r="Y94" s="379"/>
      <c r="Z94" s="382"/>
      <c r="AA94" s="385"/>
      <c r="AB94" s="588"/>
    </row>
    <row r="95" spans="1:28" x14ac:dyDescent="0.15">
      <c r="A95" s="285"/>
      <c r="B95" s="366"/>
      <c r="C95" s="366"/>
      <c r="D95" s="177"/>
      <c r="E95" s="177"/>
      <c r="F95" s="100"/>
      <c r="G95" s="100"/>
      <c r="H95" s="100"/>
      <c r="I95" s="177"/>
      <c r="J95" s="177"/>
      <c r="K95" s="101"/>
      <c r="L95" s="102"/>
      <c r="M95" s="103"/>
      <c r="N95" s="104"/>
      <c r="O95" s="104"/>
      <c r="P95" s="177"/>
      <c r="Q95" s="105"/>
      <c r="R95" s="105"/>
      <c r="S95" s="106"/>
      <c r="T95" s="107"/>
      <c r="U95" s="108"/>
      <c r="V95" s="108"/>
      <c r="W95" s="109"/>
      <c r="X95" s="107"/>
      <c r="Y95" s="110"/>
      <c r="Z95" s="111"/>
      <c r="AA95" s="111"/>
    </row>
    <row r="96" spans="1:28" x14ac:dyDescent="0.15">
      <c r="A96" s="285"/>
      <c r="B96" s="366"/>
      <c r="C96" s="366"/>
      <c r="D96" s="177"/>
      <c r="E96" s="177"/>
      <c r="F96" s="367"/>
      <c r="G96" s="367"/>
      <c r="H96" s="367"/>
      <c r="I96" s="177"/>
      <c r="J96" s="177"/>
      <c r="K96" s="101"/>
      <c r="L96" s="102"/>
      <c r="M96" s="103"/>
      <c r="N96" s="104"/>
      <c r="O96" s="104"/>
      <c r="P96" s="177"/>
      <c r="Q96" s="105"/>
      <c r="R96" s="105"/>
      <c r="S96" s="106"/>
      <c r="T96" s="107"/>
      <c r="U96" s="108"/>
      <c r="V96" s="108"/>
      <c r="W96" s="109"/>
      <c r="X96" s="107"/>
      <c r="Y96" s="112"/>
      <c r="Z96" s="111"/>
      <c r="AA96" s="111"/>
    </row>
    <row r="97" spans="1:29" x14ac:dyDescent="0.15">
      <c r="J97" s="177"/>
    </row>
    <row r="98" spans="1:29" x14ac:dyDescent="0.15">
      <c r="J98" s="177"/>
    </row>
    <row r="105" spans="1:29" s="114" customFormat="1" x14ac:dyDescent="0.15">
      <c r="A105" s="286"/>
      <c r="B105" s="113"/>
      <c r="C105" s="1"/>
      <c r="D105" s="1"/>
      <c r="E105" s="1"/>
      <c r="F105" s="1"/>
      <c r="G105" s="1"/>
      <c r="H105" s="1"/>
      <c r="I105" s="1"/>
      <c r="J105" s="1"/>
      <c r="L105" s="115"/>
      <c r="M105" s="116"/>
      <c r="N105" s="117"/>
      <c r="O105" s="117"/>
      <c r="P105" s="1"/>
      <c r="Q105" s="118"/>
      <c r="R105" s="118"/>
      <c r="S105" s="115"/>
      <c r="T105" s="119"/>
      <c r="U105" s="1"/>
      <c r="V105" s="1"/>
      <c r="W105" s="120"/>
      <c r="X105" s="121"/>
      <c r="Y105" s="1"/>
      <c r="Z105" s="1"/>
      <c r="AA105" s="1"/>
      <c r="AB105" s="1"/>
      <c r="AC105" s="1"/>
    </row>
    <row r="106" spans="1:29" s="114" customFormat="1" x14ac:dyDescent="0.15">
      <c r="A106" s="286"/>
      <c r="B106" s="113"/>
      <c r="C106" s="1"/>
      <c r="D106" s="1"/>
      <c r="E106" s="1"/>
      <c r="F106" s="1"/>
      <c r="G106" s="1"/>
      <c r="H106" s="1"/>
      <c r="I106" s="1"/>
      <c r="J106" s="1"/>
      <c r="L106" s="115"/>
      <c r="M106" s="116"/>
      <c r="N106" s="117"/>
      <c r="O106" s="117"/>
      <c r="P106" s="1"/>
      <c r="Q106" s="118"/>
      <c r="R106" s="118"/>
      <c r="S106" s="115"/>
      <c r="T106" s="119"/>
      <c r="U106" s="1"/>
      <c r="V106" s="1"/>
      <c r="W106" s="120"/>
      <c r="X106" s="121"/>
      <c r="Y106" s="1"/>
      <c r="Z106" s="1"/>
      <c r="AA106" s="1"/>
      <c r="AB106" s="1"/>
      <c r="AC106" s="1"/>
    </row>
  </sheetData>
  <mergeCells count="349">
    <mergeCell ref="AB43:AB44"/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N13:P13"/>
    <mergeCell ref="C20:E20"/>
    <mergeCell ref="F20:H20"/>
    <mergeCell ref="A21:A22"/>
    <mergeCell ref="C21:E21"/>
    <mergeCell ref="F21:H21"/>
    <mergeCell ref="I21:I22"/>
    <mergeCell ref="AB17:AB18"/>
    <mergeCell ref="C18:E18"/>
    <mergeCell ref="F18:H18"/>
    <mergeCell ref="A19:A20"/>
    <mergeCell ref="C19:E19"/>
    <mergeCell ref="F19:H19"/>
    <mergeCell ref="I19:I20"/>
    <mergeCell ref="Q19:Q20"/>
    <mergeCell ref="Y19:Y20"/>
    <mergeCell ref="AB19:AB20"/>
    <mergeCell ref="Q21:Q22"/>
    <mergeCell ref="Y21:Y22"/>
    <mergeCell ref="AB21:AB22"/>
    <mergeCell ref="C22:E22"/>
    <mergeCell ref="F22:H22"/>
    <mergeCell ref="AB15:AB16"/>
    <mergeCell ref="A23:A24"/>
    <mergeCell ref="C23:E23"/>
    <mergeCell ref="F23:H23"/>
    <mergeCell ref="I23:I24"/>
    <mergeCell ref="Q23:Q24"/>
    <mergeCell ref="Y23:Y24"/>
    <mergeCell ref="AB23:AB24"/>
    <mergeCell ref="C24:E24"/>
    <mergeCell ref="F24:H24"/>
    <mergeCell ref="AC26:AF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28:AF28"/>
    <mergeCell ref="A25:A26"/>
    <mergeCell ref="C25:E25"/>
    <mergeCell ref="F25:H25"/>
    <mergeCell ref="I25:I26"/>
    <mergeCell ref="Q25:Q26"/>
    <mergeCell ref="Y25:Y26"/>
    <mergeCell ref="AB25:AB26"/>
    <mergeCell ref="C26:E26"/>
    <mergeCell ref="F26:H26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33:A34"/>
    <mergeCell ref="C33:E33"/>
    <mergeCell ref="F33:H33"/>
    <mergeCell ref="I33:I34"/>
    <mergeCell ref="Y33:Y34"/>
    <mergeCell ref="C34:E34"/>
    <mergeCell ref="F34:H34"/>
    <mergeCell ref="AC34:AF34"/>
    <mergeCell ref="A35:A36"/>
    <mergeCell ref="C35:E35"/>
    <mergeCell ref="F35:H35"/>
    <mergeCell ref="I35:I36"/>
    <mergeCell ref="Y35:Y36"/>
    <mergeCell ref="C36:E36"/>
    <mergeCell ref="F36:H36"/>
    <mergeCell ref="AC36:AF36"/>
    <mergeCell ref="Q33:Q38"/>
    <mergeCell ref="A37:A38"/>
    <mergeCell ref="C37:E37"/>
    <mergeCell ref="F37:H37"/>
    <mergeCell ref="I37:I38"/>
    <mergeCell ref="Y37:Y38"/>
    <mergeCell ref="C38:E38"/>
    <mergeCell ref="F38:H38"/>
    <mergeCell ref="Q41:Q42"/>
    <mergeCell ref="Q43:Q44"/>
    <mergeCell ref="AC38:AF38"/>
    <mergeCell ref="A43:A44"/>
    <mergeCell ref="C43:E43"/>
    <mergeCell ref="F43:H43"/>
    <mergeCell ref="Y43:Y44"/>
    <mergeCell ref="C44:E44"/>
    <mergeCell ref="F44:H44"/>
    <mergeCell ref="AC40:AF40"/>
    <mergeCell ref="A41:A42"/>
    <mergeCell ref="C41:E41"/>
    <mergeCell ref="F41:H41"/>
    <mergeCell ref="Y41:Y42"/>
    <mergeCell ref="C42:E42"/>
    <mergeCell ref="F42:H42"/>
    <mergeCell ref="A39:A40"/>
    <mergeCell ref="C39:E39"/>
    <mergeCell ref="F39:H39"/>
    <mergeCell ref="I39:I40"/>
    <mergeCell ref="Y39:Y40"/>
    <mergeCell ref="C40:E40"/>
    <mergeCell ref="F40:H40"/>
    <mergeCell ref="AB41:AB42"/>
    <mergeCell ref="AB45:AB46"/>
    <mergeCell ref="C46:E46"/>
    <mergeCell ref="F46:H46"/>
    <mergeCell ref="A47:A48"/>
    <mergeCell ref="C47:E47"/>
    <mergeCell ref="F47:H47"/>
    <mergeCell ref="Q47:Q48"/>
    <mergeCell ref="Y47:Y48"/>
    <mergeCell ref="AB47:AB48"/>
    <mergeCell ref="C48:E48"/>
    <mergeCell ref="A45:A46"/>
    <mergeCell ref="C45:E45"/>
    <mergeCell ref="F45:H45"/>
    <mergeCell ref="I45:I46"/>
    <mergeCell ref="Q45:Q46"/>
    <mergeCell ref="Y45:Y46"/>
    <mergeCell ref="F48:H48"/>
    <mergeCell ref="A53:A54"/>
    <mergeCell ref="C53:E53"/>
    <mergeCell ref="F53:H53"/>
    <mergeCell ref="Q53:Q54"/>
    <mergeCell ref="Y53:Y54"/>
    <mergeCell ref="AB53:AB54"/>
    <mergeCell ref="C54:E54"/>
    <mergeCell ref="F54:H54"/>
    <mergeCell ref="Y49:Y50"/>
    <mergeCell ref="AB49:AB52"/>
    <mergeCell ref="C50:E50"/>
    <mergeCell ref="F50:H50"/>
    <mergeCell ref="A51:A52"/>
    <mergeCell ref="C51:E51"/>
    <mergeCell ref="F51:H51"/>
    <mergeCell ref="I51:I52"/>
    <mergeCell ref="Y51:Y52"/>
    <mergeCell ref="C52:E52"/>
    <mergeCell ref="A49:A50"/>
    <mergeCell ref="C49:E49"/>
    <mergeCell ref="F49:H49"/>
    <mergeCell ref="I49:I50"/>
    <mergeCell ref="Q49:Q52"/>
    <mergeCell ref="F52:H52"/>
    <mergeCell ref="A57:A58"/>
    <mergeCell ref="C57:E57"/>
    <mergeCell ref="F57:H57"/>
    <mergeCell ref="Q57:Q58"/>
    <mergeCell ref="Y57:Y58"/>
    <mergeCell ref="AB57:AB58"/>
    <mergeCell ref="C58:E58"/>
    <mergeCell ref="F58:H58"/>
    <mergeCell ref="A55:A56"/>
    <mergeCell ref="C55:E55"/>
    <mergeCell ref="F55:H55"/>
    <mergeCell ref="Q55:Q56"/>
    <mergeCell ref="Y55:Y56"/>
    <mergeCell ref="AB55:AB56"/>
    <mergeCell ref="C56:E56"/>
    <mergeCell ref="F56:H56"/>
    <mergeCell ref="C62:E62"/>
    <mergeCell ref="F62:H62"/>
    <mergeCell ref="A63:A67"/>
    <mergeCell ref="C63:E67"/>
    <mergeCell ref="F63:H63"/>
    <mergeCell ref="Q63:Q67"/>
    <mergeCell ref="AB59:AB60"/>
    <mergeCell ref="C60:E60"/>
    <mergeCell ref="F60:H60"/>
    <mergeCell ref="A61:A62"/>
    <mergeCell ref="C61:E61"/>
    <mergeCell ref="F61:H61"/>
    <mergeCell ref="I61:I62"/>
    <mergeCell ref="Q61:Q62"/>
    <mergeCell ref="Y61:Y62"/>
    <mergeCell ref="AB61:AB62"/>
    <mergeCell ref="A59:A60"/>
    <mergeCell ref="C59:E59"/>
    <mergeCell ref="F59:H59"/>
    <mergeCell ref="I59:I60"/>
    <mergeCell ref="Q59:Q60"/>
    <mergeCell ref="Y59:Y60"/>
    <mergeCell ref="F74:H74"/>
    <mergeCell ref="F75:H75"/>
    <mergeCell ref="F76:H76"/>
    <mergeCell ref="Y63:Y67"/>
    <mergeCell ref="Z63:Z67"/>
    <mergeCell ref="AA63:AA67"/>
    <mergeCell ref="AB63:AB67"/>
    <mergeCell ref="F64:H64"/>
    <mergeCell ref="F65:H65"/>
    <mergeCell ref="F66:H66"/>
    <mergeCell ref="F67:H67"/>
    <mergeCell ref="F77:H77"/>
    <mergeCell ref="A78:A87"/>
    <mergeCell ref="C78:E82"/>
    <mergeCell ref="F78:H78"/>
    <mergeCell ref="Q78:Q87"/>
    <mergeCell ref="Y78:Y82"/>
    <mergeCell ref="C83:E87"/>
    <mergeCell ref="AA68:AA72"/>
    <mergeCell ref="AB68:AB77"/>
    <mergeCell ref="F69:H69"/>
    <mergeCell ref="F70:H70"/>
    <mergeCell ref="F71:H71"/>
    <mergeCell ref="F72:H72"/>
    <mergeCell ref="F73:H73"/>
    <mergeCell ref="Y73:Y77"/>
    <mergeCell ref="Z73:Z77"/>
    <mergeCell ref="AA73:AA77"/>
    <mergeCell ref="A68:A77"/>
    <mergeCell ref="C68:E72"/>
    <mergeCell ref="F68:H68"/>
    <mergeCell ref="Q68:Q77"/>
    <mergeCell ref="Y68:Y72"/>
    <mergeCell ref="Z68:Z72"/>
    <mergeCell ref="C73:E77"/>
    <mergeCell ref="F81:H81"/>
    <mergeCell ref="F82:H82"/>
    <mergeCell ref="F83:H83"/>
    <mergeCell ref="Y83:Y87"/>
    <mergeCell ref="Z83:Z87"/>
    <mergeCell ref="F84:H84"/>
    <mergeCell ref="F85:H85"/>
    <mergeCell ref="F86:H86"/>
    <mergeCell ref="F87:H87"/>
    <mergeCell ref="B96:C96"/>
    <mergeCell ref="F96:H96"/>
    <mergeCell ref="AB39:AB40"/>
    <mergeCell ref="AB33:AB38"/>
    <mergeCell ref="AB92:AB94"/>
    <mergeCell ref="C93:E93"/>
    <mergeCell ref="F93:H93"/>
    <mergeCell ref="C94:E94"/>
    <mergeCell ref="F94:H94"/>
    <mergeCell ref="B95:C95"/>
    <mergeCell ref="C92:E92"/>
    <mergeCell ref="F92:H92"/>
    <mergeCell ref="Q92:Q94"/>
    <mergeCell ref="Y92:Y94"/>
    <mergeCell ref="Z92:Z94"/>
    <mergeCell ref="AA92:AA94"/>
    <mergeCell ref="Z88:Z91"/>
    <mergeCell ref="AA88:AA91"/>
    <mergeCell ref="Z78:Z82"/>
    <mergeCell ref="AA78:AA82"/>
    <mergeCell ref="AB78:AB87"/>
    <mergeCell ref="F79:H79"/>
    <mergeCell ref="F80:H80"/>
    <mergeCell ref="AB88:AB91"/>
    <mergeCell ref="F89:H89"/>
    <mergeCell ref="F90:H90"/>
    <mergeCell ref="F91:H91"/>
    <mergeCell ref="AA83:AA87"/>
    <mergeCell ref="A88:A91"/>
    <mergeCell ref="C88:E91"/>
    <mergeCell ref="F88:H88"/>
    <mergeCell ref="Q88:Q91"/>
    <mergeCell ref="Y88:Y91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3" orientation="portrait" r:id="rId1"/>
  <headerFooter alignWithMargins="0"/>
  <rowBreaks count="1" manualBreakCount="1">
    <brk id="67" max="27" man="1"/>
  </rowBreaks>
  <colBreaks count="1" manualBreakCount="1">
    <brk id="2" max="46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C5B1-3944-4789-9512-9718EFF4E212}">
  <sheetPr>
    <pageSetUpPr fitToPage="1"/>
  </sheetPr>
  <dimension ref="A1:AF108"/>
  <sheetViews>
    <sheetView view="pageBreakPreview" zoomScale="75" zoomScaleNormal="100" zoomScaleSheetLayoutView="75" workbookViewId="0">
      <selection activeCell="O19" sqref="O19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198</v>
      </c>
      <c r="C2" s="548"/>
      <c r="D2" s="548"/>
      <c r="E2" s="548"/>
      <c r="F2" s="548"/>
      <c r="G2" s="549"/>
      <c r="H2" s="180" t="s">
        <v>1</v>
      </c>
      <c r="I2" s="550">
        <f>I11</f>
        <v>928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112</v>
      </c>
      <c r="B5" s="480"/>
      <c r="C5" s="182">
        <v>150</v>
      </c>
      <c r="D5" s="182">
        <v>150</v>
      </c>
      <c r="E5" s="182">
        <v>42</v>
      </c>
      <c r="F5" s="182"/>
      <c r="G5" s="182"/>
      <c r="H5" s="542" t="s">
        <v>24</v>
      </c>
      <c r="I5" s="524">
        <f t="shared" ref="I5:I11" si="0">SUM(C5:G5)</f>
        <v>342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480" t="s">
        <v>98</v>
      </c>
      <c r="B6" s="480"/>
      <c r="C6" s="182">
        <v>240</v>
      </c>
      <c r="D6" s="182">
        <v>260</v>
      </c>
      <c r="E6" s="182">
        <v>86</v>
      </c>
      <c r="F6" s="182"/>
      <c r="G6" s="182"/>
      <c r="H6" s="537"/>
      <c r="I6" s="524">
        <f t="shared" si="0"/>
        <v>586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45980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390</v>
      </c>
      <c r="D11" s="181">
        <f>SUM(D5:D10)</f>
        <v>410</v>
      </c>
      <c r="E11" s="181">
        <f>SUM(E5:E10)</f>
        <v>128</v>
      </c>
      <c r="F11" s="181">
        <f>SUM(F5:F10)</f>
        <v>0</v>
      </c>
      <c r="G11" s="181">
        <f>SUM(G5:G10)</f>
        <v>0</v>
      </c>
      <c r="H11" s="182"/>
      <c r="I11" s="481">
        <f t="shared" si="0"/>
        <v>928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46092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397.8</v>
      </c>
      <c r="D12" s="43">
        <f>D11*1.02</f>
        <v>418.2</v>
      </c>
      <c r="E12" s="43">
        <f>E11*1.02</f>
        <v>130.56</v>
      </c>
      <c r="F12" s="43">
        <f>F11*1.02</f>
        <v>0</v>
      </c>
      <c r="G12" s="43">
        <f>G11*1.02</f>
        <v>0</v>
      </c>
      <c r="H12" s="44"/>
      <c r="I12" s="486">
        <f>I11*1.02</f>
        <v>946.56000000000006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342</v>
      </c>
      <c r="C15" s="474" t="str">
        <f t="shared" ref="C15:C23" si="2">$A$5</f>
        <v>WH</v>
      </c>
      <c r="D15" s="475"/>
      <c r="E15" s="476"/>
      <c r="F15" s="474"/>
      <c r="G15" s="475"/>
      <c r="H15" s="476"/>
      <c r="I15" s="477" t="s">
        <v>92</v>
      </c>
      <c r="J15" s="65" t="s">
        <v>6</v>
      </c>
      <c r="K15" s="66">
        <v>0.92</v>
      </c>
      <c r="L15" s="67" t="s">
        <v>7</v>
      </c>
      <c r="M15" s="68">
        <f>K15*B15</f>
        <v>314.64</v>
      </c>
      <c r="N15" s="69"/>
      <c r="O15" s="70"/>
      <c r="P15" s="67" t="s">
        <v>7</v>
      </c>
      <c r="Q15" s="478">
        <v>45996</v>
      </c>
      <c r="R15" s="122">
        <v>310.5</v>
      </c>
      <c r="S15" s="71" t="s">
        <v>7</v>
      </c>
      <c r="T15" s="123">
        <f t="shared" ref="T15:T96" si="3">R15-M15</f>
        <v>-4.1399999999999864</v>
      </c>
      <c r="U15" s="72"/>
      <c r="V15" s="72"/>
      <c r="W15" s="73"/>
      <c r="X15" s="74"/>
      <c r="Y15" s="479" t="s">
        <v>126</v>
      </c>
      <c r="Z15" s="63"/>
      <c r="AA15" s="64"/>
      <c r="AB15" s="566" t="s">
        <v>211</v>
      </c>
      <c r="AC15" s="471"/>
      <c r="AD15" s="472"/>
      <c r="AE15" s="472"/>
      <c r="AF15" s="472"/>
    </row>
    <row r="16" spans="1:32" s="55" customFormat="1" ht="69.95" customHeight="1" thickBot="1" x14ac:dyDescent="0.2">
      <c r="A16" s="432"/>
      <c r="B16" s="182">
        <f>$I$6</f>
        <v>586</v>
      </c>
      <c r="C16" s="368" t="str">
        <f>$A$6</f>
        <v>BK</v>
      </c>
      <c r="D16" s="369"/>
      <c r="E16" s="370"/>
      <c r="F16" s="368"/>
      <c r="G16" s="369"/>
      <c r="H16" s="370"/>
      <c r="I16" s="442"/>
      <c r="J16" s="76" t="s">
        <v>6</v>
      </c>
      <c r="K16" s="83">
        <v>0.92</v>
      </c>
      <c r="L16" s="77" t="s">
        <v>7</v>
      </c>
      <c r="M16" s="78">
        <f t="shared" ref="M16:M96" si="4">K16*B16</f>
        <v>539.12</v>
      </c>
      <c r="N16" s="79"/>
      <c r="O16" s="128"/>
      <c r="P16" s="77" t="s">
        <v>7</v>
      </c>
      <c r="Q16" s="444"/>
      <c r="R16" s="130">
        <v>538.5</v>
      </c>
      <c r="S16" s="75" t="s">
        <v>7</v>
      </c>
      <c r="T16" s="81">
        <f t="shared" si="3"/>
        <v>-0.62000000000000455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342</v>
      </c>
      <c r="C17" s="461" t="str">
        <f t="shared" si="2"/>
        <v>WH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586</v>
      </c>
      <c r="C18" s="461" t="str">
        <f>$A$6</f>
        <v>BK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55" customFormat="1" ht="69.95" customHeight="1" thickTop="1" x14ac:dyDescent="0.15">
      <c r="A19" s="431" t="s">
        <v>195</v>
      </c>
      <c r="B19" s="182">
        <f t="shared" si="1"/>
        <v>342</v>
      </c>
      <c r="C19" s="461" t="str">
        <f t="shared" si="2"/>
        <v>WH</v>
      </c>
      <c r="D19" s="461"/>
      <c r="E19" s="461"/>
      <c r="F19" s="461"/>
      <c r="G19" s="461"/>
      <c r="H19" s="461"/>
      <c r="I19" s="441" t="s">
        <v>144</v>
      </c>
      <c r="J19" s="76" t="s">
        <v>6</v>
      </c>
      <c r="K19" s="136">
        <v>0.84</v>
      </c>
      <c r="L19" s="77" t="s">
        <v>7</v>
      </c>
      <c r="M19" s="78">
        <f t="shared" si="4"/>
        <v>287.27999999999997</v>
      </c>
      <c r="N19" s="79"/>
      <c r="O19" s="78"/>
      <c r="P19" s="80" t="s">
        <v>7</v>
      </c>
      <c r="Q19" s="443">
        <v>45996</v>
      </c>
      <c r="R19" s="78">
        <v>288</v>
      </c>
      <c r="S19" s="80" t="s">
        <v>7</v>
      </c>
      <c r="T19" s="81">
        <f t="shared" si="3"/>
        <v>0.72000000000002728</v>
      </c>
      <c r="U19" s="82"/>
      <c r="V19" s="137"/>
      <c r="W19" s="78"/>
      <c r="X19" s="78"/>
      <c r="Y19" s="445" t="s">
        <v>93</v>
      </c>
      <c r="Z19" s="138"/>
      <c r="AA19" s="135"/>
      <c r="AB19" s="566" t="s">
        <v>209</v>
      </c>
      <c r="AC19" s="178"/>
      <c r="AD19" s="179"/>
      <c r="AE19" s="179"/>
      <c r="AF19" s="179"/>
    </row>
    <row r="20" spans="1:32" s="55" customFormat="1" ht="69.95" customHeight="1" x14ac:dyDescent="0.15">
      <c r="A20" s="432"/>
      <c r="B20" s="182">
        <f>$I$6</f>
        <v>586</v>
      </c>
      <c r="C20" s="461" t="str">
        <f>$A$6</f>
        <v>BK</v>
      </c>
      <c r="D20" s="461"/>
      <c r="E20" s="461"/>
      <c r="F20" s="461"/>
      <c r="G20" s="461"/>
      <c r="H20" s="461"/>
      <c r="I20" s="442"/>
      <c r="J20" s="76" t="s">
        <v>6</v>
      </c>
      <c r="K20" s="136">
        <v>0.84</v>
      </c>
      <c r="L20" s="77" t="s">
        <v>7</v>
      </c>
      <c r="M20" s="78">
        <f t="shared" si="4"/>
        <v>492.24</v>
      </c>
      <c r="N20" s="79"/>
      <c r="O20" s="128"/>
      <c r="P20" s="77" t="s">
        <v>7</v>
      </c>
      <c r="Q20" s="444"/>
      <c r="R20" s="137">
        <v>493</v>
      </c>
      <c r="S20" s="75" t="s">
        <v>7</v>
      </c>
      <c r="T20" s="81">
        <f t="shared" si="3"/>
        <v>0.75999999999999091</v>
      </c>
      <c r="U20" s="131"/>
      <c r="V20" s="131"/>
      <c r="W20" s="132"/>
      <c r="X20" s="133"/>
      <c r="Y20" s="446"/>
      <c r="Z20" s="228"/>
      <c r="AA20" s="228"/>
      <c r="AB20" s="362"/>
      <c r="AC20" s="178"/>
      <c r="AD20" s="179"/>
      <c r="AE20" s="179"/>
      <c r="AF20" s="179"/>
    </row>
    <row r="21" spans="1:32" s="206" customFormat="1" ht="69.95" customHeight="1" x14ac:dyDescent="0.15">
      <c r="A21" s="431" t="s">
        <v>115</v>
      </c>
      <c r="B21" s="191">
        <f t="shared" si="1"/>
        <v>342</v>
      </c>
      <c r="C21" s="465" t="str">
        <f t="shared" si="2"/>
        <v>WH</v>
      </c>
      <c r="D21" s="465"/>
      <c r="E21" s="465"/>
      <c r="F21" s="465"/>
      <c r="G21" s="465"/>
      <c r="H21" s="465"/>
      <c r="I21" s="433" t="s">
        <v>8</v>
      </c>
      <c r="J21" s="192" t="s">
        <v>6</v>
      </c>
      <c r="K21" s="209">
        <v>0.15</v>
      </c>
      <c r="L21" s="194" t="s">
        <v>7</v>
      </c>
      <c r="M21" s="195">
        <f t="shared" si="4"/>
        <v>51.3</v>
      </c>
      <c r="N21" s="196"/>
      <c r="O21" s="195"/>
      <c r="P21" s="197" t="s">
        <v>7</v>
      </c>
      <c r="Q21" s="435"/>
      <c r="R21" s="195"/>
      <c r="S21" s="197" t="s">
        <v>7</v>
      </c>
      <c r="T21" s="198">
        <f t="shared" si="3"/>
        <v>-51.3</v>
      </c>
      <c r="U21" s="199"/>
      <c r="V21" s="200"/>
      <c r="W21" s="195"/>
      <c r="X21" s="195"/>
      <c r="Y21" s="437" t="s">
        <v>93</v>
      </c>
      <c r="Z21" s="235"/>
      <c r="AA21" s="202"/>
      <c r="AB21" s="439"/>
      <c r="AC21" s="229"/>
      <c r="AD21" s="230"/>
      <c r="AE21" s="230"/>
      <c r="AF21" s="230"/>
    </row>
    <row r="22" spans="1:32" s="206" customFormat="1" ht="69.95" customHeight="1" thickBot="1" x14ac:dyDescent="0.2">
      <c r="A22" s="432"/>
      <c r="B22" s="191">
        <f>$I$6</f>
        <v>586</v>
      </c>
      <c r="C22" s="465" t="str">
        <f>$A$6</f>
        <v>BK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38"/>
      <c r="AA22" s="238"/>
      <c r="AB22" s="440"/>
      <c r="AC22" s="229"/>
      <c r="AD22" s="230"/>
      <c r="AE22" s="230"/>
      <c r="AF22" s="230"/>
    </row>
    <row r="23" spans="1:32" s="176" customFormat="1" ht="69.95" customHeight="1" thickTop="1" x14ac:dyDescent="0.15">
      <c r="A23" s="431" t="s">
        <v>107</v>
      </c>
      <c r="B23" s="239">
        <f t="shared" si="1"/>
        <v>342</v>
      </c>
      <c r="C23" s="456" t="str">
        <f t="shared" si="2"/>
        <v>WH</v>
      </c>
      <c r="D23" s="456"/>
      <c r="E23" s="456"/>
      <c r="F23" s="456"/>
      <c r="G23" s="456"/>
      <c r="H23" s="456"/>
      <c r="I23" s="457" t="s">
        <v>58</v>
      </c>
      <c r="J23" s="240" t="s">
        <v>6</v>
      </c>
      <c r="K23" s="241">
        <v>0.15</v>
      </c>
      <c r="L23" s="168" t="s">
        <v>7</v>
      </c>
      <c r="M23" s="242">
        <f t="shared" si="4"/>
        <v>51.3</v>
      </c>
      <c r="N23" s="243"/>
      <c r="O23" s="242"/>
      <c r="P23" s="244" t="s">
        <v>7</v>
      </c>
      <c r="Q23" s="376">
        <v>45996</v>
      </c>
      <c r="R23" s="245">
        <v>51</v>
      </c>
      <c r="S23" s="244" t="s">
        <v>7</v>
      </c>
      <c r="T23" s="245">
        <f t="shared" si="3"/>
        <v>-0.29999999999999716</v>
      </c>
      <c r="U23" s="246"/>
      <c r="V23" s="247"/>
      <c r="W23" s="242"/>
      <c r="X23" s="242"/>
      <c r="Y23" s="459" t="s">
        <v>59</v>
      </c>
      <c r="Z23" s="248"/>
      <c r="AA23" s="249"/>
      <c r="AB23" s="566" t="s">
        <v>209</v>
      </c>
      <c r="AC23" s="250"/>
      <c r="AD23" s="251"/>
      <c r="AE23" s="251"/>
      <c r="AF23" s="251"/>
    </row>
    <row r="24" spans="1:32" s="176" customFormat="1" ht="69.95" customHeight="1" thickBot="1" x14ac:dyDescent="0.2">
      <c r="A24" s="432"/>
      <c r="B24" s="239">
        <f>$I$6</f>
        <v>586</v>
      </c>
      <c r="C24" s="456" t="str">
        <f>$A$6</f>
        <v>BK</v>
      </c>
      <c r="D24" s="456"/>
      <c r="E24" s="456"/>
      <c r="F24" s="456"/>
      <c r="G24" s="456"/>
      <c r="H24" s="456"/>
      <c r="I24" s="458"/>
      <c r="J24" s="240" t="s">
        <v>6</v>
      </c>
      <c r="K24" s="241">
        <v>0.15</v>
      </c>
      <c r="L24" s="168" t="s">
        <v>7</v>
      </c>
      <c r="M24" s="242">
        <f t="shared" si="4"/>
        <v>87.899999999999991</v>
      </c>
      <c r="N24" s="243"/>
      <c r="O24" s="253"/>
      <c r="P24" s="168" t="s">
        <v>7</v>
      </c>
      <c r="Q24" s="378"/>
      <c r="R24" s="254">
        <v>88</v>
      </c>
      <c r="S24" s="255" t="s">
        <v>7</v>
      </c>
      <c r="T24" s="245">
        <f t="shared" si="3"/>
        <v>0.10000000000000853</v>
      </c>
      <c r="U24" s="256"/>
      <c r="V24" s="256"/>
      <c r="W24" s="257"/>
      <c r="X24" s="258"/>
      <c r="Y24" s="460"/>
      <c r="Z24" s="259"/>
      <c r="AA24" s="249"/>
      <c r="AB24" s="362"/>
      <c r="AC24" s="250"/>
      <c r="AD24" s="251"/>
      <c r="AE24" s="251"/>
      <c r="AF24" s="251"/>
    </row>
    <row r="25" spans="1:32" s="261" customFormat="1" ht="69.95" customHeight="1" thickTop="1" x14ac:dyDescent="0.15">
      <c r="A25" s="431" t="s">
        <v>108</v>
      </c>
      <c r="B25" s="182">
        <f>$I$5</f>
        <v>342</v>
      </c>
      <c r="C25" s="461" t="str">
        <f>$A$5</f>
        <v>WH</v>
      </c>
      <c r="D25" s="461"/>
      <c r="E25" s="461"/>
      <c r="F25" s="461"/>
      <c r="G25" s="461"/>
      <c r="H25" s="461"/>
      <c r="I25" s="441" t="s">
        <v>8</v>
      </c>
      <c r="J25" s="76" t="s">
        <v>6</v>
      </c>
      <c r="K25" s="136">
        <v>0.17</v>
      </c>
      <c r="L25" s="77" t="s">
        <v>7</v>
      </c>
      <c r="M25" s="78">
        <f>K25*B25</f>
        <v>58.140000000000008</v>
      </c>
      <c r="N25" s="79"/>
      <c r="O25" s="78"/>
      <c r="P25" s="80" t="s">
        <v>7</v>
      </c>
      <c r="Q25" s="376">
        <v>45996</v>
      </c>
      <c r="R25" s="78">
        <v>58</v>
      </c>
      <c r="S25" s="80" t="s">
        <v>9</v>
      </c>
      <c r="T25" s="81">
        <f t="shared" si="3"/>
        <v>-0.14000000000000767</v>
      </c>
      <c r="U25" s="82"/>
      <c r="V25" s="137"/>
      <c r="W25" s="78"/>
      <c r="X25" s="78"/>
      <c r="Y25" s="445" t="s">
        <v>59</v>
      </c>
      <c r="Z25" s="141"/>
      <c r="AA25" s="135"/>
      <c r="AB25" s="566" t="s">
        <v>209</v>
      </c>
    </row>
    <row r="26" spans="1:32" s="261" customFormat="1" ht="69.95" customHeight="1" x14ac:dyDescent="0.15">
      <c r="A26" s="432"/>
      <c r="B26" s="182">
        <f>$I$6</f>
        <v>586</v>
      </c>
      <c r="C26" s="461" t="str">
        <f>$A$6</f>
        <v>BK</v>
      </c>
      <c r="D26" s="461"/>
      <c r="E26" s="461"/>
      <c r="F26" s="461"/>
      <c r="G26" s="461"/>
      <c r="H26" s="461"/>
      <c r="I26" s="442"/>
      <c r="J26" s="76" t="s">
        <v>6</v>
      </c>
      <c r="K26" s="83">
        <v>0.17</v>
      </c>
      <c r="L26" s="77" t="s">
        <v>7</v>
      </c>
      <c r="M26" s="78">
        <f>K26*B26</f>
        <v>99.62</v>
      </c>
      <c r="N26" s="79"/>
      <c r="O26" s="128"/>
      <c r="P26" s="77" t="s">
        <v>7</v>
      </c>
      <c r="Q26" s="378"/>
      <c r="R26" s="137">
        <v>100</v>
      </c>
      <c r="S26" s="75" t="s">
        <v>9</v>
      </c>
      <c r="T26" s="81">
        <f t="shared" si="3"/>
        <v>0.37999999999999545</v>
      </c>
      <c r="U26" s="131"/>
      <c r="V26" s="131"/>
      <c r="W26" s="132"/>
      <c r="X26" s="133"/>
      <c r="Y26" s="446"/>
      <c r="Z26" s="134"/>
      <c r="AA26" s="135"/>
      <c r="AB26" s="362"/>
      <c r="AC26" s="462"/>
      <c r="AD26" s="463"/>
      <c r="AE26" s="463"/>
      <c r="AF26" s="463"/>
    </row>
    <row r="27" spans="1:32" s="203" customFormat="1" ht="69.95" customHeight="1" x14ac:dyDescent="0.15">
      <c r="A27" s="464" t="s">
        <v>77</v>
      </c>
      <c r="B27" s="191">
        <f>$I$5</f>
        <v>342</v>
      </c>
      <c r="C27" s="465" t="str">
        <f>$A$5</f>
        <v>WH</v>
      </c>
      <c r="D27" s="465"/>
      <c r="E27" s="465"/>
      <c r="F27" s="465"/>
      <c r="G27" s="465"/>
      <c r="H27" s="465"/>
      <c r="I27" s="433" t="s">
        <v>110</v>
      </c>
      <c r="J27" s="192"/>
      <c r="K27" s="209">
        <v>1.8</v>
      </c>
      <c r="L27" s="194" t="s">
        <v>7</v>
      </c>
      <c r="M27" s="195">
        <f>K27*B27/100</f>
        <v>6.1560000000000006</v>
      </c>
      <c r="N27" s="196"/>
      <c r="O27" s="195"/>
      <c r="P27" s="197" t="s">
        <v>7</v>
      </c>
      <c r="Q27" s="435"/>
      <c r="R27" s="195"/>
      <c r="S27" s="197" t="s">
        <v>9</v>
      </c>
      <c r="T27" s="198">
        <f t="shared" si="3"/>
        <v>-6.1560000000000006</v>
      </c>
      <c r="U27" s="199"/>
      <c r="V27" s="200"/>
      <c r="W27" s="195"/>
      <c r="X27" s="195"/>
      <c r="Y27" s="437" t="s">
        <v>94</v>
      </c>
      <c r="Z27" s="201"/>
      <c r="AA27" s="202"/>
      <c r="AB27" s="439"/>
    </row>
    <row r="28" spans="1:32" s="203" customFormat="1" ht="69.95" customHeight="1" thickBot="1" x14ac:dyDescent="0.2">
      <c r="A28" s="464"/>
      <c r="B28" s="191">
        <f>$I$6</f>
        <v>586</v>
      </c>
      <c r="C28" s="465" t="str">
        <f>$A$6</f>
        <v>BK</v>
      </c>
      <c r="D28" s="465"/>
      <c r="E28" s="465"/>
      <c r="F28" s="465"/>
      <c r="G28" s="465"/>
      <c r="H28" s="465"/>
      <c r="I28" s="434"/>
      <c r="J28" s="192"/>
      <c r="K28" s="208">
        <v>1.8</v>
      </c>
      <c r="L28" s="194" t="s">
        <v>7</v>
      </c>
      <c r="M28" s="195">
        <f>K28*B28/100</f>
        <v>10.548</v>
      </c>
      <c r="N28" s="196"/>
      <c r="O28" s="210"/>
      <c r="P28" s="194" t="s">
        <v>7</v>
      </c>
      <c r="Q28" s="436"/>
      <c r="R28" s="200"/>
      <c r="S28" s="207" t="s">
        <v>9</v>
      </c>
      <c r="T28" s="198">
        <f t="shared" si="3"/>
        <v>-10.548</v>
      </c>
      <c r="U28" s="211"/>
      <c r="V28" s="211"/>
      <c r="W28" s="212"/>
      <c r="X28" s="213"/>
      <c r="Y28" s="438"/>
      <c r="Z28" s="214"/>
      <c r="AA28" s="202"/>
      <c r="AB28" s="440"/>
      <c r="AC28" s="466"/>
      <c r="AD28" s="467"/>
      <c r="AE28" s="467"/>
      <c r="AF28" s="467"/>
    </row>
    <row r="29" spans="1:32" s="261" customFormat="1" ht="69.95" customHeight="1" thickTop="1" x14ac:dyDescent="0.15">
      <c r="A29" s="464" t="s">
        <v>86</v>
      </c>
      <c r="B29" s="182">
        <f>$I$5</f>
        <v>342</v>
      </c>
      <c r="C29" s="461" t="str">
        <f>$A$5</f>
        <v>WH</v>
      </c>
      <c r="D29" s="461"/>
      <c r="E29" s="461"/>
      <c r="F29" s="461"/>
      <c r="G29" s="461"/>
      <c r="H29" s="461"/>
      <c r="I29" s="441" t="s">
        <v>76</v>
      </c>
      <c r="J29" s="76"/>
      <c r="K29" s="136">
        <v>2.7</v>
      </c>
      <c r="L29" s="77" t="s">
        <v>7</v>
      </c>
      <c r="M29" s="78">
        <f>K29*B29/50</f>
        <v>18.468000000000004</v>
      </c>
      <c r="N29" s="79"/>
      <c r="O29" s="78"/>
      <c r="P29" s="80" t="s">
        <v>7</v>
      </c>
      <c r="Q29" s="443">
        <v>45996</v>
      </c>
      <c r="R29" s="78">
        <v>19</v>
      </c>
      <c r="S29" s="80" t="s">
        <v>9</v>
      </c>
      <c r="T29" s="81">
        <f t="shared" si="3"/>
        <v>0.53199999999999648</v>
      </c>
      <c r="U29" s="82"/>
      <c r="V29" s="137"/>
      <c r="W29" s="78"/>
      <c r="X29" s="78"/>
      <c r="Y29" s="445" t="s">
        <v>94</v>
      </c>
      <c r="Z29" s="141"/>
      <c r="AA29" s="135"/>
      <c r="AB29" s="566" t="s">
        <v>209</v>
      </c>
    </row>
    <row r="30" spans="1:32" s="261" customFormat="1" ht="69.95" customHeight="1" x14ac:dyDescent="0.15">
      <c r="A30" s="464"/>
      <c r="B30" s="182">
        <f>$I$6</f>
        <v>586</v>
      </c>
      <c r="C30" s="461" t="str">
        <f>$A$6</f>
        <v>BK</v>
      </c>
      <c r="D30" s="461"/>
      <c r="E30" s="461"/>
      <c r="F30" s="461"/>
      <c r="G30" s="461"/>
      <c r="H30" s="461"/>
      <c r="I30" s="442"/>
      <c r="J30" s="76"/>
      <c r="K30" s="83">
        <v>2.7</v>
      </c>
      <c r="L30" s="77" t="s">
        <v>7</v>
      </c>
      <c r="M30" s="78">
        <f>K30*B30/50</f>
        <v>31.644000000000002</v>
      </c>
      <c r="N30" s="79"/>
      <c r="O30" s="128"/>
      <c r="P30" s="77" t="s">
        <v>7</v>
      </c>
      <c r="Q30" s="444"/>
      <c r="R30" s="137">
        <v>32</v>
      </c>
      <c r="S30" s="75" t="s">
        <v>9</v>
      </c>
      <c r="T30" s="81">
        <f t="shared" si="3"/>
        <v>0.3559999999999981</v>
      </c>
      <c r="U30" s="131"/>
      <c r="V30" s="131"/>
      <c r="W30" s="132"/>
      <c r="X30" s="133"/>
      <c r="Y30" s="446"/>
      <c r="Z30" s="134"/>
      <c r="AA30" s="135"/>
      <c r="AB30" s="362"/>
      <c r="AC30" s="462"/>
      <c r="AD30" s="463"/>
      <c r="AE30" s="463"/>
      <c r="AF30" s="463"/>
    </row>
    <row r="31" spans="1:32" s="203" customFormat="1" ht="69.95" customHeight="1" x14ac:dyDescent="0.15">
      <c r="A31" s="464" t="s">
        <v>116</v>
      </c>
      <c r="B31" s="191">
        <f>$I$5</f>
        <v>342</v>
      </c>
      <c r="C31" s="465" t="str">
        <f>$A$5</f>
        <v>WH</v>
      </c>
      <c r="D31" s="465"/>
      <c r="E31" s="465"/>
      <c r="F31" s="465"/>
      <c r="G31" s="465"/>
      <c r="H31" s="465"/>
      <c r="I31" s="433" t="s">
        <v>76</v>
      </c>
      <c r="J31" s="192"/>
      <c r="K31" s="209">
        <v>2.4</v>
      </c>
      <c r="L31" s="194" t="s">
        <v>7</v>
      </c>
      <c r="M31" s="195">
        <f>K31*B31/50</f>
        <v>16.416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-16.416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x14ac:dyDescent="0.15">
      <c r="A32" s="464"/>
      <c r="B32" s="191">
        <f>$I$6</f>
        <v>586</v>
      </c>
      <c r="C32" s="465" t="str">
        <f>$A$6</f>
        <v>BK</v>
      </c>
      <c r="D32" s="465"/>
      <c r="E32" s="465"/>
      <c r="F32" s="465"/>
      <c r="G32" s="465"/>
      <c r="H32" s="465"/>
      <c r="I32" s="434"/>
      <c r="J32" s="192"/>
      <c r="K32" s="208">
        <v>2.4</v>
      </c>
      <c r="L32" s="194" t="s">
        <v>7</v>
      </c>
      <c r="M32" s="195">
        <f>K32*B32/50</f>
        <v>28.127999999999997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-28.127999999999997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x14ac:dyDescent="0.15">
      <c r="A33" s="431" t="s">
        <v>88</v>
      </c>
      <c r="B33" s="239">
        <f>$I$5</f>
        <v>342</v>
      </c>
      <c r="C33" s="371" t="str">
        <f>$A$5</f>
        <v>WH</v>
      </c>
      <c r="D33" s="372"/>
      <c r="E33" s="373"/>
      <c r="F33" s="371" t="str">
        <f>$A$5</f>
        <v>WH</v>
      </c>
      <c r="G33" s="372"/>
      <c r="H33" s="373"/>
      <c r="I33" s="457" t="s">
        <v>62</v>
      </c>
      <c r="J33" s="240"/>
      <c r="K33" s="263">
        <v>130</v>
      </c>
      <c r="L33" s="168" t="s">
        <v>61</v>
      </c>
      <c r="M33" s="242">
        <f t="shared" ref="M33:M34" si="5">K33*B33/2500</f>
        <v>17.783999999999999</v>
      </c>
      <c r="N33" s="243"/>
      <c r="O33" s="242"/>
      <c r="P33" s="244" t="s">
        <v>10</v>
      </c>
      <c r="Q33" s="376">
        <v>45996</v>
      </c>
      <c r="R33" s="242">
        <v>18</v>
      </c>
      <c r="S33" s="244" t="s">
        <v>10</v>
      </c>
      <c r="T33" s="245">
        <f>R33-M33</f>
        <v>0.21600000000000108</v>
      </c>
      <c r="U33" s="246"/>
      <c r="V33" s="247"/>
      <c r="W33" s="242"/>
      <c r="X33" s="242"/>
      <c r="Y33" s="459" t="s">
        <v>94</v>
      </c>
      <c r="Z33" s="260"/>
      <c r="AA33" s="249"/>
      <c r="AB33" s="448" t="s">
        <v>210</v>
      </c>
    </row>
    <row r="34" spans="1:32" s="176" customFormat="1" ht="69.95" customHeight="1" x14ac:dyDescent="0.15">
      <c r="A34" s="432"/>
      <c r="B34" s="264">
        <f>$I$6</f>
        <v>586</v>
      </c>
      <c r="C34" s="371" t="str">
        <f>$A$6</f>
        <v>BK</v>
      </c>
      <c r="D34" s="372"/>
      <c r="E34" s="373"/>
      <c r="F34" s="371" t="str">
        <f>$A$6</f>
        <v>BK</v>
      </c>
      <c r="G34" s="372"/>
      <c r="H34" s="373"/>
      <c r="I34" s="458"/>
      <c r="J34" s="265"/>
      <c r="K34" s="263">
        <v>130</v>
      </c>
      <c r="L34" s="266" t="s">
        <v>61</v>
      </c>
      <c r="M34" s="242">
        <f t="shared" si="5"/>
        <v>30.472000000000001</v>
      </c>
      <c r="N34" s="267"/>
      <c r="O34" s="268"/>
      <c r="P34" s="266" t="s">
        <v>10</v>
      </c>
      <c r="Q34" s="377"/>
      <c r="R34" s="269">
        <v>31</v>
      </c>
      <c r="S34" s="252" t="s">
        <v>10</v>
      </c>
      <c r="T34" s="270">
        <f>R34-M34</f>
        <v>0.52799999999999869</v>
      </c>
      <c r="U34" s="271"/>
      <c r="V34" s="271"/>
      <c r="W34" s="272"/>
      <c r="X34" s="273"/>
      <c r="Y34" s="460"/>
      <c r="Z34" s="274"/>
      <c r="AA34" s="275"/>
      <c r="AB34" s="449"/>
      <c r="AC34" s="590"/>
      <c r="AD34" s="591"/>
      <c r="AE34" s="591"/>
      <c r="AF34" s="591"/>
    </row>
    <row r="35" spans="1:32" s="261" customFormat="1" ht="69.95" customHeight="1" x14ac:dyDescent="0.15">
      <c r="A35" s="431" t="s">
        <v>147</v>
      </c>
      <c r="B35" s="239">
        <f>$I$5</f>
        <v>342</v>
      </c>
      <c r="C35" s="371" t="str">
        <f>$A$5</f>
        <v>WH</v>
      </c>
      <c r="D35" s="372"/>
      <c r="E35" s="373"/>
      <c r="F35" s="371" t="str">
        <f>$A$5</f>
        <v>WH</v>
      </c>
      <c r="G35" s="372"/>
      <c r="H35" s="373"/>
      <c r="I35" s="457" t="s">
        <v>60</v>
      </c>
      <c r="J35" s="240"/>
      <c r="K35" s="263">
        <v>220</v>
      </c>
      <c r="L35" s="168" t="s">
        <v>61</v>
      </c>
      <c r="M35" s="242">
        <f t="shared" ref="M35:M38" si="6">K35*B35/4000</f>
        <v>18.809999999999999</v>
      </c>
      <c r="N35" s="243"/>
      <c r="O35" s="242"/>
      <c r="P35" s="244" t="s">
        <v>10</v>
      </c>
      <c r="Q35" s="377"/>
      <c r="R35" s="242">
        <v>19</v>
      </c>
      <c r="S35" s="244" t="s">
        <v>10</v>
      </c>
      <c r="T35" s="245">
        <f t="shared" si="3"/>
        <v>0.19000000000000128</v>
      </c>
      <c r="U35" s="246"/>
      <c r="V35" s="247"/>
      <c r="W35" s="242"/>
      <c r="X35" s="242"/>
      <c r="Y35" s="459" t="s">
        <v>94</v>
      </c>
      <c r="Z35" s="260"/>
      <c r="AA35" s="249"/>
      <c r="AB35" s="449"/>
    </row>
    <row r="36" spans="1:32" s="176" customFormat="1" ht="69.95" customHeight="1" x14ac:dyDescent="0.15">
      <c r="A36" s="432"/>
      <c r="B36" s="264">
        <f>$I$6</f>
        <v>586</v>
      </c>
      <c r="C36" s="371" t="str">
        <f>$A$6</f>
        <v>BK</v>
      </c>
      <c r="D36" s="372"/>
      <c r="E36" s="373"/>
      <c r="F36" s="371" t="str">
        <f>$A$6</f>
        <v>BK</v>
      </c>
      <c r="G36" s="372"/>
      <c r="H36" s="373"/>
      <c r="I36" s="458"/>
      <c r="J36" s="265"/>
      <c r="K36" s="263">
        <v>220</v>
      </c>
      <c r="L36" s="266" t="s">
        <v>61</v>
      </c>
      <c r="M36" s="242">
        <f t="shared" si="6"/>
        <v>32.229999999999997</v>
      </c>
      <c r="N36" s="267"/>
      <c r="O36" s="268"/>
      <c r="P36" s="266" t="s">
        <v>10</v>
      </c>
      <c r="Q36" s="377"/>
      <c r="R36" s="269">
        <v>33</v>
      </c>
      <c r="S36" s="252" t="s">
        <v>10</v>
      </c>
      <c r="T36" s="270">
        <f t="shared" si="3"/>
        <v>0.77000000000000313</v>
      </c>
      <c r="U36" s="271"/>
      <c r="V36" s="271"/>
      <c r="W36" s="272"/>
      <c r="X36" s="273"/>
      <c r="Y36" s="460"/>
      <c r="Z36" s="274"/>
      <c r="AA36" s="275"/>
      <c r="AB36" s="449"/>
      <c r="AC36" s="592"/>
      <c r="AD36" s="593"/>
      <c r="AE36" s="593"/>
      <c r="AF36" s="593"/>
    </row>
    <row r="37" spans="1:32" s="261" customFormat="1" ht="69.95" customHeight="1" x14ac:dyDescent="0.15">
      <c r="A37" s="431" t="s">
        <v>215</v>
      </c>
      <c r="B37" s="182">
        <f>$I$5</f>
        <v>342</v>
      </c>
      <c r="C37" s="461" t="str">
        <f>$A$5</f>
        <v>WH</v>
      </c>
      <c r="D37" s="461"/>
      <c r="E37" s="461"/>
      <c r="F37" s="461" t="str">
        <f>$A$5</f>
        <v>WH</v>
      </c>
      <c r="G37" s="461"/>
      <c r="H37" s="461"/>
      <c r="I37" s="441" t="s">
        <v>60</v>
      </c>
      <c r="J37" s="76"/>
      <c r="K37" s="139">
        <v>10</v>
      </c>
      <c r="L37" s="77" t="s">
        <v>61</v>
      </c>
      <c r="M37" s="78">
        <f t="shared" si="6"/>
        <v>0.85499999999999998</v>
      </c>
      <c r="N37" s="79"/>
      <c r="O37" s="78"/>
      <c r="P37" s="80" t="s">
        <v>10</v>
      </c>
      <c r="Q37" s="377"/>
      <c r="R37" s="78">
        <v>1</v>
      </c>
      <c r="S37" s="80" t="s">
        <v>10</v>
      </c>
      <c r="T37" s="81">
        <f t="shared" si="3"/>
        <v>0.14500000000000002</v>
      </c>
      <c r="U37" s="82"/>
      <c r="V37" s="137"/>
      <c r="W37" s="78"/>
      <c r="X37" s="78"/>
      <c r="Y37" s="445" t="s">
        <v>94</v>
      </c>
      <c r="Z37" s="141"/>
      <c r="AA37" s="135"/>
      <c r="AB37" s="449"/>
    </row>
    <row r="38" spans="1:32" s="176" customFormat="1" ht="69.95" customHeight="1" x14ac:dyDescent="0.15">
      <c r="A38" s="432"/>
      <c r="B38" s="186">
        <f>$I$6</f>
        <v>586</v>
      </c>
      <c r="C38" s="395" t="str">
        <f>$A$6</f>
        <v>BK</v>
      </c>
      <c r="D38" s="396"/>
      <c r="E38" s="397"/>
      <c r="F38" s="395" t="str">
        <f>$A$6</f>
        <v>BK</v>
      </c>
      <c r="G38" s="396"/>
      <c r="H38" s="397"/>
      <c r="I38" s="442"/>
      <c r="J38" s="144"/>
      <c r="K38" s="139">
        <v>10</v>
      </c>
      <c r="L38" s="145" t="s">
        <v>61</v>
      </c>
      <c r="M38" s="78">
        <f t="shared" si="6"/>
        <v>1.4650000000000001</v>
      </c>
      <c r="N38" s="146"/>
      <c r="O38" s="147"/>
      <c r="P38" s="145" t="s">
        <v>10</v>
      </c>
      <c r="Q38" s="377"/>
      <c r="R38" s="161">
        <v>2</v>
      </c>
      <c r="S38" s="80" t="s">
        <v>10</v>
      </c>
      <c r="T38" s="84">
        <f t="shared" si="3"/>
        <v>0.53499999999999992</v>
      </c>
      <c r="U38" s="149"/>
      <c r="V38" s="149"/>
      <c r="W38" s="150"/>
      <c r="X38" s="151"/>
      <c r="Y38" s="446"/>
      <c r="Z38" s="216"/>
      <c r="AA38" s="217"/>
      <c r="AB38" s="449"/>
      <c r="AC38" s="451"/>
      <c r="AD38" s="452"/>
      <c r="AE38" s="452"/>
      <c r="AF38" s="452"/>
    </row>
    <row r="39" spans="1:32" s="261" customFormat="1" ht="69.95" customHeight="1" x14ac:dyDescent="0.15">
      <c r="A39" s="431" t="s">
        <v>207</v>
      </c>
      <c r="B39" s="191">
        <f>$I$5</f>
        <v>342</v>
      </c>
      <c r="C39" s="465" t="str">
        <f>$A$5</f>
        <v>WH</v>
      </c>
      <c r="D39" s="465"/>
      <c r="E39" s="465"/>
      <c r="F39" s="465" t="str">
        <f>$A$5</f>
        <v>WH</v>
      </c>
      <c r="G39" s="465"/>
      <c r="H39" s="465"/>
      <c r="I39" s="433" t="s">
        <v>60</v>
      </c>
      <c r="J39" s="192"/>
      <c r="K39" s="193">
        <v>40</v>
      </c>
      <c r="L39" s="194" t="s">
        <v>61</v>
      </c>
      <c r="M39" s="195">
        <f>K39*B39/500</f>
        <v>27.36</v>
      </c>
      <c r="N39" s="196"/>
      <c r="O39" s="195"/>
      <c r="P39" s="197" t="s">
        <v>10</v>
      </c>
      <c r="Q39" s="307"/>
      <c r="R39" s="195"/>
      <c r="S39" s="197" t="s">
        <v>10</v>
      </c>
      <c r="T39" s="198">
        <f t="shared" si="3"/>
        <v>-27.36</v>
      </c>
      <c r="U39" s="199"/>
      <c r="V39" s="200"/>
      <c r="W39" s="195"/>
      <c r="X39" s="195"/>
      <c r="Y39" s="437" t="s">
        <v>94</v>
      </c>
      <c r="Z39" s="201"/>
      <c r="AA39" s="202"/>
      <c r="AB39" s="558"/>
    </row>
    <row r="40" spans="1:32" s="176" customFormat="1" ht="69.95" customHeight="1" x14ac:dyDescent="0.15">
      <c r="A40" s="432"/>
      <c r="B40" s="204">
        <f>$I$6</f>
        <v>586</v>
      </c>
      <c r="C40" s="453" t="str">
        <f>$A$6</f>
        <v>BK</v>
      </c>
      <c r="D40" s="454"/>
      <c r="E40" s="455"/>
      <c r="F40" s="453" t="str">
        <f>$A$6</f>
        <v>BK</v>
      </c>
      <c r="G40" s="454"/>
      <c r="H40" s="455"/>
      <c r="I40" s="434"/>
      <c r="J40" s="218"/>
      <c r="K40" s="193">
        <v>40</v>
      </c>
      <c r="L40" s="219" t="s">
        <v>61</v>
      </c>
      <c r="M40" s="195">
        <f>K40*B40/500</f>
        <v>46.88</v>
      </c>
      <c r="N40" s="220"/>
      <c r="O40" s="221"/>
      <c r="P40" s="219" t="s">
        <v>10</v>
      </c>
      <c r="Q40" s="307"/>
      <c r="R40" s="222"/>
      <c r="S40" s="215" t="s">
        <v>10</v>
      </c>
      <c r="T40" s="205">
        <f t="shared" si="3"/>
        <v>-46.88</v>
      </c>
      <c r="U40" s="223"/>
      <c r="V40" s="223"/>
      <c r="W40" s="224"/>
      <c r="X40" s="225"/>
      <c r="Y40" s="438"/>
      <c r="Z40" s="226"/>
      <c r="AA40" s="227"/>
      <c r="AB40" s="558"/>
      <c r="AC40" s="451"/>
      <c r="AD40" s="452"/>
      <c r="AE40" s="452"/>
      <c r="AF40" s="452"/>
    </row>
    <row r="41" spans="1:32" s="55" customFormat="1" ht="69.95" customHeight="1" x14ac:dyDescent="0.15">
      <c r="A41" s="431" t="s">
        <v>213</v>
      </c>
      <c r="B41" s="182">
        <f t="shared" ref="B41:B59" si="7">$I$5</f>
        <v>342</v>
      </c>
      <c r="C41" s="368" t="str">
        <f t="shared" ref="C41:C59" si="8">$A$5</f>
        <v>WH</v>
      </c>
      <c r="D41" s="369"/>
      <c r="E41" s="370"/>
      <c r="F41" s="428"/>
      <c r="G41" s="429"/>
      <c r="H41" s="430"/>
      <c r="I41" s="75" t="s">
        <v>101</v>
      </c>
      <c r="J41" s="76"/>
      <c r="K41" s="139">
        <v>1</v>
      </c>
      <c r="L41" s="77" t="s">
        <v>63</v>
      </c>
      <c r="M41" s="78">
        <f>K41*B41</f>
        <v>342</v>
      </c>
      <c r="N41" s="79"/>
      <c r="O41" s="78"/>
      <c r="P41" s="80" t="s">
        <v>63</v>
      </c>
      <c r="Q41" s="377">
        <v>45996</v>
      </c>
      <c r="R41" s="78">
        <v>342</v>
      </c>
      <c r="S41" s="80" t="s">
        <v>63</v>
      </c>
      <c r="T41" s="84">
        <f t="shared" si="3"/>
        <v>0</v>
      </c>
      <c r="U41" s="82"/>
      <c r="V41" s="82"/>
      <c r="W41" s="83"/>
      <c r="X41" s="81"/>
      <c r="Y41" s="445" t="s">
        <v>94</v>
      </c>
      <c r="Z41" s="86"/>
      <c r="AA41" s="85"/>
      <c r="AB41" s="449" t="s">
        <v>210</v>
      </c>
    </row>
    <row r="42" spans="1:32" s="55" customFormat="1" ht="69.95" customHeight="1" x14ac:dyDescent="0.15">
      <c r="A42" s="432"/>
      <c r="B42" s="186">
        <f>$I$6</f>
        <v>586</v>
      </c>
      <c r="C42" s="368" t="str">
        <f>$A$6</f>
        <v>BK</v>
      </c>
      <c r="D42" s="369"/>
      <c r="E42" s="370"/>
      <c r="F42" s="428"/>
      <c r="G42" s="429"/>
      <c r="H42" s="430"/>
      <c r="I42" s="75" t="s">
        <v>101</v>
      </c>
      <c r="J42" s="76"/>
      <c r="K42" s="139">
        <v>1</v>
      </c>
      <c r="L42" s="77" t="s">
        <v>63</v>
      </c>
      <c r="M42" s="78">
        <f>K42*B42</f>
        <v>586</v>
      </c>
      <c r="N42" s="140"/>
      <c r="O42" s="78"/>
      <c r="P42" s="80" t="s">
        <v>63</v>
      </c>
      <c r="Q42" s="377"/>
      <c r="R42" s="78">
        <v>586</v>
      </c>
      <c r="S42" s="80" t="s">
        <v>63</v>
      </c>
      <c r="T42" s="81">
        <f t="shared" si="3"/>
        <v>0</v>
      </c>
      <c r="U42" s="82"/>
      <c r="V42" s="137"/>
      <c r="W42" s="78"/>
      <c r="X42" s="78"/>
      <c r="Y42" s="446"/>
      <c r="Z42" s="141"/>
      <c r="AA42" s="135"/>
      <c r="AB42" s="449"/>
      <c r="AC42" s="142"/>
      <c r="AD42" s="179"/>
      <c r="AE42" s="179"/>
      <c r="AF42" s="179"/>
    </row>
    <row r="43" spans="1:32" s="55" customFormat="1" ht="69.95" customHeight="1" x14ac:dyDescent="0.15">
      <c r="A43" s="431" t="s">
        <v>136</v>
      </c>
      <c r="B43" s="182">
        <f t="shared" ref="B43" si="9">$I$5</f>
        <v>342</v>
      </c>
      <c r="C43" s="368" t="str">
        <f t="shared" ref="C43" si="10">$A$5</f>
        <v>WH</v>
      </c>
      <c r="D43" s="369"/>
      <c r="E43" s="370"/>
      <c r="F43" s="428"/>
      <c r="G43" s="429"/>
      <c r="H43" s="430"/>
      <c r="I43" s="75"/>
      <c r="J43" s="76"/>
      <c r="K43" s="139">
        <v>1</v>
      </c>
      <c r="L43" s="77" t="s">
        <v>65</v>
      </c>
      <c r="M43" s="78">
        <f>K43*B43</f>
        <v>342</v>
      </c>
      <c r="N43" s="79"/>
      <c r="O43" s="78"/>
      <c r="P43" s="80" t="s">
        <v>65</v>
      </c>
      <c r="Q43" s="377"/>
      <c r="R43" s="78">
        <v>342</v>
      </c>
      <c r="S43" s="80" t="s">
        <v>65</v>
      </c>
      <c r="T43" s="84">
        <f t="shared" si="3"/>
        <v>0</v>
      </c>
      <c r="U43" s="82"/>
      <c r="V43" s="82"/>
      <c r="W43" s="83"/>
      <c r="X43" s="81"/>
      <c r="Y43" s="445" t="s">
        <v>94</v>
      </c>
      <c r="Z43" s="86"/>
      <c r="AA43" s="85"/>
      <c r="AB43" s="449"/>
    </row>
    <row r="44" spans="1:32" s="55" customFormat="1" ht="69.95" customHeight="1" x14ac:dyDescent="0.15">
      <c r="A44" s="432"/>
      <c r="B44" s="186">
        <f>$I$6</f>
        <v>586</v>
      </c>
      <c r="C44" s="368" t="str">
        <f>$A$6</f>
        <v>BK</v>
      </c>
      <c r="D44" s="369"/>
      <c r="E44" s="370"/>
      <c r="F44" s="428"/>
      <c r="G44" s="429"/>
      <c r="H44" s="430"/>
      <c r="I44" s="75"/>
      <c r="J44" s="76"/>
      <c r="K44" s="139">
        <v>1</v>
      </c>
      <c r="L44" s="77" t="s">
        <v>65</v>
      </c>
      <c r="M44" s="78">
        <f>K44*B44</f>
        <v>586</v>
      </c>
      <c r="N44" s="140"/>
      <c r="O44" s="78"/>
      <c r="P44" s="80" t="s">
        <v>65</v>
      </c>
      <c r="Q44" s="378"/>
      <c r="R44" s="78">
        <v>586</v>
      </c>
      <c r="S44" s="80" t="s">
        <v>65</v>
      </c>
      <c r="T44" s="81">
        <f t="shared" si="3"/>
        <v>0</v>
      </c>
      <c r="U44" s="82"/>
      <c r="V44" s="137"/>
      <c r="W44" s="78"/>
      <c r="X44" s="78"/>
      <c r="Y44" s="446"/>
      <c r="Z44" s="141"/>
      <c r="AA44" s="135"/>
      <c r="AB44" s="450"/>
      <c r="AC44" s="142"/>
      <c r="AD44" s="179"/>
      <c r="AE44" s="179"/>
      <c r="AF44" s="179"/>
    </row>
    <row r="45" spans="1:32" s="206" customFormat="1" ht="69.95" customHeight="1" x14ac:dyDescent="0.15">
      <c r="A45" s="431" t="s">
        <v>117</v>
      </c>
      <c r="B45" s="191">
        <f t="shared" ref="B45:B47" si="11">$I$5</f>
        <v>342</v>
      </c>
      <c r="C45" s="422" t="str">
        <f t="shared" ref="C45:C47" si="12">$A$5</f>
        <v>WH</v>
      </c>
      <c r="D45" s="423"/>
      <c r="E45" s="424"/>
      <c r="F45" s="425"/>
      <c r="G45" s="423"/>
      <c r="H45" s="424"/>
      <c r="I45" s="433" t="s">
        <v>80</v>
      </c>
      <c r="J45" s="192"/>
      <c r="K45" s="193">
        <v>1</v>
      </c>
      <c r="L45" s="194" t="s">
        <v>65</v>
      </c>
      <c r="M45" s="195">
        <f t="shared" ref="M45:M60" si="13">K45*B45</f>
        <v>342</v>
      </c>
      <c r="N45" s="196"/>
      <c r="O45" s="195"/>
      <c r="P45" s="194" t="s">
        <v>65</v>
      </c>
      <c r="Q45" s="435"/>
      <c r="R45" s="195"/>
      <c r="S45" s="194" t="s">
        <v>65</v>
      </c>
      <c r="T45" s="205">
        <f t="shared" si="3"/>
        <v>-342</v>
      </c>
      <c r="U45" s="199"/>
      <c r="V45" s="199"/>
      <c r="W45" s="208"/>
      <c r="X45" s="198"/>
      <c r="Y45" s="437" t="s">
        <v>57</v>
      </c>
      <c r="Z45" s="231"/>
      <c r="AA45" s="232"/>
      <c r="AB45" s="439"/>
    </row>
    <row r="46" spans="1:32" s="206" customFormat="1" ht="69.95" customHeight="1" x14ac:dyDescent="0.15">
      <c r="A46" s="432"/>
      <c r="B46" s="204">
        <f>$I$6</f>
        <v>586</v>
      </c>
      <c r="C46" s="453" t="str">
        <f>$A$6</f>
        <v>BK</v>
      </c>
      <c r="D46" s="454"/>
      <c r="E46" s="455"/>
      <c r="F46" s="425"/>
      <c r="G46" s="423"/>
      <c r="H46" s="424"/>
      <c r="I46" s="434"/>
      <c r="J46" s="192"/>
      <c r="K46" s="193">
        <v>1</v>
      </c>
      <c r="L46" s="194" t="s">
        <v>65</v>
      </c>
      <c r="M46" s="195">
        <f t="shared" si="13"/>
        <v>586</v>
      </c>
      <c r="N46" s="233"/>
      <c r="O46" s="195"/>
      <c r="P46" s="194" t="s">
        <v>65</v>
      </c>
      <c r="Q46" s="436"/>
      <c r="R46" s="195"/>
      <c r="S46" s="194" t="s">
        <v>65</v>
      </c>
      <c r="T46" s="198">
        <f t="shared" si="3"/>
        <v>-586</v>
      </c>
      <c r="U46" s="199"/>
      <c r="V46" s="200"/>
      <c r="W46" s="195"/>
      <c r="X46" s="195"/>
      <c r="Y46" s="438"/>
      <c r="Z46" s="201"/>
      <c r="AA46" s="202"/>
      <c r="AB46" s="440"/>
      <c r="AC46" s="234"/>
      <c r="AD46" s="230"/>
      <c r="AE46" s="230"/>
      <c r="AF46" s="230"/>
    </row>
    <row r="47" spans="1:32" s="206" customFormat="1" ht="69.95" customHeight="1" x14ac:dyDescent="0.15">
      <c r="A47" s="431" t="s">
        <v>78</v>
      </c>
      <c r="B47" s="191">
        <f t="shared" si="11"/>
        <v>342</v>
      </c>
      <c r="C47" s="422" t="str">
        <f t="shared" si="12"/>
        <v>WH</v>
      </c>
      <c r="D47" s="423"/>
      <c r="E47" s="424"/>
      <c r="F47" s="425"/>
      <c r="G47" s="423"/>
      <c r="H47" s="424"/>
      <c r="I47" s="207"/>
      <c r="J47" s="192"/>
      <c r="K47" s="193">
        <v>1</v>
      </c>
      <c r="L47" s="194" t="s">
        <v>65</v>
      </c>
      <c r="M47" s="195">
        <f t="shared" si="13"/>
        <v>342</v>
      </c>
      <c r="N47" s="196"/>
      <c r="O47" s="195"/>
      <c r="P47" s="194" t="s">
        <v>65</v>
      </c>
      <c r="Q47" s="435"/>
      <c r="R47" s="195"/>
      <c r="S47" s="194" t="s">
        <v>65</v>
      </c>
      <c r="T47" s="205">
        <f t="shared" si="3"/>
        <v>-342</v>
      </c>
      <c r="U47" s="199"/>
      <c r="V47" s="199"/>
      <c r="W47" s="208"/>
      <c r="X47" s="198"/>
      <c r="Y47" s="437" t="s">
        <v>57</v>
      </c>
      <c r="Z47" s="231"/>
      <c r="AA47" s="232"/>
      <c r="AB47" s="439"/>
    </row>
    <row r="48" spans="1:32" s="206" customFormat="1" ht="69.95" customHeight="1" x14ac:dyDescent="0.15">
      <c r="A48" s="432"/>
      <c r="B48" s="204">
        <f>$I$6</f>
        <v>586</v>
      </c>
      <c r="C48" s="453" t="str">
        <f>$A$6</f>
        <v>BK</v>
      </c>
      <c r="D48" s="454"/>
      <c r="E48" s="455"/>
      <c r="F48" s="425"/>
      <c r="G48" s="423"/>
      <c r="H48" s="424"/>
      <c r="I48" s="207"/>
      <c r="J48" s="192"/>
      <c r="K48" s="193">
        <v>1</v>
      </c>
      <c r="L48" s="194" t="s">
        <v>65</v>
      </c>
      <c r="M48" s="195">
        <f t="shared" si="13"/>
        <v>586</v>
      </c>
      <c r="N48" s="233"/>
      <c r="O48" s="195"/>
      <c r="P48" s="194" t="s">
        <v>65</v>
      </c>
      <c r="Q48" s="436"/>
      <c r="R48" s="195"/>
      <c r="S48" s="194" t="s">
        <v>65</v>
      </c>
      <c r="T48" s="198">
        <f t="shared" si="3"/>
        <v>-586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55" customFormat="1" ht="69.95" customHeight="1" x14ac:dyDescent="0.15">
      <c r="A49" s="431" t="s">
        <v>146</v>
      </c>
      <c r="B49" s="191">
        <f t="shared" ref="B49:B51" si="14">$I$5</f>
        <v>342</v>
      </c>
      <c r="C49" s="422" t="str">
        <f t="shared" ref="C49:C51" si="15">$A$5</f>
        <v>WH</v>
      </c>
      <c r="D49" s="423"/>
      <c r="E49" s="424"/>
      <c r="F49" s="425"/>
      <c r="G49" s="426"/>
      <c r="H49" s="427"/>
      <c r="I49" s="433" t="s">
        <v>102</v>
      </c>
      <c r="J49" s="192"/>
      <c r="K49" s="209">
        <v>0.95</v>
      </c>
      <c r="L49" s="194" t="s">
        <v>129</v>
      </c>
      <c r="M49" s="195">
        <f t="shared" si="13"/>
        <v>324.89999999999998</v>
      </c>
      <c r="N49" s="196"/>
      <c r="O49" s="195"/>
      <c r="P49" s="197" t="s">
        <v>63</v>
      </c>
      <c r="Q49" s="435"/>
      <c r="R49" s="195"/>
      <c r="S49" s="197" t="s">
        <v>63</v>
      </c>
      <c r="T49" s="205">
        <f t="shared" si="3"/>
        <v>-324.89999999999998</v>
      </c>
      <c r="U49" s="199"/>
      <c r="V49" s="199"/>
      <c r="W49" s="208"/>
      <c r="X49" s="198"/>
      <c r="Y49" s="437" t="s">
        <v>130</v>
      </c>
      <c r="Z49" s="231"/>
      <c r="AA49" s="232"/>
      <c r="AB49" s="439"/>
    </row>
    <row r="50" spans="1:32" s="55" customFormat="1" ht="69.95" customHeight="1" x14ac:dyDescent="0.15">
      <c r="A50" s="432"/>
      <c r="B50" s="204">
        <f>$I$6</f>
        <v>586</v>
      </c>
      <c r="C50" s="422" t="str">
        <f>$A$6</f>
        <v>BK</v>
      </c>
      <c r="D50" s="423"/>
      <c r="E50" s="424"/>
      <c r="F50" s="425"/>
      <c r="G50" s="426"/>
      <c r="H50" s="427"/>
      <c r="I50" s="434"/>
      <c r="J50" s="192"/>
      <c r="K50" s="193"/>
      <c r="L50" s="194" t="s">
        <v>129</v>
      </c>
      <c r="M50" s="195">
        <f t="shared" si="13"/>
        <v>0</v>
      </c>
      <c r="N50" s="233"/>
      <c r="O50" s="195"/>
      <c r="P50" s="197" t="s">
        <v>63</v>
      </c>
      <c r="Q50" s="561"/>
      <c r="R50" s="195"/>
      <c r="S50" s="197" t="s">
        <v>63</v>
      </c>
      <c r="T50" s="198">
        <f t="shared" si="3"/>
        <v>0</v>
      </c>
      <c r="U50" s="199"/>
      <c r="V50" s="200"/>
      <c r="W50" s="195"/>
      <c r="X50" s="195"/>
      <c r="Y50" s="438"/>
      <c r="Z50" s="201"/>
      <c r="AA50" s="202"/>
      <c r="AB50" s="558"/>
      <c r="AC50" s="142"/>
      <c r="AD50" s="179"/>
      <c r="AE50" s="179"/>
      <c r="AF50" s="179"/>
    </row>
    <row r="51" spans="1:32" s="55" customFormat="1" ht="69.95" customHeight="1" x14ac:dyDescent="0.15">
      <c r="A51" s="431" t="s">
        <v>141</v>
      </c>
      <c r="B51" s="191">
        <f t="shared" si="14"/>
        <v>342</v>
      </c>
      <c r="C51" s="422" t="str">
        <f t="shared" si="15"/>
        <v>WH</v>
      </c>
      <c r="D51" s="423"/>
      <c r="E51" s="424"/>
      <c r="F51" s="425"/>
      <c r="G51" s="426"/>
      <c r="H51" s="427"/>
      <c r="I51" s="433" t="s">
        <v>124</v>
      </c>
      <c r="J51" s="192"/>
      <c r="K51" s="209">
        <v>0.95</v>
      </c>
      <c r="L51" s="194" t="s">
        <v>129</v>
      </c>
      <c r="M51" s="195">
        <f t="shared" si="13"/>
        <v>324.89999999999998</v>
      </c>
      <c r="N51" s="196"/>
      <c r="O51" s="195"/>
      <c r="P51" s="197" t="s">
        <v>63</v>
      </c>
      <c r="Q51" s="561"/>
      <c r="R51" s="195"/>
      <c r="S51" s="197" t="s">
        <v>63</v>
      </c>
      <c r="T51" s="205">
        <f t="shared" si="3"/>
        <v>-324.89999999999998</v>
      </c>
      <c r="U51" s="199"/>
      <c r="V51" s="199"/>
      <c r="W51" s="208"/>
      <c r="X51" s="198"/>
      <c r="Y51" s="437" t="s">
        <v>130</v>
      </c>
      <c r="Z51" s="231"/>
      <c r="AA51" s="232"/>
      <c r="AB51" s="558"/>
    </row>
    <row r="52" spans="1:32" s="55" customFormat="1" ht="69.95" customHeight="1" x14ac:dyDescent="0.15">
      <c r="A52" s="432"/>
      <c r="B52" s="204">
        <f>$I$6</f>
        <v>586</v>
      </c>
      <c r="C52" s="422" t="str">
        <f>$A$6</f>
        <v>BK</v>
      </c>
      <c r="D52" s="423"/>
      <c r="E52" s="424"/>
      <c r="F52" s="425"/>
      <c r="G52" s="426"/>
      <c r="H52" s="427"/>
      <c r="I52" s="434"/>
      <c r="J52" s="192"/>
      <c r="K52" s="193"/>
      <c r="L52" s="194" t="s">
        <v>129</v>
      </c>
      <c r="M52" s="195">
        <f t="shared" si="13"/>
        <v>0</v>
      </c>
      <c r="N52" s="233"/>
      <c r="O52" s="195"/>
      <c r="P52" s="197" t="s">
        <v>63</v>
      </c>
      <c r="Q52" s="436"/>
      <c r="R52" s="195"/>
      <c r="S52" s="197" t="s">
        <v>63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  <c r="AC52" s="142"/>
      <c r="AD52" s="179"/>
      <c r="AE52" s="179"/>
      <c r="AF52" s="179"/>
    </row>
    <row r="53" spans="1:32" s="55" customFormat="1" ht="69.95" customHeight="1" x14ac:dyDescent="0.15">
      <c r="A53" s="431" t="s">
        <v>134</v>
      </c>
      <c r="B53" s="191">
        <f t="shared" ref="B53" si="16">$I$5</f>
        <v>342</v>
      </c>
      <c r="C53" s="422" t="str">
        <f t="shared" ref="C53" si="17">$A$5</f>
        <v>WH</v>
      </c>
      <c r="D53" s="423"/>
      <c r="E53" s="424"/>
      <c r="F53" s="425"/>
      <c r="G53" s="426"/>
      <c r="H53" s="427"/>
      <c r="I53" s="207"/>
      <c r="J53" s="192"/>
      <c r="K53" s="193">
        <v>1</v>
      </c>
      <c r="L53" s="194" t="s">
        <v>65</v>
      </c>
      <c r="M53" s="195">
        <f t="shared" si="13"/>
        <v>342</v>
      </c>
      <c r="N53" s="196"/>
      <c r="O53" s="195"/>
      <c r="P53" s="197" t="s">
        <v>65</v>
      </c>
      <c r="Q53" s="435"/>
      <c r="R53" s="195"/>
      <c r="S53" s="197" t="s">
        <v>65</v>
      </c>
      <c r="T53" s="205">
        <f t="shared" si="3"/>
        <v>-342</v>
      </c>
      <c r="U53" s="199"/>
      <c r="V53" s="199"/>
      <c r="W53" s="208"/>
      <c r="X53" s="198"/>
      <c r="Y53" s="437" t="s">
        <v>135</v>
      </c>
      <c r="Z53" s="231"/>
      <c r="AA53" s="232"/>
      <c r="AB53" s="439"/>
    </row>
    <row r="54" spans="1:32" s="55" customFormat="1" ht="69.95" customHeight="1" x14ac:dyDescent="0.15">
      <c r="A54" s="432"/>
      <c r="B54" s="204">
        <f>$I$6</f>
        <v>586</v>
      </c>
      <c r="C54" s="422" t="str">
        <f>$A$6</f>
        <v>BK</v>
      </c>
      <c r="D54" s="423"/>
      <c r="E54" s="424"/>
      <c r="F54" s="425"/>
      <c r="G54" s="426"/>
      <c r="H54" s="427"/>
      <c r="I54" s="207"/>
      <c r="J54" s="192"/>
      <c r="K54" s="193">
        <v>1</v>
      </c>
      <c r="L54" s="194" t="s">
        <v>65</v>
      </c>
      <c r="M54" s="195">
        <f t="shared" si="13"/>
        <v>586</v>
      </c>
      <c r="N54" s="233"/>
      <c r="O54" s="195"/>
      <c r="P54" s="197" t="s">
        <v>65</v>
      </c>
      <c r="Q54" s="436"/>
      <c r="R54" s="195"/>
      <c r="S54" s="197" t="s">
        <v>65</v>
      </c>
      <c r="T54" s="198">
        <f t="shared" si="3"/>
        <v>-586</v>
      </c>
      <c r="U54" s="199"/>
      <c r="V54" s="200"/>
      <c r="W54" s="195"/>
      <c r="X54" s="195"/>
      <c r="Y54" s="438"/>
      <c r="Z54" s="201"/>
      <c r="AA54" s="202"/>
      <c r="AB54" s="440"/>
      <c r="AC54" s="142"/>
      <c r="AD54" s="179"/>
      <c r="AE54" s="179"/>
      <c r="AF54" s="179"/>
    </row>
    <row r="55" spans="1:32" s="206" customFormat="1" ht="69.95" customHeight="1" x14ac:dyDescent="0.15">
      <c r="A55" s="431" t="s">
        <v>197</v>
      </c>
      <c r="B55" s="182">
        <f t="shared" si="7"/>
        <v>342</v>
      </c>
      <c r="C55" s="368" t="str">
        <f t="shared" si="8"/>
        <v>WH</v>
      </c>
      <c r="D55" s="369"/>
      <c r="E55" s="370"/>
      <c r="F55" s="428"/>
      <c r="G55" s="429"/>
      <c r="H55" s="430"/>
      <c r="I55" s="75" t="s">
        <v>113</v>
      </c>
      <c r="J55" s="76"/>
      <c r="K55" s="139">
        <v>1</v>
      </c>
      <c r="L55" s="77" t="s">
        <v>63</v>
      </c>
      <c r="M55" s="78">
        <f t="shared" si="13"/>
        <v>342</v>
      </c>
      <c r="N55" s="79"/>
      <c r="O55" s="78"/>
      <c r="P55" s="80" t="s">
        <v>63</v>
      </c>
      <c r="Q55" s="443">
        <v>45996</v>
      </c>
      <c r="R55" s="78">
        <v>342</v>
      </c>
      <c r="S55" s="80" t="s">
        <v>63</v>
      </c>
      <c r="T55" s="84">
        <f t="shared" si="3"/>
        <v>0</v>
      </c>
      <c r="U55" s="82"/>
      <c r="V55" s="82"/>
      <c r="W55" s="83"/>
      <c r="X55" s="81"/>
      <c r="Y55" s="445" t="s">
        <v>64</v>
      </c>
      <c r="Z55" s="86"/>
      <c r="AA55" s="85"/>
      <c r="AB55" s="360" t="s">
        <v>210</v>
      </c>
    </row>
    <row r="56" spans="1:32" s="206" customFormat="1" ht="69.95" customHeight="1" x14ac:dyDescent="0.15">
      <c r="A56" s="432"/>
      <c r="B56" s="186">
        <f>$I$6</f>
        <v>586</v>
      </c>
      <c r="C56" s="368" t="str">
        <f>$A$6</f>
        <v>BK</v>
      </c>
      <c r="D56" s="369"/>
      <c r="E56" s="370"/>
      <c r="F56" s="428"/>
      <c r="G56" s="429"/>
      <c r="H56" s="430"/>
      <c r="I56" s="75" t="s">
        <v>113</v>
      </c>
      <c r="J56" s="76"/>
      <c r="K56" s="139">
        <v>1</v>
      </c>
      <c r="L56" s="77" t="s">
        <v>63</v>
      </c>
      <c r="M56" s="78">
        <f t="shared" si="13"/>
        <v>586</v>
      </c>
      <c r="N56" s="140"/>
      <c r="O56" s="78"/>
      <c r="P56" s="80" t="s">
        <v>63</v>
      </c>
      <c r="Q56" s="444"/>
      <c r="R56" s="78">
        <v>586</v>
      </c>
      <c r="S56" s="80" t="s">
        <v>63</v>
      </c>
      <c r="T56" s="81">
        <f t="shared" si="3"/>
        <v>0</v>
      </c>
      <c r="U56" s="82"/>
      <c r="V56" s="137"/>
      <c r="W56" s="78"/>
      <c r="X56" s="78"/>
      <c r="Y56" s="446"/>
      <c r="Z56" s="141"/>
      <c r="AA56" s="135"/>
      <c r="AB56" s="362"/>
      <c r="AC56" s="234"/>
      <c r="AD56" s="230"/>
      <c r="AE56" s="230"/>
      <c r="AF56" s="230"/>
    </row>
    <row r="57" spans="1:32" s="206" customFormat="1" ht="69.95" customHeight="1" x14ac:dyDescent="0.15">
      <c r="A57" s="431" t="s">
        <v>90</v>
      </c>
      <c r="B57" s="191">
        <f t="shared" si="7"/>
        <v>342</v>
      </c>
      <c r="C57" s="422" t="str">
        <f t="shared" si="8"/>
        <v>WH</v>
      </c>
      <c r="D57" s="423"/>
      <c r="E57" s="424"/>
      <c r="F57" s="425"/>
      <c r="G57" s="426"/>
      <c r="H57" s="427"/>
      <c r="I57" s="207" t="s">
        <v>79</v>
      </c>
      <c r="J57" s="192"/>
      <c r="K57" s="193">
        <v>1</v>
      </c>
      <c r="L57" s="194" t="s">
        <v>63</v>
      </c>
      <c r="M57" s="195">
        <f t="shared" si="13"/>
        <v>342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si="3"/>
        <v>-342</v>
      </c>
      <c r="U57" s="199"/>
      <c r="V57" s="199"/>
      <c r="W57" s="208"/>
      <c r="X57" s="198"/>
      <c r="Y57" s="437" t="s">
        <v>64</v>
      </c>
      <c r="Z57" s="231"/>
      <c r="AA57" s="232"/>
      <c r="AB57" s="439"/>
    </row>
    <row r="58" spans="1:32" s="206" customFormat="1" ht="69.95" customHeight="1" x14ac:dyDescent="0.15">
      <c r="A58" s="432"/>
      <c r="B58" s="204">
        <f>$I$6</f>
        <v>586</v>
      </c>
      <c r="C58" s="422" t="str">
        <f>$A$6</f>
        <v>BK</v>
      </c>
      <c r="D58" s="423"/>
      <c r="E58" s="424"/>
      <c r="F58" s="425"/>
      <c r="G58" s="426"/>
      <c r="H58" s="427"/>
      <c r="I58" s="207" t="s">
        <v>79</v>
      </c>
      <c r="J58" s="192"/>
      <c r="K58" s="193">
        <v>1</v>
      </c>
      <c r="L58" s="194" t="s">
        <v>63</v>
      </c>
      <c r="M58" s="195">
        <f t="shared" si="13"/>
        <v>586</v>
      </c>
      <c r="N58" s="233"/>
      <c r="O58" s="195"/>
      <c r="P58" s="197" t="s">
        <v>63</v>
      </c>
      <c r="Q58" s="436"/>
      <c r="R58" s="195"/>
      <c r="S58" s="197" t="s">
        <v>63</v>
      </c>
      <c r="T58" s="198">
        <f t="shared" si="3"/>
        <v>-586</v>
      </c>
      <c r="U58" s="199"/>
      <c r="V58" s="200"/>
      <c r="W58" s="195"/>
      <c r="X58" s="195"/>
      <c r="Y58" s="438"/>
      <c r="Z58" s="201"/>
      <c r="AA58" s="202"/>
      <c r="AB58" s="440"/>
      <c r="AC58" s="234"/>
      <c r="AD58" s="230"/>
      <c r="AE58" s="230"/>
      <c r="AF58" s="230"/>
    </row>
    <row r="59" spans="1:32" s="55" customFormat="1" ht="69.95" customHeight="1" x14ac:dyDescent="0.15">
      <c r="A59" s="431" t="s">
        <v>91</v>
      </c>
      <c r="B59" s="191">
        <f t="shared" si="7"/>
        <v>342</v>
      </c>
      <c r="C59" s="422" t="str">
        <f t="shared" si="8"/>
        <v>WH</v>
      </c>
      <c r="D59" s="423"/>
      <c r="E59" s="424"/>
      <c r="F59" s="425"/>
      <c r="G59" s="426"/>
      <c r="H59" s="427"/>
      <c r="I59" s="207" t="s">
        <v>75</v>
      </c>
      <c r="J59" s="192"/>
      <c r="K59" s="193">
        <v>1</v>
      </c>
      <c r="L59" s="194" t="s">
        <v>63</v>
      </c>
      <c r="M59" s="195">
        <f t="shared" si="13"/>
        <v>342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-342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55" customFormat="1" ht="69.95" customHeight="1" x14ac:dyDescent="0.15">
      <c r="A60" s="432"/>
      <c r="B60" s="204">
        <f>$I$6</f>
        <v>586</v>
      </c>
      <c r="C60" s="422" t="str">
        <f>$A$6</f>
        <v>BK</v>
      </c>
      <c r="D60" s="423"/>
      <c r="E60" s="424"/>
      <c r="F60" s="425"/>
      <c r="G60" s="426"/>
      <c r="H60" s="427"/>
      <c r="I60" s="207" t="s">
        <v>75</v>
      </c>
      <c r="J60" s="192"/>
      <c r="K60" s="193">
        <v>1</v>
      </c>
      <c r="L60" s="194" t="s">
        <v>63</v>
      </c>
      <c r="M60" s="195">
        <f t="shared" si="13"/>
        <v>586</v>
      </c>
      <c r="N60" s="233"/>
      <c r="O60" s="195"/>
      <c r="P60" s="197" t="s">
        <v>63</v>
      </c>
      <c r="Q60" s="436"/>
      <c r="R60" s="195"/>
      <c r="S60" s="197" t="s">
        <v>63</v>
      </c>
      <c r="T60" s="198">
        <f t="shared" si="3"/>
        <v>-586</v>
      </c>
      <c r="U60" s="199"/>
      <c r="V60" s="200"/>
      <c r="W60" s="195"/>
      <c r="X60" s="195"/>
      <c r="Y60" s="438"/>
      <c r="Z60" s="201"/>
      <c r="AA60" s="202"/>
      <c r="AB60" s="440"/>
      <c r="AC60" s="142"/>
      <c r="AD60" s="179"/>
      <c r="AE60" s="179"/>
      <c r="AF60" s="179"/>
    </row>
    <row r="61" spans="1:32" s="206" customFormat="1" ht="69.95" customHeight="1" x14ac:dyDescent="0.15">
      <c r="A61" s="431" t="s">
        <v>119</v>
      </c>
      <c r="B61" s="191">
        <f t="shared" ref="B61:B63" si="18">$I$5</f>
        <v>342</v>
      </c>
      <c r="C61" s="422" t="str">
        <f t="shared" ref="C61:C63" si="19">$A$5</f>
        <v>WH</v>
      </c>
      <c r="D61" s="423"/>
      <c r="E61" s="424"/>
      <c r="F61" s="425"/>
      <c r="G61" s="426"/>
      <c r="H61" s="427"/>
      <c r="I61" s="433" t="s">
        <v>121</v>
      </c>
      <c r="J61" s="192"/>
      <c r="K61" s="193">
        <v>2</v>
      </c>
      <c r="L61" s="194" t="s">
        <v>63</v>
      </c>
      <c r="M61" s="195">
        <f t="shared" si="4"/>
        <v>684</v>
      </c>
      <c r="N61" s="196"/>
      <c r="O61" s="195"/>
      <c r="P61" s="197" t="s">
        <v>63</v>
      </c>
      <c r="Q61" s="435"/>
      <c r="R61" s="195"/>
      <c r="S61" s="197" t="s">
        <v>63</v>
      </c>
      <c r="T61" s="205">
        <f t="shared" si="3"/>
        <v>-684</v>
      </c>
      <c r="U61" s="199"/>
      <c r="V61" s="199"/>
      <c r="W61" s="208"/>
      <c r="X61" s="198"/>
      <c r="Y61" s="437" t="s">
        <v>64</v>
      </c>
      <c r="Z61" s="231"/>
      <c r="AA61" s="232"/>
      <c r="AB61" s="439"/>
    </row>
    <row r="62" spans="1:32" s="206" customFormat="1" ht="69.95" customHeight="1" x14ac:dyDescent="0.15">
      <c r="A62" s="432"/>
      <c r="B62" s="204">
        <f>$I$6</f>
        <v>586</v>
      </c>
      <c r="C62" s="422" t="str">
        <f>$A$6</f>
        <v>BK</v>
      </c>
      <c r="D62" s="423"/>
      <c r="E62" s="424"/>
      <c r="F62" s="425"/>
      <c r="G62" s="426"/>
      <c r="H62" s="427"/>
      <c r="I62" s="434"/>
      <c r="J62" s="192"/>
      <c r="K62" s="193">
        <v>2</v>
      </c>
      <c r="L62" s="194" t="s">
        <v>63</v>
      </c>
      <c r="M62" s="195">
        <f t="shared" si="4"/>
        <v>1172</v>
      </c>
      <c r="N62" s="233"/>
      <c r="O62" s="195"/>
      <c r="P62" s="197" t="s">
        <v>63</v>
      </c>
      <c r="Q62" s="436"/>
      <c r="R62" s="195"/>
      <c r="S62" s="197" t="s">
        <v>63</v>
      </c>
      <c r="T62" s="198">
        <f t="shared" si="3"/>
        <v>-1172</v>
      </c>
      <c r="U62" s="199"/>
      <c r="V62" s="200"/>
      <c r="W62" s="195"/>
      <c r="X62" s="195"/>
      <c r="Y62" s="438"/>
      <c r="Z62" s="201"/>
      <c r="AA62" s="202"/>
      <c r="AB62" s="440"/>
      <c r="AC62" s="234"/>
      <c r="AD62" s="230"/>
      <c r="AE62" s="230"/>
      <c r="AF62" s="230"/>
    </row>
    <row r="63" spans="1:32" s="206" customFormat="1" ht="69.95" customHeight="1" x14ac:dyDescent="0.15">
      <c r="A63" s="431" t="s">
        <v>120</v>
      </c>
      <c r="B63" s="191">
        <f t="shared" si="18"/>
        <v>342</v>
      </c>
      <c r="C63" s="422" t="str">
        <f t="shared" si="19"/>
        <v>WH</v>
      </c>
      <c r="D63" s="423"/>
      <c r="E63" s="424"/>
      <c r="F63" s="425"/>
      <c r="G63" s="426"/>
      <c r="H63" s="427"/>
      <c r="I63" s="433" t="s">
        <v>75</v>
      </c>
      <c r="J63" s="192"/>
      <c r="K63" s="193">
        <v>2</v>
      </c>
      <c r="L63" s="194" t="s">
        <v>63</v>
      </c>
      <c r="M63" s="195">
        <f t="shared" si="4"/>
        <v>684</v>
      </c>
      <c r="N63" s="196"/>
      <c r="O63" s="195"/>
      <c r="P63" s="197" t="s">
        <v>63</v>
      </c>
      <c r="Q63" s="435"/>
      <c r="R63" s="195"/>
      <c r="S63" s="197" t="s">
        <v>63</v>
      </c>
      <c r="T63" s="205">
        <f t="shared" si="3"/>
        <v>-684</v>
      </c>
      <c r="U63" s="199"/>
      <c r="V63" s="199"/>
      <c r="W63" s="208"/>
      <c r="X63" s="198"/>
      <c r="Y63" s="437" t="s">
        <v>64</v>
      </c>
      <c r="Z63" s="231"/>
      <c r="AA63" s="232"/>
      <c r="AB63" s="439"/>
    </row>
    <row r="64" spans="1:32" s="206" customFormat="1" ht="69.95" customHeight="1" x14ac:dyDescent="0.15">
      <c r="A64" s="432"/>
      <c r="B64" s="204">
        <f>$I$6</f>
        <v>586</v>
      </c>
      <c r="C64" s="422" t="str">
        <f>$A$6</f>
        <v>BK</v>
      </c>
      <c r="D64" s="423"/>
      <c r="E64" s="424"/>
      <c r="F64" s="425"/>
      <c r="G64" s="426"/>
      <c r="H64" s="427"/>
      <c r="I64" s="434"/>
      <c r="J64" s="192"/>
      <c r="K64" s="193">
        <v>2</v>
      </c>
      <c r="L64" s="194" t="s">
        <v>63</v>
      </c>
      <c r="M64" s="195">
        <f t="shared" si="4"/>
        <v>1172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-1172</v>
      </c>
      <c r="U64" s="199"/>
      <c r="V64" s="200"/>
      <c r="W64" s="195"/>
      <c r="X64" s="195"/>
      <c r="Y64" s="438"/>
      <c r="Z64" s="201"/>
      <c r="AA64" s="202"/>
      <c r="AB64" s="440"/>
      <c r="AC64" s="234"/>
      <c r="AD64" s="230"/>
      <c r="AE64" s="230"/>
      <c r="AF64" s="230"/>
    </row>
    <row r="65" spans="1:28" s="176" customFormat="1" ht="54.95" customHeight="1" x14ac:dyDescent="0.15">
      <c r="A65" s="386" t="s">
        <v>66</v>
      </c>
      <c r="B65" s="164">
        <f>C11</f>
        <v>390</v>
      </c>
      <c r="C65" s="407" t="e">
        <f>#REF!</f>
        <v>#REF!</v>
      </c>
      <c r="D65" s="408"/>
      <c r="E65" s="409"/>
      <c r="F65" s="371"/>
      <c r="G65" s="372"/>
      <c r="H65" s="373"/>
      <c r="I65" s="276"/>
      <c r="J65" s="255"/>
      <c r="K65" s="263">
        <v>1</v>
      </c>
      <c r="L65" s="168" t="s">
        <v>63</v>
      </c>
      <c r="M65" s="169">
        <f t="shared" si="4"/>
        <v>390</v>
      </c>
      <c r="N65" s="171"/>
      <c r="O65" s="277"/>
      <c r="P65" s="169" t="s">
        <v>63</v>
      </c>
      <c r="Q65" s="376">
        <v>45996</v>
      </c>
      <c r="R65" s="277">
        <v>390</v>
      </c>
      <c r="S65" s="169" t="s">
        <v>63</v>
      </c>
      <c r="T65" s="278">
        <f t="shared" si="3"/>
        <v>0</v>
      </c>
      <c r="U65" s="279"/>
      <c r="V65" s="280"/>
      <c r="W65" s="278"/>
      <c r="X65" s="278"/>
      <c r="Y65" s="374" t="s">
        <v>72</v>
      </c>
      <c r="Z65" s="374"/>
      <c r="AA65" s="374"/>
      <c r="AB65" s="404" t="s">
        <v>209</v>
      </c>
    </row>
    <row r="66" spans="1:28" s="176" customFormat="1" ht="54.95" customHeight="1" x14ac:dyDescent="0.15">
      <c r="A66" s="387"/>
      <c r="B66" s="164">
        <f>D11</f>
        <v>410</v>
      </c>
      <c r="C66" s="410"/>
      <c r="D66" s="411"/>
      <c r="E66" s="412"/>
      <c r="F66" s="371"/>
      <c r="G66" s="372"/>
      <c r="H66" s="373"/>
      <c r="I66" s="276"/>
      <c r="J66" s="255"/>
      <c r="K66" s="167">
        <v>1</v>
      </c>
      <c r="L66" s="168" t="s">
        <v>63</v>
      </c>
      <c r="M66" s="169">
        <f t="shared" si="4"/>
        <v>410</v>
      </c>
      <c r="N66" s="171"/>
      <c r="O66" s="277"/>
      <c r="P66" s="169" t="s">
        <v>63</v>
      </c>
      <c r="Q66" s="377"/>
      <c r="R66" s="277">
        <v>410</v>
      </c>
      <c r="S66" s="169" t="s">
        <v>63</v>
      </c>
      <c r="T66" s="278">
        <f t="shared" si="3"/>
        <v>0</v>
      </c>
      <c r="U66" s="279"/>
      <c r="V66" s="280"/>
      <c r="W66" s="278"/>
      <c r="X66" s="278"/>
      <c r="Y66" s="375"/>
      <c r="Z66" s="375"/>
      <c r="AA66" s="375"/>
      <c r="AB66" s="405"/>
    </row>
    <row r="67" spans="1:28" s="176" customFormat="1" ht="54.95" customHeight="1" x14ac:dyDescent="0.15">
      <c r="A67" s="387"/>
      <c r="B67" s="164">
        <f>E11</f>
        <v>128</v>
      </c>
      <c r="C67" s="410"/>
      <c r="D67" s="411"/>
      <c r="E67" s="412"/>
      <c r="F67" s="371"/>
      <c r="G67" s="372"/>
      <c r="H67" s="373"/>
      <c r="I67" s="276"/>
      <c r="J67" s="255"/>
      <c r="K67" s="167">
        <v>1</v>
      </c>
      <c r="L67" s="168" t="s">
        <v>63</v>
      </c>
      <c r="M67" s="169">
        <f t="shared" si="4"/>
        <v>128</v>
      </c>
      <c r="N67" s="171"/>
      <c r="O67" s="277"/>
      <c r="P67" s="169" t="s">
        <v>63</v>
      </c>
      <c r="Q67" s="377"/>
      <c r="R67" s="277">
        <v>128</v>
      </c>
      <c r="S67" s="169" t="s">
        <v>63</v>
      </c>
      <c r="T67" s="278">
        <f t="shared" si="3"/>
        <v>0</v>
      </c>
      <c r="U67" s="279"/>
      <c r="V67" s="280"/>
      <c r="W67" s="278"/>
      <c r="X67" s="278"/>
      <c r="Y67" s="375"/>
      <c r="Z67" s="375"/>
      <c r="AA67" s="375"/>
      <c r="AB67" s="405"/>
    </row>
    <row r="68" spans="1:28" s="176" customFormat="1" ht="54.95" customHeight="1" x14ac:dyDescent="0.15">
      <c r="A68" s="387"/>
      <c r="B68" s="164">
        <f>F11</f>
        <v>0</v>
      </c>
      <c r="C68" s="410"/>
      <c r="D68" s="411"/>
      <c r="E68" s="412"/>
      <c r="F68" s="371"/>
      <c r="G68" s="372"/>
      <c r="H68" s="373"/>
      <c r="I68" s="276"/>
      <c r="J68" s="255"/>
      <c r="K68" s="167">
        <v>1</v>
      </c>
      <c r="L68" s="168" t="s">
        <v>63</v>
      </c>
      <c r="M68" s="169">
        <f t="shared" si="4"/>
        <v>0</v>
      </c>
      <c r="N68" s="171"/>
      <c r="O68" s="277"/>
      <c r="P68" s="169" t="s">
        <v>63</v>
      </c>
      <c r="Q68" s="377"/>
      <c r="R68" s="277"/>
      <c r="S68" s="169" t="s">
        <v>63</v>
      </c>
      <c r="T68" s="278">
        <f t="shared" si="3"/>
        <v>0</v>
      </c>
      <c r="U68" s="279"/>
      <c r="V68" s="280"/>
      <c r="W68" s="278"/>
      <c r="X68" s="278"/>
      <c r="Y68" s="375"/>
      <c r="Z68" s="375"/>
      <c r="AA68" s="375"/>
      <c r="AB68" s="405"/>
    </row>
    <row r="69" spans="1:28" s="176" customFormat="1" ht="54.95" customHeight="1" x14ac:dyDescent="0.15">
      <c r="A69" s="388"/>
      <c r="B69" s="164">
        <f>G11</f>
        <v>0</v>
      </c>
      <c r="C69" s="413"/>
      <c r="D69" s="414"/>
      <c r="E69" s="415"/>
      <c r="F69" s="371"/>
      <c r="G69" s="372"/>
      <c r="H69" s="373"/>
      <c r="I69" s="276"/>
      <c r="J69" s="255"/>
      <c r="K69" s="167">
        <v>1</v>
      </c>
      <c r="L69" s="168" t="s">
        <v>63</v>
      </c>
      <c r="M69" s="169">
        <f t="shared" si="4"/>
        <v>0</v>
      </c>
      <c r="N69" s="171"/>
      <c r="O69" s="277"/>
      <c r="P69" s="169" t="s">
        <v>63</v>
      </c>
      <c r="Q69" s="378"/>
      <c r="R69" s="277"/>
      <c r="S69" s="169" t="s">
        <v>63</v>
      </c>
      <c r="T69" s="278">
        <f t="shared" si="3"/>
        <v>0</v>
      </c>
      <c r="U69" s="279"/>
      <c r="V69" s="280"/>
      <c r="W69" s="278"/>
      <c r="X69" s="278"/>
      <c r="Y69" s="379"/>
      <c r="Z69" s="379"/>
      <c r="AA69" s="379"/>
      <c r="AB69" s="406"/>
    </row>
    <row r="70" spans="1:28" s="176" customFormat="1" ht="54.95" customHeight="1" x14ac:dyDescent="0.15">
      <c r="A70" s="386" t="s">
        <v>68</v>
      </c>
      <c r="B70" s="164">
        <f>C5+C8</f>
        <v>150</v>
      </c>
      <c r="C70" s="407" t="str">
        <f>A5</f>
        <v>WH</v>
      </c>
      <c r="D70" s="408"/>
      <c r="E70" s="409"/>
      <c r="F70" s="371"/>
      <c r="G70" s="372"/>
      <c r="H70" s="373"/>
      <c r="I70" s="276"/>
      <c r="J70" s="276"/>
      <c r="K70" s="167">
        <v>1</v>
      </c>
      <c r="L70" s="168" t="s">
        <v>63</v>
      </c>
      <c r="M70" s="169">
        <f t="shared" si="4"/>
        <v>150</v>
      </c>
      <c r="N70" s="171"/>
      <c r="O70" s="277"/>
      <c r="P70" s="169" t="s">
        <v>63</v>
      </c>
      <c r="Q70" s="376">
        <v>45996</v>
      </c>
      <c r="R70" s="277">
        <v>150</v>
      </c>
      <c r="S70" s="169" t="s">
        <v>63</v>
      </c>
      <c r="T70" s="278">
        <f t="shared" si="3"/>
        <v>0</v>
      </c>
      <c r="U70" s="281"/>
      <c r="V70" s="282"/>
      <c r="W70" s="278"/>
      <c r="X70" s="278"/>
      <c r="Y70" s="374" t="s">
        <v>72</v>
      </c>
      <c r="Z70" s="374"/>
      <c r="AA70" s="374"/>
      <c r="AB70" s="404" t="s">
        <v>209</v>
      </c>
    </row>
    <row r="71" spans="1:28" s="176" customFormat="1" ht="54.95" customHeight="1" x14ac:dyDescent="0.15">
      <c r="A71" s="387"/>
      <c r="B71" s="164">
        <f>D5+D8</f>
        <v>150</v>
      </c>
      <c r="C71" s="410"/>
      <c r="D71" s="411"/>
      <c r="E71" s="412"/>
      <c r="F71" s="371"/>
      <c r="G71" s="372"/>
      <c r="H71" s="373"/>
      <c r="I71" s="276"/>
      <c r="J71" s="276"/>
      <c r="K71" s="167">
        <v>1</v>
      </c>
      <c r="L71" s="168" t="s">
        <v>63</v>
      </c>
      <c r="M71" s="169">
        <f t="shared" si="4"/>
        <v>150</v>
      </c>
      <c r="N71" s="171"/>
      <c r="O71" s="277"/>
      <c r="P71" s="169" t="s">
        <v>63</v>
      </c>
      <c r="Q71" s="377"/>
      <c r="R71" s="277">
        <v>150</v>
      </c>
      <c r="S71" s="169" t="s">
        <v>63</v>
      </c>
      <c r="T71" s="278">
        <f t="shared" si="3"/>
        <v>0</v>
      </c>
      <c r="U71" s="281"/>
      <c r="V71" s="282"/>
      <c r="W71" s="278"/>
      <c r="X71" s="278"/>
      <c r="Y71" s="375"/>
      <c r="Z71" s="375"/>
      <c r="AA71" s="375"/>
      <c r="AB71" s="405"/>
    </row>
    <row r="72" spans="1:28" s="176" customFormat="1" ht="54.95" customHeight="1" x14ac:dyDescent="0.15">
      <c r="A72" s="387"/>
      <c r="B72" s="164">
        <f>E5+E8</f>
        <v>42</v>
      </c>
      <c r="C72" s="410"/>
      <c r="D72" s="411"/>
      <c r="E72" s="412"/>
      <c r="F72" s="371"/>
      <c r="G72" s="372"/>
      <c r="H72" s="373"/>
      <c r="I72" s="276"/>
      <c r="J72" s="276"/>
      <c r="K72" s="167">
        <v>1</v>
      </c>
      <c r="L72" s="168" t="s">
        <v>63</v>
      </c>
      <c r="M72" s="169">
        <f t="shared" si="4"/>
        <v>42</v>
      </c>
      <c r="N72" s="171"/>
      <c r="O72" s="277"/>
      <c r="P72" s="169" t="s">
        <v>63</v>
      </c>
      <c r="Q72" s="377"/>
      <c r="R72" s="277">
        <v>42</v>
      </c>
      <c r="S72" s="169" t="s">
        <v>63</v>
      </c>
      <c r="T72" s="278">
        <f t="shared" si="3"/>
        <v>0</v>
      </c>
      <c r="U72" s="281"/>
      <c r="V72" s="282"/>
      <c r="W72" s="278"/>
      <c r="X72" s="278"/>
      <c r="Y72" s="375"/>
      <c r="Z72" s="375"/>
      <c r="AA72" s="375"/>
      <c r="AB72" s="405"/>
    </row>
    <row r="73" spans="1:28" s="176" customFormat="1" ht="54.95" customHeight="1" x14ac:dyDescent="0.15">
      <c r="A73" s="387"/>
      <c r="B73" s="164">
        <f>F5+F8</f>
        <v>0</v>
      </c>
      <c r="C73" s="410"/>
      <c r="D73" s="411"/>
      <c r="E73" s="412"/>
      <c r="F73" s="371"/>
      <c r="G73" s="372"/>
      <c r="H73" s="373"/>
      <c r="I73" s="276"/>
      <c r="J73" s="276"/>
      <c r="K73" s="167">
        <v>1</v>
      </c>
      <c r="L73" s="168" t="s">
        <v>63</v>
      </c>
      <c r="M73" s="169">
        <f t="shared" si="4"/>
        <v>0</v>
      </c>
      <c r="N73" s="171"/>
      <c r="O73" s="277"/>
      <c r="P73" s="169" t="s">
        <v>63</v>
      </c>
      <c r="Q73" s="377"/>
      <c r="R73" s="168"/>
      <c r="S73" s="169" t="s">
        <v>63</v>
      </c>
      <c r="T73" s="278">
        <f t="shared" si="3"/>
        <v>0</v>
      </c>
      <c r="U73" s="281"/>
      <c r="V73" s="282"/>
      <c r="W73" s="278"/>
      <c r="X73" s="278"/>
      <c r="Y73" s="375"/>
      <c r="Z73" s="375"/>
      <c r="AA73" s="375"/>
      <c r="AB73" s="405"/>
    </row>
    <row r="74" spans="1:28" s="176" customFormat="1" ht="54.95" customHeight="1" x14ac:dyDescent="0.15">
      <c r="A74" s="387"/>
      <c r="B74" s="164">
        <f>G5+G8</f>
        <v>0</v>
      </c>
      <c r="C74" s="413"/>
      <c r="D74" s="414"/>
      <c r="E74" s="415"/>
      <c r="F74" s="371"/>
      <c r="G74" s="372"/>
      <c r="H74" s="373"/>
      <c r="I74" s="276"/>
      <c r="J74" s="276"/>
      <c r="K74" s="167">
        <v>1</v>
      </c>
      <c r="L74" s="168" t="s">
        <v>63</v>
      </c>
      <c r="M74" s="169">
        <f t="shared" si="4"/>
        <v>0</v>
      </c>
      <c r="N74" s="171"/>
      <c r="O74" s="277"/>
      <c r="P74" s="169" t="s">
        <v>63</v>
      </c>
      <c r="Q74" s="377"/>
      <c r="R74" s="168"/>
      <c r="S74" s="169" t="s">
        <v>63</v>
      </c>
      <c r="T74" s="278">
        <f t="shared" si="3"/>
        <v>0</v>
      </c>
      <c r="U74" s="281"/>
      <c r="V74" s="282"/>
      <c r="W74" s="278"/>
      <c r="X74" s="278"/>
      <c r="Y74" s="375"/>
      <c r="Z74" s="375"/>
      <c r="AA74" s="375"/>
      <c r="AB74" s="406"/>
    </row>
    <row r="75" spans="1:28" s="176" customFormat="1" ht="54.95" customHeight="1" x14ac:dyDescent="0.15">
      <c r="A75" s="387"/>
      <c r="B75" s="164">
        <f>C6</f>
        <v>240</v>
      </c>
      <c r="C75" s="407" t="str">
        <f>A6</f>
        <v>BK</v>
      </c>
      <c r="D75" s="408"/>
      <c r="E75" s="409"/>
      <c r="F75" s="371"/>
      <c r="G75" s="372"/>
      <c r="H75" s="373"/>
      <c r="I75" s="276"/>
      <c r="J75" s="276"/>
      <c r="K75" s="167">
        <v>1</v>
      </c>
      <c r="L75" s="168" t="s">
        <v>63</v>
      </c>
      <c r="M75" s="169">
        <f t="shared" si="4"/>
        <v>240</v>
      </c>
      <c r="N75" s="171"/>
      <c r="O75" s="277"/>
      <c r="P75" s="169" t="s">
        <v>63</v>
      </c>
      <c r="Q75" s="377"/>
      <c r="R75" s="277">
        <v>240</v>
      </c>
      <c r="S75" s="169" t="s">
        <v>63</v>
      </c>
      <c r="T75" s="278">
        <f>R75-M75</f>
        <v>0</v>
      </c>
      <c r="U75" s="281"/>
      <c r="V75" s="282"/>
      <c r="W75" s="278"/>
      <c r="X75" s="278"/>
      <c r="Y75" s="374" t="s">
        <v>72</v>
      </c>
      <c r="Z75" s="374"/>
      <c r="AA75" s="374"/>
      <c r="AB75" s="404" t="s">
        <v>209</v>
      </c>
    </row>
    <row r="76" spans="1:28" s="176" customFormat="1" ht="54.95" customHeight="1" x14ac:dyDescent="0.15">
      <c r="A76" s="387"/>
      <c r="B76" s="164">
        <f>D6</f>
        <v>260</v>
      </c>
      <c r="C76" s="410"/>
      <c r="D76" s="411"/>
      <c r="E76" s="412"/>
      <c r="F76" s="371"/>
      <c r="G76" s="372"/>
      <c r="H76" s="373"/>
      <c r="I76" s="276"/>
      <c r="J76" s="276"/>
      <c r="K76" s="167">
        <v>1</v>
      </c>
      <c r="L76" s="168" t="s">
        <v>63</v>
      </c>
      <c r="M76" s="169">
        <f t="shared" si="4"/>
        <v>260</v>
      </c>
      <c r="N76" s="171"/>
      <c r="O76" s="277"/>
      <c r="P76" s="169" t="s">
        <v>63</v>
      </c>
      <c r="Q76" s="377"/>
      <c r="R76" s="277">
        <v>260</v>
      </c>
      <c r="S76" s="169" t="s">
        <v>63</v>
      </c>
      <c r="T76" s="278">
        <f>R76-M76</f>
        <v>0</v>
      </c>
      <c r="U76" s="281"/>
      <c r="V76" s="282"/>
      <c r="W76" s="278"/>
      <c r="X76" s="278"/>
      <c r="Y76" s="375"/>
      <c r="Z76" s="375"/>
      <c r="AA76" s="375"/>
      <c r="AB76" s="405"/>
    </row>
    <row r="77" spans="1:28" s="176" customFormat="1" ht="54.95" customHeight="1" x14ac:dyDescent="0.15">
      <c r="A77" s="387"/>
      <c r="B77" s="164">
        <f>E6</f>
        <v>86</v>
      </c>
      <c r="C77" s="410"/>
      <c r="D77" s="411"/>
      <c r="E77" s="412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86</v>
      </c>
      <c r="N77" s="171"/>
      <c r="O77" s="277"/>
      <c r="P77" s="169" t="s">
        <v>63</v>
      </c>
      <c r="Q77" s="377"/>
      <c r="R77" s="277">
        <v>86</v>
      </c>
      <c r="S77" s="169" t="s">
        <v>63</v>
      </c>
      <c r="T77" s="278">
        <f>R77-M77</f>
        <v>0</v>
      </c>
      <c r="U77" s="281"/>
      <c r="V77" s="282"/>
      <c r="W77" s="278"/>
      <c r="X77" s="278"/>
      <c r="Y77" s="375"/>
      <c r="Z77" s="375"/>
      <c r="AA77" s="375"/>
      <c r="AB77" s="405"/>
    </row>
    <row r="78" spans="1:28" s="176" customFormat="1" ht="54.95" customHeight="1" x14ac:dyDescent="0.15">
      <c r="A78" s="387"/>
      <c r="B78" s="164"/>
      <c r="C78" s="410"/>
      <c r="D78" s="411"/>
      <c r="E78" s="412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0</v>
      </c>
      <c r="N78" s="171"/>
      <c r="O78" s="277"/>
      <c r="P78" s="169" t="s">
        <v>63</v>
      </c>
      <c r="Q78" s="377"/>
      <c r="R78" s="168"/>
      <c r="S78" s="169" t="s">
        <v>63</v>
      </c>
      <c r="T78" s="278">
        <f>R78-M78</f>
        <v>0</v>
      </c>
      <c r="U78" s="281"/>
      <c r="V78" s="282"/>
      <c r="W78" s="278"/>
      <c r="X78" s="278"/>
      <c r="Y78" s="375"/>
      <c r="Z78" s="375"/>
      <c r="AA78" s="375"/>
      <c r="AB78" s="405"/>
    </row>
    <row r="79" spans="1:28" s="176" customFormat="1" ht="54.95" customHeight="1" x14ac:dyDescent="0.15">
      <c r="A79" s="388"/>
      <c r="B79" s="164">
        <f>G10+G13</f>
        <v>0</v>
      </c>
      <c r="C79" s="413"/>
      <c r="D79" s="414"/>
      <c r="E79" s="415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0</v>
      </c>
      <c r="N79" s="171"/>
      <c r="O79" s="277"/>
      <c r="P79" s="169" t="s">
        <v>63</v>
      </c>
      <c r="Q79" s="378"/>
      <c r="R79" s="168"/>
      <c r="S79" s="169" t="s">
        <v>63</v>
      </c>
      <c r="T79" s="278">
        <f>R79-M79</f>
        <v>0</v>
      </c>
      <c r="U79" s="281"/>
      <c r="V79" s="282"/>
      <c r="W79" s="278"/>
      <c r="X79" s="278"/>
      <c r="Y79" s="375"/>
      <c r="Z79" s="375"/>
      <c r="AA79" s="375"/>
      <c r="AB79" s="406"/>
    </row>
    <row r="80" spans="1:28" s="176" customFormat="1" ht="54.95" customHeight="1" x14ac:dyDescent="0.15">
      <c r="A80" s="386" t="s">
        <v>69</v>
      </c>
      <c r="B80" s="164">
        <f>C5</f>
        <v>150</v>
      </c>
      <c r="C80" s="407" t="str">
        <f>A5</f>
        <v>WH</v>
      </c>
      <c r="D80" s="408"/>
      <c r="E80" s="409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150</v>
      </c>
      <c r="N80" s="171"/>
      <c r="O80" s="277"/>
      <c r="P80" s="169" t="s">
        <v>63</v>
      </c>
      <c r="Q80" s="376">
        <v>46045</v>
      </c>
      <c r="R80" s="277">
        <v>150</v>
      </c>
      <c r="S80" s="169" t="s">
        <v>63</v>
      </c>
      <c r="T80" s="278">
        <f t="shared" si="3"/>
        <v>0</v>
      </c>
      <c r="U80" s="281"/>
      <c r="V80" s="282"/>
      <c r="W80" s="278"/>
      <c r="X80" s="278"/>
      <c r="Y80" s="374" t="s">
        <v>67</v>
      </c>
      <c r="Z80" s="374"/>
      <c r="AA80" s="374"/>
      <c r="AB80" s="404" t="s">
        <v>243</v>
      </c>
    </row>
    <row r="81" spans="1:28" s="176" customFormat="1" ht="54.95" customHeight="1" x14ac:dyDescent="0.15">
      <c r="A81" s="387"/>
      <c r="B81" s="164">
        <f>D5</f>
        <v>150</v>
      </c>
      <c r="C81" s="410"/>
      <c r="D81" s="411"/>
      <c r="E81" s="412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150</v>
      </c>
      <c r="N81" s="171"/>
      <c r="O81" s="277"/>
      <c r="P81" s="169" t="s">
        <v>63</v>
      </c>
      <c r="Q81" s="377"/>
      <c r="R81" s="277">
        <v>150</v>
      </c>
      <c r="S81" s="169" t="s">
        <v>63</v>
      </c>
      <c r="T81" s="278">
        <f t="shared" si="3"/>
        <v>0</v>
      </c>
      <c r="U81" s="281"/>
      <c r="V81" s="282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387"/>
      <c r="B82" s="164">
        <f>E5</f>
        <v>42</v>
      </c>
      <c r="C82" s="410"/>
      <c r="D82" s="411"/>
      <c r="E82" s="412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42</v>
      </c>
      <c r="N82" s="171"/>
      <c r="O82" s="277"/>
      <c r="P82" s="169" t="s">
        <v>63</v>
      </c>
      <c r="Q82" s="377"/>
      <c r="R82" s="277">
        <v>42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387"/>
      <c r="B83" s="164">
        <f>F5</f>
        <v>0</v>
      </c>
      <c r="C83" s="410"/>
      <c r="D83" s="411"/>
      <c r="E83" s="412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7"/>
      <c r="R83" s="168"/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405"/>
    </row>
    <row r="84" spans="1:28" s="176" customFormat="1" ht="54.95" customHeight="1" x14ac:dyDescent="0.15">
      <c r="A84" s="387"/>
      <c r="B84" s="164">
        <f>G5</f>
        <v>0</v>
      </c>
      <c r="C84" s="413"/>
      <c r="D84" s="414"/>
      <c r="E84" s="415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7"/>
      <c r="R84" s="168"/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405"/>
    </row>
    <row r="85" spans="1:28" s="176" customFormat="1" ht="54.95" customHeight="1" x14ac:dyDescent="0.15">
      <c r="A85" s="387"/>
      <c r="B85" s="164">
        <f>C6</f>
        <v>240</v>
      </c>
      <c r="C85" s="407" t="str">
        <f>A6</f>
        <v>BK</v>
      </c>
      <c r="D85" s="408"/>
      <c r="E85" s="409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240</v>
      </c>
      <c r="N85" s="171"/>
      <c r="O85" s="277"/>
      <c r="P85" s="169" t="s">
        <v>63</v>
      </c>
      <c r="Q85" s="377"/>
      <c r="R85" s="277">
        <v>240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4" t="s">
        <v>67</v>
      </c>
      <c r="Z85" s="374"/>
      <c r="AA85" s="374"/>
      <c r="AB85" s="405"/>
    </row>
    <row r="86" spans="1:28" s="176" customFormat="1" ht="54.95" customHeight="1" x14ac:dyDescent="0.15">
      <c r="A86" s="387"/>
      <c r="B86" s="164">
        <f>D6</f>
        <v>260</v>
      </c>
      <c r="C86" s="410"/>
      <c r="D86" s="411"/>
      <c r="E86" s="412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260</v>
      </c>
      <c r="N86" s="171"/>
      <c r="O86" s="277"/>
      <c r="P86" s="169" t="s">
        <v>63</v>
      </c>
      <c r="Q86" s="377"/>
      <c r="R86" s="277">
        <v>260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405"/>
    </row>
    <row r="87" spans="1:28" s="176" customFormat="1" ht="54.95" customHeight="1" x14ac:dyDescent="0.15">
      <c r="A87" s="387"/>
      <c r="B87" s="164">
        <f>E6</f>
        <v>86</v>
      </c>
      <c r="C87" s="410"/>
      <c r="D87" s="411"/>
      <c r="E87" s="412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86</v>
      </c>
      <c r="N87" s="171"/>
      <c r="O87" s="277"/>
      <c r="P87" s="169" t="s">
        <v>63</v>
      </c>
      <c r="Q87" s="377"/>
      <c r="R87" s="277">
        <v>86</v>
      </c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405"/>
    </row>
    <row r="88" spans="1:28" s="176" customFormat="1" ht="54.95" customHeight="1" x14ac:dyDescent="0.15">
      <c r="A88" s="387"/>
      <c r="B88" s="164">
        <f>F10</f>
        <v>0</v>
      </c>
      <c r="C88" s="410"/>
      <c r="D88" s="411"/>
      <c r="E88" s="412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0</v>
      </c>
      <c r="N88" s="171"/>
      <c r="O88" s="277"/>
      <c r="P88" s="169" t="s">
        <v>63</v>
      </c>
      <c r="Q88" s="377"/>
      <c r="R88" s="168"/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405"/>
    </row>
    <row r="89" spans="1:28" s="176" customFormat="1" ht="54.95" customHeight="1" x14ac:dyDescent="0.15">
      <c r="A89" s="388"/>
      <c r="B89" s="164">
        <f>G10</f>
        <v>0</v>
      </c>
      <c r="C89" s="413"/>
      <c r="D89" s="414"/>
      <c r="E89" s="415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4"/>
        <v>0</v>
      </c>
      <c r="N89" s="171"/>
      <c r="O89" s="277"/>
      <c r="P89" s="169" t="s">
        <v>63</v>
      </c>
      <c r="Q89" s="378"/>
      <c r="R89" s="168"/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406"/>
    </row>
    <row r="90" spans="1:28" s="55" customFormat="1" ht="54.95" customHeight="1" x14ac:dyDescent="0.15">
      <c r="A90" s="386" t="s">
        <v>70</v>
      </c>
      <c r="B90" s="87">
        <f>C11</f>
        <v>390</v>
      </c>
      <c r="C90" s="389" t="s">
        <v>71</v>
      </c>
      <c r="D90" s="390"/>
      <c r="E90" s="391"/>
      <c r="F90" s="368"/>
      <c r="G90" s="369"/>
      <c r="H90" s="370"/>
      <c r="I90" s="152"/>
      <c r="J90" s="90"/>
      <c r="K90" s="156">
        <v>1</v>
      </c>
      <c r="L90" s="77" t="s">
        <v>63</v>
      </c>
      <c r="M90" s="88">
        <f t="shared" si="4"/>
        <v>390</v>
      </c>
      <c r="N90" s="89"/>
      <c r="O90" s="153"/>
      <c r="P90" s="88" t="s">
        <v>63</v>
      </c>
      <c r="Q90" s="398">
        <v>45996</v>
      </c>
      <c r="R90" s="93">
        <v>390</v>
      </c>
      <c r="S90" s="88" t="s">
        <v>63</v>
      </c>
      <c r="T90" s="154">
        <f t="shared" si="3"/>
        <v>0</v>
      </c>
      <c r="U90" s="91"/>
      <c r="V90" s="159"/>
      <c r="W90" s="159"/>
      <c r="X90" s="159"/>
      <c r="Y90" s="401" t="s">
        <v>94</v>
      </c>
      <c r="Z90" s="416"/>
      <c r="AA90" s="416"/>
      <c r="AB90" s="419" t="s">
        <v>210</v>
      </c>
    </row>
    <row r="91" spans="1:28" s="55" customFormat="1" ht="54.95" customHeight="1" x14ac:dyDescent="0.15">
      <c r="A91" s="387"/>
      <c r="B91" s="87">
        <f>D11</f>
        <v>410</v>
      </c>
      <c r="C91" s="392"/>
      <c r="D91" s="393"/>
      <c r="E91" s="394"/>
      <c r="F91" s="368"/>
      <c r="G91" s="369"/>
      <c r="H91" s="370"/>
      <c r="I91" s="152"/>
      <c r="J91" s="90"/>
      <c r="K91" s="156">
        <v>1</v>
      </c>
      <c r="L91" s="77" t="s">
        <v>63</v>
      </c>
      <c r="M91" s="88">
        <f t="shared" si="4"/>
        <v>410</v>
      </c>
      <c r="N91" s="89"/>
      <c r="O91" s="153"/>
      <c r="P91" s="88" t="s">
        <v>63</v>
      </c>
      <c r="Q91" s="399"/>
      <c r="R91" s="93">
        <v>410</v>
      </c>
      <c r="S91" s="88" t="s">
        <v>63</v>
      </c>
      <c r="T91" s="154">
        <f t="shared" si="3"/>
        <v>0</v>
      </c>
      <c r="U91" s="91"/>
      <c r="V91" s="159"/>
      <c r="W91" s="159"/>
      <c r="X91" s="159"/>
      <c r="Y91" s="402"/>
      <c r="Z91" s="417"/>
      <c r="AA91" s="417"/>
      <c r="AB91" s="420"/>
    </row>
    <row r="92" spans="1:28" s="55" customFormat="1" ht="54.95" customHeight="1" x14ac:dyDescent="0.15">
      <c r="A92" s="387"/>
      <c r="B92" s="87">
        <f>E11</f>
        <v>128</v>
      </c>
      <c r="C92" s="392"/>
      <c r="D92" s="393"/>
      <c r="E92" s="394"/>
      <c r="F92" s="368"/>
      <c r="G92" s="369"/>
      <c r="H92" s="370"/>
      <c r="I92" s="152"/>
      <c r="J92" s="90"/>
      <c r="K92" s="156">
        <v>1</v>
      </c>
      <c r="L92" s="77" t="s">
        <v>63</v>
      </c>
      <c r="M92" s="88">
        <f t="shared" si="4"/>
        <v>128</v>
      </c>
      <c r="N92" s="89"/>
      <c r="O92" s="153"/>
      <c r="P92" s="88" t="s">
        <v>63</v>
      </c>
      <c r="Q92" s="399"/>
      <c r="R92" s="93">
        <v>128</v>
      </c>
      <c r="S92" s="88" t="s">
        <v>63</v>
      </c>
      <c r="T92" s="154">
        <f t="shared" si="3"/>
        <v>0</v>
      </c>
      <c r="U92" s="91"/>
      <c r="V92" s="159"/>
      <c r="W92" s="159"/>
      <c r="X92" s="159"/>
      <c r="Y92" s="402"/>
      <c r="Z92" s="417"/>
      <c r="AA92" s="417"/>
      <c r="AB92" s="420"/>
    </row>
    <row r="93" spans="1:28" s="55" customFormat="1" ht="54.95" customHeight="1" x14ac:dyDescent="0.15">
      <c r="A93" s="388"/>
      <c r="B93" s="87">
        <f>F11</f>
        <v>0</v>
      </c>
      <c r="C93" s="395"/>
      <c r="D93" s="396"/>
      <c r="E93" s="397"/>
      <c r="F93" s="368"/>
      <c r="G93" s="369"/>
      <c r="H93" s="370"/>
      <c r="I93" s="152"/>
      <c r="J93" s="90"/>
      <c r="K93" s="156"/>
      <c r="L93" s="77" t="s">
        <v>63</v>
      </c>
      <c r="M93" s="88">
        <f t="shared" si="4"/>
        <v>0</v>
      </c>
      <c r="N93" s="89"/>
      <c r="O93" s="153"/>
      <c r="P93" s="88" t="s">
        <v>63</v>
      </c>
      <c r="Q93" s="400"/>
      <c r="R93" s="162"/>
      <c r="S93" s="88" t="s">
        <v>63</v>
      </c>
      <c r="T93" s="154">
        <f t="shared" si="3"/>
        <v>0</v>
      </c>
      <c r="U93" s="91"/>
      <c r="V93" s="159"/>
      <c r="W93" s="159"/>
      <c r="X93" s="159"/>
      <c r="Y93" s="403"/>
      <c r="Z93" s="418"/>
      <c r="AA93" s="418"/>
      <c r="AB93" s="421"/>
    </row>
    <row r="94" spans="1:28" s="176" customFormat="1" ht="54.95" customHeight="1" x14ac:dyDescent="0.15">
      <c r="A94" s="163" t="s">
        <v>73</v>
      </c>
      <c r="B94" s="164">
        <f>I11</f>
        <v>928</v>
      </c>
      <c r="C94" s="371" t="s">
        <v>71</v>
      </c>
      <c r="D94" s="372"/>
      <c r="E94" s="373"/>
      <c r="F94" s="371"/>
      <c r="G94" s="372"/>
      <c r="H94" s="373"/>
      <c r="I94" s="165"/>
      <c r="J94" s="166"/>
      <c r="K94" s="167">
        <v>1</v>
      </c>
      <c r="L94" s="168" t="s">
        <v>63</v>
      </c>
      <c r="M94" s="88">
        <f t="shared" si="4"/>
        <v>928</v>
      </c>
      <c r="N94" s="170"/>
      <c r="O94" s="170"/>
      <c r="P94" s="169" t="s">
        <v>63</v>
      </c>
      <c r="Q94" s="363">
        <v>45996</v>
      </c>
      <c r="R94" s="165">
        <v>928</v>
      </c>
      <c r="S94" s="169" t="s">
        <v>63</v>
      </c>
      <c r="T94" s="154">
        <f t="shared" si="3"/>
        <v>0</v>
      </c>
      <c r="U94" s="170"/>
      <c r="V94" s="172"/>
      <c r="W94" s="172"/>
      <c r="X94" s="172"/>
      <c r="Y94" s="374" t="s">
        <v>72</v>
      </c>
      <c r="Z94" s="380"/>
      <c r="AA94" s="383"/>
      <c r="AB94" s="586" t="s">
        <v>210</v>
      </c>
    </row>
    <row r="95" spans="1:28" s="55" customFormat="1" ht="54.95" customHeight="1" x14ac:dyDescent="0.15">
      <c r="A95" s="163" t="s">
        <v>81</v>
      </c>
      <c r="B95" s="87">
        <f>I11</f>
        <v>928</v>
      </c>
      <c r="C95" s="368" t="s">
        <v>71</v>
      </c>
      <c r="D95" s="369"/>
      <c r="E95" s="370"/>
      <c r="F95" s="368"/>
      <c r="G95" s="369"/>
      <c r="H95" s="370"/>
      <c r="I95" s="93"/>
      <c r="J95" s="90"/>
      <c r="K95" s="156">
        <v>1</v>
      </c>
      <c r="L95" s="77" t="s">
        <v>63</v>
      </c>
      <c r="M95" s="88">
        <f>K95*B95</f>
        <v>928</v>
      </c>
      <c r="N95" s="91"/>
      <c r="O95" s="91"/>
      <c r="P95" s="169" t="s">
        <v>63</v>
      </c>
      <c r="Q95" s="364"/>
      <c r="R95" s="93">
        <v>928</v>
      </c>
      <c r="S95" s="169" t="s">
        <v>63</v>
      </c>
      <c r="T95" s="154">
        <f t="shared" si="3"/>
        <v>0</v>
      </c>
      <c r="U95" s="91"/>
      <c r="V95" s="91"/>
      <c r="W95" s="91"/>
      <c r="X95" s="91"/>
      <c r="Y95" s="375"/>
      <c r="Z95" s="381"/>
      <c r="AA95" s="384"/>
      <c r="AB95" s="587"/>
    </row>
    <row r="96" spans="1:28" s="55" customFormat="1" ht="54.95" customHeight="1" x14ac:dyDescent="0.15">
      <c r="A96" s="284" t="s">
        <v>74</v>
      </c>
      <c r="B96" s="87">
        <f>I11</f>
        <v>928</v>
      </c>
      <c r="C96" s="368" t="s">
        <v>71</v>
      </c>
      <c r="D96" s="369"/>
      <c r="E96" s="370"/>
      <c r="F96" s="368"/>
      <c r="G96" s="369"/>
      <c r="H96" s="370"/>
      <c r="I96" s="93" t="s">
        <v>201</v>
      </c>
      <c r="J96" s="93"/>
      <c r="K96" s="156">
        <v>1</v>
      </c>
      <c r="L96" s="77" t="s">
        <v>63</v>
      </c>
      <c r="M96" s="88">
        <f t="shared" si="4"/>
        <v>928</v>
      </c>
      <c r="N96" s="91"/>
      <c r="O96" s="91"/>
      <c r="P96" s="89" t="s">
        <v>63</v>
      </c>
      <c r="Q96" s="365"/>
      <c r="R96" s="93">
        <v>928</v>
      </c>
      <c r="S96" s="89" t="s">
        <v>63</v>
      </c>
      <c r="T96" s="154">
        <f t="shared" si="3"/>
        <v>0</v>
      </c>
      <c r="U96" s="91"/>
      <c r="V96" s="91"/>
      <c r="W96" s="91"/>
      <c r="X96" s="91"/>
      <c r="Y96" s="379"/>
      <c r="Z96" s="382"/>
      <c r="AA96" s="385"/>
      <c r="AB96" s="588"/>
    </row>
    <row r="97" spans="1:29" x14ac:dyDescent="0.15">
      <c r="A97" s="285"/>
      <c r="B97" s="366"/>
      <c r="C97" s="366"/>
      <c r="D97" s="177"/>
      <c r="E97" s="177"/>
      <c r="F97" s="100"/>
      <c r="G97" s="100"/>
      <c r="H97" s="100"/>
      <c r="I97" s="177"/>
      <c r="J97" s="177"/>
      <c r="K97" s="101"/>
      <c r="L97" s="102"/>
      <c r="M97" s="103"/>
      <c r="N97" s="104"/>
      <c r="O97" s="104"/>
      <c r="P97" s="177"/>
      <c r="Q97" s="105"/>
      <c r="R97" s="105"/>
      <c r="S97" s="106"/>
      <c r="T97" s="107"/>
      <c r="U97" s="108"/>
      <c r="V97" s="108"/>
      <c r="W97" s="109"/>
      <c r="X97" s="107"/>
      <c r="Y97" s="110"/>
      <c r="Z97" s="111"/>
      <c r="AA97" s="111"/>
    </row>
    <row r="98" spans="1:29" x14ac:dyDescent="0.15">
      <c r="A98" s="285"/>
      <c r="B98" s="366"/>
      <c r="C98" s="366"/>
      <c r="D98" s="177"/>
      <c r="E98" s="177"/>
      <c r="F98" s="367"/>
      <c r="G98" s="367"/>
      <c r="H98" s="367"/>
      <c r="I98" s="177"/>
      <c r="J98" s="177"/>
      <c r="K98" s="101"/>
      <c r="L98" s="102"/>
      <c r="M98" s="103"/>
      <c r="N98" s="104"/>
      <c r="O98" s="104"/>
      <c r="P98" s="177"/>
      <c r="Q98" s="105"/>
      <c r="R98" s="105"/>
      <c r="S98" s="106"/>
      <c r="T98" s="107"/>
      <c r="U98" s="108"/>
      <c r="V98" s="108"/>
      <c r="W98" s="109"/>
      <c r="X98" s="107"/>
      <c r="Y98" s="112"/>
      <c r="Z98" s="111"/>
      <c r="AA98" s="111"/>
    </row>
    <row r="99" spans="1:29" x14ac:dyDescent="0.15">
      <c r="J99" s="177"/>
    </row>
    <row r="100" spans="1:29" x14ac:dyDescent="0.15">
      <c r="J100" s="177"/>
    </row>
    <row r="107" spans="1:29" s="114" customFormat="1" x14ac:dyDescent="0.15">
      <c r="A107" s="286"/>
      <c r="B107" s="113"/>
      <c r="C107" s="1"/>
      <c r="D107" s="1"/>
      <c r="E107" s="1"/>
      <c r="F107" s="1"/>
      <c r="G107" s="1"/>
      <c r="H107" s="1"/>
      <c r="I107" s="1"/>
      <c r="J107" s="1"/>
      <c r="L107" s="115"/>
      <c r="M107" s="116"/>
      <c r="N107" s="117"/>
      <c r="O107" s="117"/>
      <c r="P107" s="1"/>
      <c r="Q107" s="118"/>
      <c r="R107" s="118"/>
      <c r="S107" s="115"/>
      <c r="T107" s="119"/>
      <c r="U107" s="1"/>
      <c r="V107" s="1"/>
      <c r="W107" s="120"/>
      <c r="X107" s="121"/>
      <c r="Y107" s="1"/>
      <c r="Z107" s="1"/>
      <c r="AA107" s="1"/>
      <c r="AB107" s="1"/>
      <c r="AC107" s="1"/>
    </row>
    <row r="108" spans="1:29" s="114" customFormat="1" x14ac:dyDescent="0.15">
      <c r="A108" s="286"/>
      <c r="B108" s="113"/>
      <c r="C108" s="1"/>
      <c r="D108" s="1"/>
      <c r="E108" s="1"/>
      <c r="F108" s="1"/>
      <c r="G108" s="1"/>
      <c r="H108" s="1"/>
      <c r="I108" s="1"/>
      <c r="J108" s="1"/>
      <c r="L108" s="115"/>
      <c r="M108" s="116"/>
      <c r="N108" s="117"/>
      <c r="O108" s="117"/>
      <c r="P108" s="1"/>
      <c r="Q108" s="118"/>
      <c r="R108" s="118"/>
      <c r="S108" s="115"/>
      <c r="T108" s="119"/>
      <c r="U108" s="1"/>
      <c r="V108" s="1"/>
      <c r="W108" s="120"/>
      <c r="X108" s="121"/>
      <c r="Y108" s="1"/>
      <c r="Z108" s="1"/>
      <c r="AA108" s="1"/>
      <c r="AB108" s="1"/>
      <c r="AC108" s="1"/>
    </row>
  </sheetData>
  <mergeCells count="356">
    <mergeCell ref="B98:C98"/>
    <mergeCell ref="F98:H98"/>
    <mergeCell ref="AB94:AB96"/>
    <mergeCell ref="C95:E95"/>
    <mergeCell ref="F95:H95"/>
    <mergeCell ref="C96:E96"/>
    <mergeCell ref="F96:H96"/>
    <mergeCell ref="B97:C97"/>
    <mergeCell ref="C94:E94"/>
    <mergeCell ref="F94:H94"/>
    <mergeCell ref="Q94:Q96"/>
    <mergeCell ref="Y94:Y96"/>
    <mergeCell ref="Z94:Z96"/>
    <mergeCell ref="AA94:AA96"/>
    <mergeCell ref="A90:A93"/>
    <mergeCell ref="C90:E93"/>
    <mergeCell ref="F90:H90"/>
    <mergeCell ref="Q90:Q93"/>
    <mergeCell ref="Y90:Y93"/>
    <mergeCell ref="Z80:Z84"/>
    <mergeCell ref="AA80:AA84"/>
    <mergeCell ref="AB80:AB89"/>
    <mergeCell ref="F81:H81"/>
    <mergeCell ref="F82:H82"/>
    <mergeCell ref="F83:H83"/>
    <mergeCell ref="F84:H84"/>
    <mergeCell ref="F85:H85"/>
    <mergeCell ref="Y85:Y89"/>
    <mergeCell ref="Z85:Z89"/>
    <mergeCell ref="Z90:Z93"/>
    <mergeCell ref="AA90:AA93"/>
    <mergeCell ref="AB90:AB93"/>
    <mergeCell ref="F91:H91"/>
    <mergeCell ref="F92:H92"/>
    <mergeCell ref="F93:H93"/>
    <mergeCell ref="AA85:AA89"/>
    <mergeCell ref="F86:H86"/>
    <mergeCell ref="F87:H87"/>
    <mergeCell ref="A80:A89"/>
    <mergeCell ref="C80:E84"/>
    <mergeCell ref="F80:H80"/>
    <mergeCell ref="Q80:Q89"/>
    <mergeCell ref="Y80:Y84"/>
    <mergeCell ref="C85:E89"/>
    <mergeCell ref="AA70:AA74"/>
    <mergeCell ref="F71:H71"/>
    <mergeCell ref="F72:H72"/>
    <mergeCell ref="F73:H73"/>
    <mergeCell ref="F74:H74"/>
    <mergeCell ref="F75:H75"/>
    <mergeCell ref="Y75:Y79"/>
    <mergeCell ref="Z75:Z79"/>
    <mergeCell ref="AA75:AA79"/>
    <mergeCell ref="A70:A79"/>
    <mergeCell ref="C70:E74"/>
    <mergeCell ref="F70:H70"/>
    <mergeCell ref="Q70:Q79"/>
    <mergeCell ref="Y70:Y74"/>
    <mergeCell ref="Z70:Z74"/>
    <mergeCell ref="C75:E79"/>
    <mergeCell ref="F88:H88"/>
    <mergeCell ref="F89:H89"/>
    <mergeCell ref="F76:H76"/>
    <mergeCell ref="F77:H77"/>
    <mergeCell ref="F78:H78"/>
    <mergeCell ref="Y65:Y69"/>
    <mergeCell ref="Z65:Z69"/>
    <mergeCell ref="AA65:AA69"/>
    <mergeCell ref="AB65:AB69"/>
    <mergeCell ref="F66:H66"/>
    <mergeCell ref="F67:H67"/>
    <mergeCell ref="F68:H68"/>
    <mergeCell ref="F69:H69"/>
    <mergeCell ref="AB70:AB74"/>
    <mergeCell ref="AB75:AB79"/>
    <mergeCell ref="F79:H79"/>
    <mergeCell ref="C64:E64"/>
    <mergeCell ref="F64:H64"/>
    <mergeCell ref="A65:A69"/>
    <mergeCell ref="C65:E69"/>
    <mergeCell ref="F65:H65"/>
    <mergeCell ref="Q65:Q69"/>
    <mergeCell ref="AB61:AB62"/>
    <mergeCell ref="C62:E62"/>
    <mergeCell ref="F62:H62"/>
    <mergeCell ref="A63:A64"/>
    <mergeCell ref="C63:E63"/>
    <mergeCell ref="F63:H63"/>
    <mergeCell ref="I63:I64"/>
    <mergeCell ref="Q63:Q64"/>
    <mergeCell ref="Y63:Y64"/>
    <mergeCell ref="AB63:AB64"/>
    <mergeCell ref="A61:A62"/>
    <mergeCell ref="C61:E61"/>
    <mergeCell ref="F61:H61"/>
    <mergeCell ref="I61:I62"/>
    <mergeCell ref="Q61:Q62"/>
    <mergeCell ref="Y61:Y62"/>
    <mergeCell ref="A59:A60"/>
    <mergeCell ref="C59:E59"/>
    <mergeCell ref="F59:H59"/>
    <mergeCell ref="Q59:Q60"/>
    <mergeCell ref="Y59:Y60"/>
    <mergeCell ref="AB59:AB60"/>
    <mergeCell ref="C60:E60"/>
    <mergeCell ref="F60:H60"/>
    <mergeCell ref="A57:A58"/>
    <mergeCell ref="C57:E57"/>
    <mergeCell ref="F57:H57"/>
    <mergeCell ref="Q57:Q58"/>
    <mergeCell ref="Y57:Y58"/>
    <mergeCell ref="AB57:AB58"/>
    <mergeCell ref="C58:E58"/>
    <mergeCell ref="F58:H58"/>
    <mergeCell ref="A55:A56"/>
    <mergeCell ref="C55:E55"/>
    <mergeCell ref="F55:H55"/>
    <mergeCell ref="Q55:Q56"/>
    <mergeCell ref="Y55:Y56"/>
    <mergeCell ref="AB55:AB56"/>
    <mergeCell ref="C56:E56"/>
    <mergeCell ref="F56:H56"/>
    <mergeCell ref="A53:A54"/>
    <mergeCell ref="C53:E53"/>
    <mergeCell ref="F53:H53"/>
    <mergeCell ref="Q53:Q54"/>
    <mergeCell ref="Y53:Y54"/>
    <mergeCell ref="AB53:AB54"/>
    <mergeCell ref="C54:E54"/>
    <mergeCell ref="F54:H54"/>
    <mergeCell ref="AB49:AB52"/>
    <mergeCell ref="C50:E50"/>
    <mergeCell ref="F50:H50"/>
    <mergeCell ref="A51:A52"/>
    <mergeCell ref="C51:E51"/>
    <mergeCell ref="F51:H51"/>
    <mergeCell ref="I51:I52"/>
    <mergeCell ref="Y51:Y52"/>
    <mergeCell ref="C52:E52"/>
    <mergeCell ref="A49:A50"/>
    <mergeCell ref="C49:E49"/>
    <mergeCell ref="F49:H49"/>
    <mergeCell ref="I49:I50"/>
    <mergeCell ref="Q49:Q52"/>
    <mergeCell ref="F52:H52"/>
    <mergeCell ref="Y49:Y50"/>
    <mergeCell ref="AB45:AB46"/>
    <mergeCell ref="C46:E46"/>
    <mergeCell ref="F46:H46"/>
    <mergeCell ref="A47:A48"/>
    <mergeCell ref="C47:E47"/>
    <mergeCell ref="F47:H47"/>
    <mergeCell ref="Q47:Q48"/>
    <mergeCell ref="Y47:Y48"/>
    <mergeCell ref="AB47:AB48"/>
    <mergeCell ref="C48:E48"/>
    <mergeCell ref="A45:A46"/>
    <mergeCell ref="C45:E45"/>
    <mergeCell ref="F45:H45"/>
    <mergeCell ref="I45:I46"/>
    <mergeCell ref="Q45:Q46"/>
    <mergeCell ref="Y45:Y46"/>
    <mergeCell ref="F48:H48"/>
    <mergeCell ref="AC38:AF38"/>
    <mergeCell ref="AC40:AF40"/>
    <mergeCell ref="A41:A42"/>
    <mergeCell ref="C41:E41"/>
    <mergeCell ref="F41:H41"/>
    <mergeCell ref="Y41:Y42"/>
    <mergeCell ref="AB41:AB44"/>
    <mergeCell ref="C42:E42"/>
    <mergeCell ref="F42:H42"/>
    <mergeCell ref="A43:A44"/>
    <mergeCell ref="C43:E43"/>
    <mergeCell ref="A39:A40"/>
    <mergeCell ref="C39:E39"/>
    <mergeCell ref="F39:H39"/>
    <mergeCell ref="I39:I40"/>
    <mergeCell ref="Y39:Y40"/>
    <mergeCell ref="AB39:AB40"/>
    <mergeCell ref="C40:E40"/>
    <mergeCell ref="F40:H40"/>
    <mergeCell ref="F43:H43"/>
    <mergeCell ref="Y43:Y44"/>
    <mergeCell ref="C44:E44"/>
    <mergeCell ref="F44:H44"/>
    <mergeCell ref="Q33:Q38"/>
    <mergeCell ref="A33:A34"/>
    <mergeCell ref="C33:E33"/>
    <mergeCell ref="F33:H33"/>
    <mergeCell ref="I33:I34"/>
    <mergeCell ref="Y33:Y34"/>
    <mergeCell ref="AB33:AB38"/>
    <mergeCell ref="C34:E34"/>
    <mergeCell ref="F34:H34"/>
    <mergeCell ref="AC34:AF34"/>
    <mergeCell ref="A35:A36"/>
    <mergeCell ref="C35:E35"/>
    <mergeCell ref="F35:H35"/>
    <mergeCell ref="I35:I36"/>
    <mergeCell ref="Y35:Y36"/>
    <mergeCell ref="C36:E36"/>
    <mergeCell ref="F36:H36"/>
    <mergeCell ref="AC36:AF36"/>
    <mergeCell ref="A37:A38"/>
    <mergeCell ref="C37:E37"/>
    <mergeCell ref="F37:H37"/>
    <mergeCell ref="I37:I38"/>
    <mergeCell ref="Y37:Y38"/>
    <mergeCell ref="C38:E38"/>
    <mergeCell ref="F38:H38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C26:AF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28:AF28"/>
    <mergeCell ref="A25:A26"/>
    <mergeCell ref="C25:E25"/>
    <mergeCell ref="F25:H25"/>
    <mergeCell ref="I25:I26"/>
    <mergeCell ref="Q25:Q26"/>
    <mergeCell ref="Y25:Y26"/>
    <mergeCell ref="AB25:AB26"/>
    <mergeCell ref="C26:E26"/>
    <mergeCell ref="F26:H26"/>
    <mergeCell ref="A23:A24"/>
    <mergeCell ref="C23:E23"/>
    <mergeCell ref="F23:H23"/>
    <mergeCell ref="I23:I24"/>
    <mergeCell ref="Q23:Q24"/>
    <mergeCell ref="Y23:Y24"/>
    <mergeCell ref="AB23:AB24"/>
    <mergeCell ref="C24:E24"/>
    <mergeCell ref="F24:H24"/>
    <mergeCell ref="N13:P13"/>
    <mergeCell ref="C20:E20"/>
    <mergeCell ref="F20:H20"/>
    <mergeCell ref="A21:A22"/>
    <mergeCell ref="C21:E21"/>
    <mergeCell ref="F21:H21"/>
    <mergeCell ref="I21:I22"/>
    <mergeCell ref="AB17:AB18"/>
    <mergeCell ref="C18:E18"/>
    <mergeCell ref="F18:H18"/>
    <mergeCell ref="A19:A20"/>
    <mergeCell ref="C19:E19"/>
    <mergeCell ref="F19:H19"/>
    <mergeCell ref="I19:I20"/>
    <mergeCell ref="Q19:Q20"/>
    <mergeCell ref="Y19:Y20"/>
    <mergeCell ref="AB19:AB20"/>
    <mergeCell ref="Q21:Q22"/>
    <mergeCell ref="Y21:Y22"/>
    <mergeCell ref="AB21:AB22"/>
    <mergeCell ref="C22:E22"/>
    <mergeCell ref="F22:H22"/>
    <mergeCell ref="AB15:AB16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Q41:Q44"/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3" orientation="portrait" r:id="rId1"/>
  <headerFooter alignWithMargins="0"/>
  <rowBreaks count="1" manualBreakCount="1">
    <brk id="69" max="27" man="1"/>
  </rowBreaks>
  <colBreaks count="1" manualBreakCount="1">
    <brk id="2" max="4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672D-184A-45A9-994C-7A83E6DB2BB4}">
  <sheetPr>
    <pageSetUpPr fitToPage="1"/>
  </sheetPr>
  <dimension ref="A1:AF121"/>
  <sheetViews>
    <sheetView view="pageBreakPreview" topLeftCell="A47" zoomScale="75" zoomScaleNormal="100" zoomScaleSheetLayoutView="75" workbookViewId="0">
      <selection activeCell="Q44" sqref="Q44:Q52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202</v>
      </c>
      <c r="C2" s="548"/>
      <c r="D2" s="548"/>
      <c r="E2" s="548"/>
      <c r="F2" s="548"/>
      <c r="G2" s="549"/>
      <c r="H2" s="180" t="s">
        <v>1</v>
      </c>
      <c r="I2" s="550">
        <f>I11</f>
        <v>1407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317</v>
      </c>
      <c r="D5" s="182">
        <v>280</v>
      </c>
      <c r="E5" s="182">
        <v>100</v>
      </c>
      <c r="F5" s="182"/>
      <c r="G5" s="182"/>
      <c r="H5" s="542" t="s">
        <v>24</v>
      </c>
      <c r="I5" s="524">
        <f t="shared" ref="I5:I11" si="0">SUM(C5:G5)</f>
        <v>697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125</v>
      </c>
      <c r="B6" s="523"/>
      <c r="C6" s="182">
        <v>340</v>
      </c>
      <c r="D6" s="182">
        <v>280</v>
      </c>
      <c r="E6" s="182">
        <v>90</v>
      </c>
      <c r="F6" s="182"/>
      <c r="G6" s="182"/>
      <c r="H6" s="537"/>
      <c r="I6" s="524">
        <f t="shared" si="0"/>
        <v>710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 t="s">
        <v>248</v>
      </c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45980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657</v>
      </c>
      <c r="D11" s="181">
        <f>SUM(D5:D10)</f>
        <v>560</v>
      </c>
      <c r="E11" s="181">
        <f>SUM(E5:E10)</f>
        <v>190</v>
      </c>
      <c r="F11" s="181">
        <f>SUM(F5:F10)</f>
        <v>0</v>
      </c>
      <c r="G11" s="181">
        <f>SUM(G5:G10)</f>
        <v>0</v>
      </c>
      <c r="H11" s="182"/>
      <c r="I11" s="481">
        <f t="shared" si="0"/>
        <v>1407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46080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670.14</v>
      </c>
      <c r="D12" s="43">
        <f>D11*1.02</f>
        <v>571.20000000000005</v>
      </c>
      <c r="E12" s="43">
        <f>E11*1.02</f>
        <v>193.8</v>
      </c>
      <c r="F12" s="43">
        <f>F11*1.02</f>
        <v>0</v>
      </c>
      <c r="G12" s="43">
        <f>G11*1.02</f>
        <v>0</v>
      </c>
      <c r="H12" s="44"/>
      <c r="I12" s="486">
        <f>I11*1.02</f>
        <v>1435.14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697</v>
      </c>
      <c r="C15" s="474" t="str">
        <f t="shared" ref="C15:C29" si="2">$A$5</f>
        <v>BK</v>
      </c>
      <c r="D15" s="475"/>
      <c r="E15" s="476"/>
      <c r="F15" s="474"/>
      <c r="G15" s="475"/>
      <c r="H15" s="476"/>
      <c r="I15" s="297" t="s">
        <v>58</v>
      </c>
      <c r="J15" s="65" t="s">
        <v>6</v>
      </c>
      <c r="K15" s="66">
        <v>1.53</v>
      </c>
      <c r="L15" s="67" t="s">
        <v>7</v>
      </c>
      <c r="M15" s="68">
        <f>K15*B15</f>
        <v>1066.4100000000001</v>
      </c>
      <c r="N15" s="69"/>
      <c r="O15" s="70"/>
      <c r="P15" s="67" t="s">
        <v>7</v>
      </c>
      <c r="Q15" s="478">
        <v>45996</v>
      </c>
      <c r="R15" s="293">
        <v>1067</v>
      </c>
      <c r="S15" s="71" t="s">
        <v>7</v>
      </c>
      <c r="T15" s="123">
        <f t="shared" ref="T15:T109" si="3">R15-M15</f>
        <v>0.58999999999991815</v>
      </c>
      <c r="U15" s="72"/>
      <c r="V15" s="72"/>
      <c r="W15" s="73"/>
      <c r="X15" s="74"/>
      <c r="Y15" s="479" t="s">
        <v>203</v>
      </c>
      <c r="Z15" s="63"/>
      <c r="AA15" s="64"/>
      <c r="AB15" s="360" t="s">
        <v>211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710</v>
      </c>
      <c r="C16" s="368" t="str">
        <f>$A$6</f>
        <v>IV</v>
      </c>
      <c r="D16" s="369"/>
      <c r="E16" s="370"/>
      <c r="F16" s="368"/>
      <c r="G16" s="369"/>
      <c r="H16" s="370"/>
      <c r="I16" s="75" t="s">
        <v>99</v>
      </c>
      <c r="J16" s="76" t="s">
        <v>6</v>
      </c>
      <c r="K16" s="83">
        <v>1.53</v>
      </c>
      <c r="L16" s="77" t="s">
        <v>7</v>
      </c>
      <c r="M16" s="78">
        <f t="shared" ref="M16:M88" si="4">K16*B16</f>
        <v>1086.3</v>
      </c>
      <c r="N16" s="79"/>
      <c r="O16" s="128"/>
      <c r="P16" s="77" t="s">
        <v>7</v>
      </c>
      <c r="Q16" s="447"/>
      <c r="R16" s="137">
        <v>1087</v>
      </c>
      <c r="S16" s="75" t="s">
        <v>7</v>
      </c>
      <c r="T16" s="81">
        <f t="shared" si="3"/>
        <v>0.70000000000004547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296" t="s">
        <v>58</v>
      </c>
      <c r="J17" s="76" t="s">
        <v>6</v>
      </c>
      <c r="K17" s="83"/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697</v>
      </c>
      <c r="C18" s="461" t="str">
        <f t="shared" si="2"/>
        <v>BK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710</v>
      </c>
      <c r="C19" s="461" t="str">
        <f>$A$6</f>
        <v>IV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697</v>
      </c>
      <c r="C20" s="465" t="str">
        <f t="shared" ref="C20" si="6">$A$5</f>
        <v>BK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>
        <v>7.0000000000000007E-2</v>
      </c>
      <c r="L20" s="194" t="s">
        <v>7</v>
      </c>
      <c r="M20" s="195">
        <f t="shared" si="4"/>
        <v>48.790000000000006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-48.790000000000006</v>
      </c>
      <c r="U20" s="199"/>
      <c r="V20" s="200"/>
      <c r="W20" s="195"/>
      <c r="X20" s="195"/>
      <c r="Y20" s="437" t="s">
        <v>93</v>
      </c>
      <c r="Z20" s="235"/>
      <c r="AA20" s="202"/>
      <c r="AB20" s="439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710</v>
      </c>
      <c r="C21" s="465" t="str">
        <f>$A$6</f>
        <v>IV</v>
      </c>
      <c r="D21" s="465"/>
      <c r="E21" s="465"/>
      <c r="F21" s="465"/>
      <c r="G21" s="465"/>
      <c r="H21" s="465"/>
      <c r="I21" s="560"/>
      <c r="J21" s="192" t="s">
        <v>6</v>
      </c>
      <c r="K21" s="209"/>
      <c r="L21" s="194" t="s">
        <v>7</v>
      </c>
      <c r="M21" s="195">
        <f t="shared" si="4"/>
        <v>0</v>
      </c>
      <c r="N21" s="196"/>
      <c r="O21" s="210"/>
      <c r="P21" s="194" t="s">
        <v>7</v>
      </c>
      <c r="Q21" s="561"/>
      <c r="R21" s="236"/>
      <c r="S21" s="207" t="s">
        <v>7</v>
      </c>
      <c r="T21" s="198">
        <f t="shared" si="3"/>
        <v>0</v>
      </c>
      <c r="U21" s="211"/>
      <c r="V21" s="211"/>
      <c r="W21" s="212"/>
      <c r="X21" s="213"/>
      <c r="Y21" s="562"/>
      <c r="Z21" s="214"/>
      <c r="AA21" s="202"/>
      <c r="AB21" s="55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0</v>
      </c>
      <c r="C22" s="465">
        <f>$A$7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440"/>
      <c r="AC22" s="229"/>
      <c r="AD22" s="230"/>
      <c r="AE22" s="230"/>
      <c r="AF22" s="230"/>
    </row>
    <row r="23" spans="1:32" s="55" customFormat="1" ht="69.95" customHeight="1" x14ac:dyDescent="0.15">
      <c r="A23" s="431" t="s">
        <v>85</v>
      </c>
      <c r="B23" s="182">
        <f t="shared" si="1"/>
        <v>697</v>
      </c>
      <c r="C23" s="461" t="str">
        <f t="shared" si="2"/>
        <v>BK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181.22</v>
      </c>
      <c r="N23" s="79"/>
      <c r="O23" s="78"/>
      <c r="P23" s="80" t="s">
        <v>7</v>
      </c>
      <c r="Q23" s="443">
        <v>45996</v>
      </c>
      <c r="R23" s="78">
        <v>182</v>
      </c>
      <c r="S23" s="80" t="s">
        <v>7</v>
      </c>
      <c r="T23" s="81">
        <f t="shared" si="3"/>
        <v>0.78000000000000114</v>
      </c>
      <c r="U23" s="82"/>
      <c r="V23" s="137"/>
      <c r="W23" s="78"/>
      <c r="X23" s="78"/>
      <c r="Y23" s="445" t="s">
        <v>93</v>
      </c>
      <c r="Z23" s="138"/>
      <c r="AA23" s="135"/>
      <c r="AB23" s="360" t="s">
        <v>209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/>
      <c r="C24" s="594" t="s">
        <v>290</v>
      </c>
      <c r="D24" s="594"/>
      <c r="E24" s="594"/>
      <c r="F24" s="461"/>
      <c r="G24" s="461"/>
      <c r="H24" s="461"/>
      <c r="I24" s="563"/>
      <c r="J24" s="76" t="s">
        <v>6</v>
      </c>
      <c r="K24" s="136"/>
      <c r="L24" s="77" t="s">
        <v>7</v>
      </c>
      <c r="M24" s="78">
        <f t="shared" si="4"/>
        <v>0</v>
      </c>
      <c r="N24" s="79"/>
      <c r="O24" s="128"/>
      <c r="P24" s="77" t="s">
        <v>7</v>
      </c>
      <c r="Q24" s="447"/>
      <c r="R24" s="130"/>
      <c r="S24" s="75" t="s">
        <v>7</v>
      </c>
      <c r="T24" s="81">
        <f t="shared" si="3"/>
        <v>0</v>
      </c>
      <c r="U24" s="131"/>
      <c r="V24" s="131"/>
      <c r="W24" s="132"/>
      <c r="X24" s="133"/>
      <c r="Y24" s="557"/>
      <c r="Z24" s="228"/>
      <c r="AA24" s="228"/>
      <c r="AB24" s="361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/>
      <c r="C25" s="461"/>
      <c r="D25" s="461"/>
      <c r="E25" s="461"/>
      <c r="F25" s="461"/>
      <c r="G25" s="461"/>
      <c r="H25" s="461"/>
      <c r="I25" s="442"/>
      <c r="J25" s="76" t="s">
        <v>6</v>
      </c>
      <c r="K25" s="136"/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362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82"/>
      <c r="C26" s="594" t="s">
        <v>290</v>
      </c>
      <c r="D26" s="594"/>
      <c r="E26" s="594"/>
      <c r="F26" s="461"/>
      <c r="G26" s="461"/>
      <c r="H26" s="461"/>
      <c r="I26" s="441" t="s">
        <v>8</v>
      </c>
      <c r="J26" s="76" t="s">
        <v>6</v>
      </c>
      <c r="K26" s="136"/>
      <c r="L26" s="77" t="s">
        <v>7</v>
      </c>
      <c r="M26" s="78">
        <f t="shared" ref="M26:M28" si="7">K26*B26</f>
        <v>0</v>
      </c>
      <c r="N26" s="79"/>
      <c r="O26" s="78"/>
      <c r="P26" s="80" t="s">
        <v>7</v>
      </c>
      <c r="Q26" s="443">
        <v>45996</v>
      </c>
      <c r="R26" s="78"/>
      <c r="S26" s="80" t="s">
        <v>7</v>
      </c>
      <c r="T26" s="81">
        <f t="shared" ref="T26:T28" si="8">R26-M26</f>
        <v>0</v>
      </c>
      <c r="U26" s="82"/>
      <c r="V26" s="137"/>
      <c r="W26" s="78"/>
      <c r="X26" s="78"/>
      <c r="Y26" s="445" t="s">
        <v>93</v>
      </c>
      <c r="Z26" s="138"/>
      <c r="AA26" s="135"/>
      <c r="AB26" s="360" t="s">
        <v>209</v>
      </c>
      <c r="AC26" s="178"/>
      <c r="AD26" s="179"/>
      <c r="AE26" s="179"/>
      <c r="AF26" s="179"/>
    </row>
    <row r="27" spans="1:32" s="55" customFormat="1" ht="69.95" customHeight="1" x14ac:dyDescent="0.15">
      <c r="A27" s="559"/>
      <c r="B27" s="182">
        <f>$I$6</f>
        <v>710</v>
      </c>
      <c r="C27" s="461" t="str">
        <f>$A$6</f>
        <v>IV</v>
      </c>
      <c r="D27" s="461"/>
      <c r="E27" s="461"/>
      <c r="F27" s="461"/>
      <c r="G27" s="461"/>
      <c r="H27" s="461"/>
      <c r="I27" s="563"/>
      <c r="J27" s="76" t="s">
        <v>6</v>
      </c>
      <c r="K27" s="136">
        <v>1.65</v>
      </c>
      <c r="L27" s="77" t="s">
        <v>7</v>
      </c>
      <c r="M27" s="78">
        <f t="shared" si="7"/>
        <v>1171.5</v>
      </c>
      <c r="N27" s="79"/>
      <c r="O27" s="128"/>
      <c r="P27" s="77" t="s">
        <v>7</v>
      </c>
      <c r="Q27" s="447"/>
      <c r="R27" s="130">
        <v>1172</v>
      </c>
      <c r="S27" s="75" t="s">
        <v>7</v>
      </c>
      <c r="T27" s="81">
        <f t="shared" si="8"/>
        <v>0.5</v>
      </c>
      <c r="U27" s="131"/>
      <c r="V27" s="131"/>
      <c r="W27" s="132"/>
      <c r="X27" s="133"/>
      <c r="Y27" s="557"/>
      <c r="Z27" s="228"/>
      <c r="AA27" s="228"/>
      <c r="AB27" s="361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82">
        <f>$I$7</f>
        <v>0</v>
      </c>
      <c r="C28" s="461">
        <f>$A$7</f>
        <v>0</v>
      </c>
      <c r="D28" s="461"/>
      <c r="E28" s="461"/>
      <c r="F28" s="461"/>
      <c r="G28" s="461"/>
      <c r="H28" s="461"/>
      <c r="I28" s="442"/>
      <c r="J28" s="76" t="s">
        <v>6</v>
      </c>
      <c r="K28" s="136"/>
      <c r="L28" s="77" t="s">
        <v>7</v>
      </c>
      <c r="M28" s="78">
        <f t="shared" si="7"/>
        <v>0</v>
      </c>
      <c r="N28" s="79"/>
      <c r="O28" s="128"/>
      <c r="P28" s="77" t="s">
        <v>7</v>
      </c>
      <c r="Q28" s="444"/>
      <c r="R28" s="130"/>
      <c r="S28" s="75" t="s">
        <v>7</v>
      </c>
      <c r="T28" s="81">
        <f t="shared" si="8"/>
        <v>0</v>
      </c>
      <c r="U28" s="131"/>
      <c r="V28" s="131"/>
      <c r="W28" s="132"/>
      <c r="X28" s="133"/>
      <c r="Y28" s="446"/>
      <c r="Z28" s="228"/>
      <c r="AA28" s="228"/>
      <c r="AB28" s="362"/>
      <c r="AC28" s="178"/>
      <c r="AD28" s="179"/>
      <c r="AE28" s="179"/>
      <c r="AF28" s="179"/>
    </row>
    <row r="29" spans="1:32" s="176" customFormat="1" ht="69.95" customHeight="1" x14ac:dyDescent="0.15">
      <c r="A29" s="431" t="s">
        <v>107</v>
      </c>
      <c r="B29" s="239">
        <f t="shared" si="1"/>
        <v>697</v>
      </c>
      <c r="C29" s="456" t="str">
        <f t="shared" si="2"/>
        <v>BK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0.1</v>
      </c>
      <c r="L29" s="168" t="s">
        <v>7</v>
      </c>
      <c r="M29" s="242">
        <f t="shared" si="4"/>
        <v>69.7</v>
      </c>
      <c r="N29" s="243"/>
      <c r="O29" s="242"/>
      <c r="P29" s="244" t="s">
        <v>7</v>
      </c>
      <c r="Q29" s="376">
        <v>45996</v>
      </c>
      <c r="R29" s="245">
        <v>70</v>
      </c>
      <c r="S29" s="244" t="s">
        <v>7</v>
      </c>
      <c r="T29" s="245">
        <f t="shared" si="3"/>
        <v>0.29999999999999716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210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710</v>
      </c>
      <c r="C30" s="456" t="str">
        <f>$A$6</f>
        <v>IV</v>
      </c>
      <c r="D30" s="456"/>
      <c r="E30" s="456"/>
      <c r="F30" s="456"/>
      <c r="G30" s="456"/>
      <c r="H30" s="456"/>
      <c r="I30" s="564"/>
      <c r="J30" s="240" t="s">
        <v>6</v>
      </c>
      <c r="K30" s="241">
        <v>0.1</v>
      </c>
      <c r="L30" s="168" t="s">
        <v>7</v>
      </c>
      <c r="M30" s="242">
        <f t="shared" si="4"/>
        <v>71</v>
      </c>
      <c r="N30" s="243"/>
      <c r="O30" s="253"/>
      <c r="P30" s="168" t="s">
        <v>7</v>
      </c>
      <c r="Q30" s="377"/>
      <c r="R30" s="254">
        <v>71</v>
      </c>
      <c r="S30" s="255" t="s">
        <v>7</v>
      </c>
      <c r="T30" s="245">
        <f t="shared" si="3"/>
        <v>0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/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8"/>
      <c r="R31" s="254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108</v>
      </c>
      <c r="B32" s="239">
        <f>$I$5</f>
        <v>697</v>
      </c>
      <c r="C32" s="456" t="str">
        <f>$A$5</f>
        <v>BK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0.11</v>
      </c>
      <c r="L32" s="168" t="s">
        <v>7</v>
      </c>
      <c r="M32" s="242">
        <f>K32*B32</f>
        <v>76.67</v>
      </c>
      <c r="N32" s="243"/>
      <c r="O32" s="242"/>
      <c r="P32" s="244" t="s">
        <v>7</v>
      </c>
      <c r="Q32" s="376">
        <v>45996</v>
      </c>
      <c r="R32" s="242">
        <v>77</v>
      </c>
      <c r="S32" s="244" t="s">
        <v>9</v>
      </c>
      <c r="T32" s="245">
        <f t="shared" si="3"/>
        <v>0.32999999999999829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710</v>
      </c>
      <c r="C33" s="456" t="str">
        <f>$A$6</f>
        <v>IV</v>
      </c>
      <c r="D33" s="456"/>
      <c r="E33" s="456"/>
      <c r="F33" s="456"/>
      <c r="G33" s="456"/>
      <c r="H33" s="456"/>
      <c r="I33" s="564"/>
      <c r="J33" s="240" t="s">
        <v>6</v>
      </c>
      <c r="K33" s="241">
        <v>0.11</v>
      </c>
      <c r="L33" s="168" t="s">
        <v>7</v>
      </c>
      <c r="M33" s="242">
        <f>K33*B33</f>
        <v>78.099999999999994</v>
      </c>
      <c r="N33" s="243"/>
      <c r="O33" s="253"/>
      <c r="P33" s="168" t="s">
        <v>7</v>
      </c>
      <c r="Q33" s="377"/>
      <c r="R33" s="247">
        <v>78</v>
      </c>
      <c r="S33" s="255" t="s">
        <v>9</v>
      </c>
      <c r="T33" s="245">
        <f t="shared" si="3"/>
        <v>-9.9999999999994316E-2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/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697</v>
      </c>
      <c r="C35" s="465" t="str">
        <f>$A$5</f>
        <v>BK</v>
      </c>
      <c r="D35" s="465"/>
      <c r="E35" s="465"/>
      <c r="F35" s="465"/>
      <c r="G35" s="465"/>
      <c r="H35" s="465"/>
      <c r="I35" s="433" t="s">
        <v>110</v>
      </c>
      <c r="J35" s="192"/>
      <c r="K35" s="209">
        <v>1.8</v>
      </c>
      <c r="L35" s="194" t="s">
        <v>7</v>
      </c>
      <c r="M35" s="195">
        <f>K35*B35/100</f>
        <v>12.546000000000001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-12.546000000000001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710</v>
      </c>
      <c r="C36" s="465" t="str">
        <f>$A$6</f>
        <v>IV</v>
      </c>
      <c r="D36" s="465"/>
      <c r="E36" s="465"/>
      <c r="F36" s="465"/>
      <c r="G36" s="465"/>
      <c r="H36" s="465"/>
      <c r="I36" s="560"/>
      <c r="J36" s="192"/>
      <c r="K36" s="208">
        <v>1.8</v>
      </c>
      <c r="L36" s="194" t="s">
        <v>7</v>
      </c>
      <c r="M36" s="195">
        <f>K36*B36/100</f>
        <v>12.78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-12.78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>
        <v>1.8</v>
      </c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86</v>
      </c>
      <c r="B38" s="239">
        <f>$I$5</f>
        <v>697</v>
      </c>
      <c r="C38" s="456" t="str">
        <f>$A$5</f>
        <v>BK</v>
      </c>
      <c r="D38" s="456"/>
      <c r="E38" s="456"/>
      <c r="F38" s="456"/>
      <c r="G38" s="456"/>
      <c r="H38" s="456"/>
      <c r="I38" s="457" t="s">
        <v>76</v>
      </c>
      <c r="J38" s="240"/>
      <c r="K38" s="308">
        <v>2.2999999999999998</v>
      </c>
      <c r="L38" s="168" t="s">
        <v>7</v>
      </c>
      <c r="M38" s="242">
        <f t="shared" ref="M38:M39" si="9">K38*B38/50</f>
        <v>32.061999999999998</v>
      </c>
      <c r="N38" s="243"/>
      <c r="O38" s="242"/>
      <c r="P38" s="244" t="s">
        <v>7</v>
      </c>
      <c r="Q38" s="376">
        <v>45996</v>
      </c>
      <c r="R38" s="309">
        <v>80</v>
      </c>
      <c r="S38" s="244" t="s">
        <v>9</v>
      </c>
      <c r="T38" s="245">
        <f t="shared" si="3"/>
        <v>47.938000000000002</v>
      </c>
      <c r="U38" s="246"/>
      <c r="V38" s="247"/>
      <c r="W38" s="242"/>
      <c r="X38" s="242"/>
      <c r="Y38" s="459" t="s">
        <v>94</v>
      </c>
      <c r="Z38" s="260"/>
      <c r="AA38" s="249"/>
      <c r="AB38" s="448" t="s">
        <v>210</v>
      </c>
    </row>
    <row r="39" spans="1:32" s="261" customFormat="1" ht="69.95" customHeight="1" x14ac:dyDescent="0.15">
      <c r="A39" s="464"/>
      <c r="B39" s="239">
        <f>$I$6</f>
        <v>710</v>
      </c>
      <c r="C39" s="456" t="str">
        <f>$A$6</f>
        <v>IV</v>
      </c>
      <c r="D39" s="456"/>
      <c r="E39" s="456"/>
      <c r="F39" s="456"/>
      <c r="G39" s="456"/>
      <c r="H39" s="456"/>
      <c r="I39" s="564"/>
      <c r="J39" s="240"/>
      <c r="K39" s="308">
        <v>2.2999999999999998</v>
      </c>
      <c r="L39" s="168" t="s">
        <v>7</v>
      </c>
      <c r="M39" s="242">
        <f t="shared" si="9"/>
        <v>32.659999999999997</v>
      </c>
      <c r="N39" s="243"/>
      <c r="O39" s="253"/>
      <c r="P39" s="168" t="s">
        <v>7</v>
      </c>
      <c r="Q39" s="377"/>
      <c r="R39" s="310">
        <v>81</v>
      </c>
      <c r="S39" s="255" t="s">
        <v>9</v>
      </c>
      <c r="T39" s="245">
        <f t="shared" si="3"/>
        <v>48.34</v>
      </c>
      <c r="U39" s="256"/>
      <c r="V39" s="256"/>
      <c r="W39" s="257"/>
      <c r="X39" s="258"/>
      <c r="Y39" s="565"/>
      <c r="Z39" s="259"/>
      <c r="AA39" s="249"/>
      <c r="AB39" s="449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262"/>
      <c r="L40" s="168" t="s">
        <v>7</v>
      </c>
      <c r="M40" s="242">
        <f t="shared" ref="M40:M43" si="10">K40*B40/50</f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450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697</v>
      </c>
      <c r="C41" s="465" t="str">
        <f>$A$5</f>
        <v>BK</v>
      </c>
      <c r="D41" s="465"/>
      <c r="E41" s="465"/>
      <c r="F41" s="465"/>
      <c r="G41" s="465"/>
      <c r="H41" s="465"/>
      <c r="I41" s="433" t="s">
        <v>76</v>
      </c>
      <c r="J41" s="192"/>
      <c r="K41" s="209">
        <v>2.4</v>
      </c>
      <c r="L41" s="194" t="s">
        <v>7</v>
      </c>
      <c r="M41" s="195">
        <f t="shared" si="10"/>
        <v>33.455999999999996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-33.455999999999996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710</v>
      </c>
      <c r="C42" s="465" t="str">
        <f>$A$6</f>
        <v>IV</v>
      </c>
      <c r="D42" s="465"/>
      <c r="E42" s="465"/>
      <c r="F42" s="465"/>
      <c r="G42" s="465"/>
      <c r="H42" s="465"/>
      <c r="I42" s="560"/>
      <c r="J42" s="192"/>
      <c r="K42" s="208">
        <v>2.4</v>
      </c>
      <c r="L42" s="194" t="s">
        <v>7</v>
      </c>
      <c r="M42" s="195">
        <f t="shared" si="10"/>
        <v>34.08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-34.08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>
        <v>2.4</v>
      </c>
      <c r="L43" s="194" t="s">
        <v>7</v>
      </c>
      <c r="M43" s="195">
        <f t="shared" si="10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697</v>
      </c>
      <c r="C44" s="456" t="str">
        <f>$A$5</f>
        <v>BK</v>
      </c>
      <c r="D44" s="456"/>
      <c r="E44" s="456"/>
      <c r="F44" s="456"/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11">K44*B44/2500</f>
        <v>36.244</v>
      </c>
      <c r="N44" s="243"/>
      <c r="O44" s="242"/>
      <c r="P44" s="244" t="s">
        <v>10</v>
      </c>
      <c r="Q44" s="443">
        <v>45996</v>
      </c>
      <c r="R44" s="242">
        <v>37</v>
      </c>
      <c r="S44" s="244" t="s">
        <v>10</v>
      </c>
      <c r="T44" s="245">
        <f t="shared" si="3"/>
        <v>0.75600000000000023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210</v>
      </c>
    </row>
    <row r="45" spans="1:32" s="176" customFormat="1" ht="69.95" customHeight="1" x14ac:dyDescent="0.15">
      <c r="A45" s="559"/>
      <c r="B45" s="264">
        <f>$I$6</f>
        <v>710</v>
      </c>
      <c r="C45" s="413" t="str">
        <f>$A$6</f>
        <v>IV</v>
      </c>
      <c r="D45" s="414"/>
      <c r="E45" s="415"/>
      <c r="F45" s="413"/>
      <c r="G45" s="414"/>
      <c r="H45" s="415"/>
      <c r="I45" s="564"/>
      <c r="J45" s="265"/>
      <c r="K45" s="263">
        <v>130</v>
      </c>
      <c r="L45" s="266" t="s">
        <v>61</v>
      </c>
      <c r="M45" s="242">
        <f t="shared" si="11"/>
        <v>36.92</v>
      </c>
      <c r="N45" s="267"/>
      <c r="O45" s="268"/>
      <c r="P45" s="266" t="s">
        <v>10</v>
      </c>
      <c r="Q45" s="447"/>
      <c r="R45" s="269">
        <v>37</v>
      </c>
      <c r="S45" s="252" t="s">
        <v>10</v>
      </c>
      <c r="T45" s="270">
        <f t="shared" si="3"/>
        <v>7.9999999999998295E-2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/>
      <c r="G46" s="414"/>
      <c r="H46" s="415"/>
      <c r="I46" s="458"/>
      <c r="J46" s="265"/>
      <c r="K46" s="263"/>
      <c r="L46" s="266" t="s">
        <v>61</v>
      </c>
      <c r="M46" s="242">
        <f t="shared" si="11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697</v>
      </c>
      <c r="C47" s="456" t="str">
        <f>$A$5</f>
        <v>BK</v>
      </c>
      <c r="D47" s="456"/>
      <c r="E47" s="456"/>
      <c r="F47" s="456"/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12">K47*B47/4000</f>
        <v>38.335000000000001</v>
      </c>
      <c r="N47" s="243"/>
      <c r="O47" s="242"/>
      <c r="P47" s="244" t="s">
        <v>10</v>
      </c>
      <c r="Q47" s="447"/>
      <c r="R47" s="242">
        <v>39</v>
      </c>
      <c r="S47" s="244" t="s">
        <v>10</v>
      </c>
      <c r="T47" s="245">
        <f t="shared" si="3"/>
        <v>0.66499999999999915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710</v>
      </c>
      <c r="C48" s="413" t="str">
        <f>$A$6</f>
        <v>IV</v>
      </c>
      <c r="D48" s="414"/>
      <c r="E48" s="415"/>
      <c r="F48" s="413"/>
      <c r="G48" s="414"/>
      <c r="H48" s="415"/>
      <c r="I48" s="564"/>
      <c r="J48" s="265"/>
      <c r="K48" s="263">
        <v>220</v>
      </c>
      <c r="L48" s="266" t="s">
        <v>61</v>
      </c>
      <c r="M48" s="242">
        <f t="shared" si="12"/>
        <v>39.049999999999997</v>
      </c>
      <c r="N48" s="267"/>
      <c r="O48" s="268"/>
      <c r="P48" s="266" t="s">
        <v>10</v>
      </c>
      <c r="Q48" s="447"/>
      <c r="R48" s="269">
        <v>40</v>
      </c>
      <c r="S48" s="252" t="s">
        <v>10</v>
      </c>
      <c r="T48" s="270">
        <f t="shared" si="3"/>
        <v>0.95000000000000284</v>
      </c>
      <c r="U48" s="271"/>
      <c r="V48" s="271"/>
      <c r="W48" s="272"/>
      <c r="X48" s="273"/>
      <c r="Y48" s="565"/>
      <c r="Z48" s="259"/>
      <c r="AA48" s="249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/>
      <c r="G49" s="414"/>
      <c r="H49" s="415"/>
      <c r="I49" s="458"/>
      <c r="J49" s="265"/>
      <c r="K49" s="263"/>
      <c r="L49" s="266" t="s">
        <v>61</v>
      </c>
      <c r="M49" s="242">
        <f t="shared" si="12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59"/>
      <c r="AA49" s="249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208</v>
      </c>
      <c r="B50" s="182">
        <f>$I$5</f>
        <v>697</v>
      </c>
      <c r="C50" s="461" t="str">
        <f>$A$5</f>
        <v>BK</v>
      </c>
      <c r="D50" s="461"/>
      <c r="E50" s="461"/>
      <c r="F50" s="461"/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12"/>
        <v>1.7424999999999999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si="3"/>
        <v>0.25750000000000006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710</v>
      </c>
      <c r="C51" s="395" t="str">
        <f>$A$6</f>
        <v>IV</v>
      </c>
      <c r="D51" s="396"/>
      <c r="E51" s="397"/>
      <c r="F51" s="395"/>
      <c r="G51" s="396"/>
      <c r="H51" s="397"/>
      <c r="I51" s="563"/>
      <c r="J51" s="144"/>
      <c r="K51" s="139">
        <v>10</v>
      </c>
      <c r="L51" s="145" t="s">
        <v>61</v>
      </c>
      <c r="M51" s="78">
        <f t="shared" si="12"/>
        <v>1.7749999999999999</v>
      </c>
      <c r="N51" s="146"/>
      <c r="O51" s="147"/>
      <c r="P51" s="145" t="s">
        <v>10</v>
      </c>
      <c r="Q51" s="447"/>
      <c r="R51" s="161">
        <v>2</v>
      </c>
      <c r="S51" s="148" t="s">
        <v>10</v>
      </c>
      <c r="T51" s="84">
        <f t="shared" si="3"/>
        <v>0.22500000000000009</v>
      </c>
      <c r="U51" s="149"/>
      <c r="V51" s="149"/>
      <c r="W51" s="150"/>
      <c r="X51" s="151"/>
      <c r="Y51" s="557"/>
      <c r="Z51" s="134"/>
      <c r="AA51" s="135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/>
      <c r="G52" s="396"/>
      <c r="H52" s="397"/>
      <c r="I52" s="442"/>
      <c r="J52" s="144"/>
      <c r="K52" s="139"/>
      <c r="L52" s="145" t="s">
        <v>61</v>
      </c>
      <c r="M52" s="78">
        <f t="shared" si="12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134"/>
      <c r="AA52" s="135"/>
      <c r="AB52" s="362"/>
      <c r="AC52" s="451"/>
      <c r="AD52" s="452"/>
      <c r="AE52" s="452"/>
      <c r="AF52" s="452"/>
    </row>
    <row r="53" spans="1:32" s="261" customFormat="1" ht="69.95" customHeight="1" x14ac:dyDescent="0.15">
      <c r="A53" s="431" t="s">
        <v>291</v>
      </c>
      <c r="B53" s="264">
        <f>$I$6</f>
        <v>710</v>
      </c>
      <c r="C53" s="413" t="str">
        <f>$A$6</f>
        <v>IV</v>
      </c>
      <c r="D53" s="414"/>
      <c r="E53" s="415"/>
      <c r="F53" s="413"/>
      <c r="G53" s="414"/>
      <c r="H53" s="415"/>
      <c r="I53" s="457" t="s">
        <v>60</v>
      </c>
      <c r="J53" s="240"/>
      <c r="K53" s="263">
        <v>150</v>
      </c>
      <c r="L53" s="168" t="s">
        <v>61</v>
      </c>
      <c r="M53" s="242">
        <f t="shared" ref="M53:M55" si="13">K53*B53/4000</f>
        <v>26.625</v>
      </c>
      <c r="N53" s="243"/>
      <c r="O53" s="242"/>
      <c r="P53" s="244" t="s">
        <v>10</v>
      </c>
      <c r="Q53" s="443">
        <v>46078</v>
      </c>
      <c r="R53" s="242">
        <v>30</v>
      </c>
      <c r="S53" s="244" t="s">
        <v>10</v>
      </c>
      <c r="T53" s="245">
        <f t="shared" ref="T53:T55" si="14">R53-M53</f>
        <v>3.375</v>
      </c>
      <c r="U53" s="246"/>
      <c r="V53" s="247"/>
      <c r="W53" s="242"/>
      <c r="X53" s="242"/>
      <c r="Y53" s="459" t="s">
        <v>94</v>
      </c>
      <c r="Z53" s="260"/>
      <c r="AA53" s="249"/>
      <c r="AB53" s="360" t="s">
        <v>292</v>
      </c>
    </row>
    <row r="54" spans="1:32" s="176" customFormat="1" ht="69.95" customHeight="1" x14ac:dyDescent="0.15">
      <c r="A54" s="559"/>
      <c r="B54" s="264"/>
      <c r="C54" s="413"/>
      <c r="D54" s="414"/>
      <c r="E54" s="415"/>
      <c r="F54" s="413"/>
      <c r="G54" s="414"/>
      <c r="H54" s="415"/>
      <c r="I54" s="564"/>
      <c r="J54" s="265"/>
      <c r="K54" s="263"/>
      <c r="L54" s="266" t="s">
        <v>61</v>
      </c>
      <c r="M54" s="242">
        <f t="shared" si="13"/>
        <v>0</v>
      </c>
      <c r="N54" s="267"/>
      <c r="O54" s="268"/>
      <c r="P54" s="266" t="s">
        <v>10</v>
      </c>
      <c r="Q54" s="447"/>
      <c r="R54" s="269"/>
      <c r="S54" s="252" t="s">
        <v>10</v>
      </c>
      <c r="T54" s="270">
        <f t="shared" si="14"/>
        <v>0</v>
      </c>
      <c r="U54" s="271"/>
      <c r="V54" s="271"/>
      <c r="W54" s="272"/>
      <c r="X54" s="273"/>
      <c r="Y54" s="565"/>
      <c r="Z54" s="259"/>
      <c r="AA54" s="249"/>
      <c r="AB54" s="361"/>
      <c r="AC54" s="451"/>
      <c r="AD54" s="452"/>
      <c r="AE54" s="452"/>
      <c r="AF54" s="452"/>
    </row>
    <row r="55" spans="1:32" s="176" customFormat="1" ht="69.95" customHeight="1" x14ac:dyDescent="0.15">
      <c r="A55" s="432"/>
      <c r="B55" s="239"/>
      <c r="C55" s="456"/>
      <c r="D55" s="456"/>
      <c r="E55" s="456"/>
      <c r="F55" s="413"/>
      <c r="G55" s="414"/>
      <c r="H55" s="415"/>
      <c r="I55" s="458"/>
      <c r="J55" s="265"/>
      <c r="K55" s="263"/>
      <c r="L55" s="266" t="s">
        <v>61</v>
      </c>
      <c r="M55" s="242">
        <f t="shared" si="13"/>
        <v>0</v>
      </c>
      <c r="N55" s="267"/>
      <c r="O55" s="268"/>
      <c r="P55" s="266" t="s">
        <v>10</v>
      </c>
      <c r="Q55" s="444"/>
      <c r="R55" s="269"/>
      <c r="S55" s="252" t="s">
        <v>10</v>
      </c>
      <c r="T55" s="270">
        <f t="shared" si="14"/>
        <v>0</v>
      </c>
      <c r="U55" s="271"/>
      <c r="V55" s="271"/>
      <c r="W55" s="272"/>
      <c r="X55" s="273"/>
      <c r="Y55" s="460"/>
      <c r="Z55" s="259"/>
      <c r="AA55" s="249"/>
      <c r="AB55" s="362"/>
      <c r="AC55" s="451"/>
      <c r="AD55" s="452"/>
      <c r="AE55" s="452"/>
      <c r="AF55" s="452"/>
    </row>
    <row r="56" spans="1:32" s="206" customFormat="1" ht="69.95" customHeight="1" x14ac:dyDescent="0.15">
      <c r="A56" s="431" t="s">
        <v>139</v>
      </c>
      <c r="B56" s="191">
        <f t="shared" ref="B56" si="15">$I$5</f>
        <v>697</v>
      </c>
      <c r="C56" s="422" t="str">
        <f t="shared" ref="C56" si="16">$A$5</f>
        <v>BK</v>
      </c>
      <c r="D56" s="423"/>
      <c r="E56" s="424"/>
      <c r="F56" s="425"/>
      <c r="G56" s="423"/>
      <c r="H56" s="424"/>
      <c r="I56" s="207"/>
      <c r="J56" s="192"/>
      <c r="K56" s="193">
        <v>1</v>
      </c>
      <c r="L56" s="194" t="s">
        <v>65</v>
      </c>
      <c r="M56" s="195">
        <f t="shared" ref="M56:M73" si="17">K56*B56</f>
        <v>697</v>
      </c>
      <c r="N56" s="196"/>
      <c r="O56" s="195"/>
      <c r="P56" s="194" t="s">
        <v>65</v>
      </c>
      <c r="Q56" s="435"/>
      <c r="R56" s="195"/>
      <c r="S56" s="194" t="s">
        <v>65</v>
      </c>
      <c r="T56" s="205">
        <f t="shared" si="3"/>
        <v>-697</v>
      </c>
      <c r="U56" s="199"/>
      <c r="V56" s="199"/>
      <c r="W56" s="208"/>
      <c r="X56" s="198"/>
      <c r="Y56" s="437" t="s">
        <v>140</v>
      </c>
      <c r="Z56" s="231"/>
      <c r="AA56" s="232"/>
      <c r="AB56" s="439"/>
    </row>
    <row r="57" spans="1:32" s="206" customFormat="1" ht="69.95" customHeight="1" x14ac:dyDescent="0.15">
      <c r="A57" s="559"/>
      <c r="B57" s="204">
        <f>$I$6</f>
        <v>710</v>
      </c>
      <c r="C57" s="453" t="str">
        <f>$A$6</f>
        <v>IV</v>
      </c>
      <c r="D57" s="454"/>
      <c r="E57" s="455"/>
      <c r="F57" s="425"/>
      <c r="G57" s="423"/>
      <c r="H57" s="424"/>
      <c r="I57" s="207"/>
      <c r="J57" s="192"/>
      <c r="K57" s="193">
        <v>1</v>
      </c>
      <c r="L57" s="194" t="s">
        <v>65</v>
      </c>
      <c r="M57" s="195">
        <f t="shared" si="17"/>
        <v>710</v>
      </c>
      <c r="N57" s="233"/>
      <c r="O57" s="195"/>
      <c r="P57" s="194" t="s">
        <v>65</v>
      </c>
      <c r="Q57" s="561"/>
      <c r="R57" s="195"/>
      <c r="S57" s="194" t="s">
        <v>65</v>
      </c>
      <c r="T57" s="198">
        <f t="shared" si="3"/>
        <v>-710</v>
      </c>
      <c r="U57" s="199"/>
      <c r="V57" s="200"/>
      <c r="W57" s="195"/>
      <c r="X57" s="195"/>
      <c r="Y57" s="562"/>
      <c r="Z57" s="201"/>
      <c r="AA57" s="202"/>
      <c r="AB57" s="558"/>
      <c r="AC57" s="234"/>
      <c r="AD57" s="230"/>
      <c r="AE57" s="230"/>
      <c r="AF57" s="230"/>
    </row>
    <row r="58" spans="1:32" s="206" customFormat="1" ht="69.95" customHeight="1" x14ac:dyDescent="0.15">
      <c r="A58" s="432"/>
      <c r="B58" s="191">
        <f>$I$7</f>
        <v>0</v>
      </c>
      <c r="C58" s="465">
        <f>$A$7</f>
        <v>0</v>
      </c>
      <c r="D58" s="465"/>
      <c r="E58" s="465"/>
      <c r="F58" s="425"/>
      <c r="G58" s="423"/>
      <c r="H58" s="424"/>
      <c r="I58" s="207"/>
      <c r="J58" s="192"/>
      <c r="K58" s="193">
        <v>1</v>
      </c>
      <c r="L58" s="194" t="s">
        <v>65</v>
      </c>
      <c r="M58" s="195">
        <f t="shared" si="17"/>
        <v>0</v>
      </c>
      <c r="N58" s="233"/>
      <c r="O58" s="195"/>
      <c r="P58" s="194" t="s">
        <v>65</v>
      </c>
      <c r="Q58" s="436"/>
      <c r="R58" s="195"/>
      <c r="S58" s="194" t="s">
        <v>65</v>
      </c>
      <c r="T58" s="198">
        <f t="shared" si="3"/>
        <v>0</v>
      </c>
      <c r="U58" s="199"/>
      <c r="V58" s="200"/>
      <c r="W58" s="195"/>
      <c r="X58" s="195"/>
      <c r="Y58" s="438"/>
      <c r="Z58" s="201"/>
      <c r="AA58" s="202"/>
      <c r="AB58" s="440"/>
      <c r="AC58" s="234"/>
      <c r="AD58" s="230"/>
      <c r="AE58" s="230"/>
      <c r="AF58" s="230"/>
    </row>
    <row r="59" spans="1:32" s="55" customFormat="1" ht="69.95" customHeight="1" x14ac:dyDescent="0.15">
      <c r="A59" s="431" t="s">
        <v>100</v>
      </c>
      <c r="B59" s="182">
        <f t="shared" ref="B59:B65" si="18">$I$5</f>
        <v>697</v>
      </c>
      <c r="C59" s="368" t="str">
        <f t="shared" ref="C59:C65" si="19">$A$5</f>
        <v>BK</v>
      </c>
      <c r="D59" s="369"/>
      <c r="E59" s="370"/>
      <c r="F59" s="428"/>
      <c r="G59" s="369"/>
      <c r="H59" s="370"/>
      <c r="I59" s="75" t="s">
        <v>101</v>
      </c>
      <c r="J59" s="76"/>
      <c r="K59" s="139">
        <v>1</v>
      </c>
      <c r="L59" s="77" t="s">
        <v>63</v>
      </c>
      <c r="M59" s="78">
        <f t="shared" si="17"/>
        <v>697</v>
      </c>
      <c r="N59" s="79"/>
      <c r="O59" s="78"/>
      <c r="P59" s="80" t="s">
        <v>63</v>
      </c>
      <c r="Q59" s="443">
        <v>45996</v>
      </c>
      <c r="R59" s="78">
        <v>697</v>
      </c>
      <c r="S59" s="80" t="s">
        <v>63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0" t="s">
        <v>210</v>
      </c>
    </row>
    <row r="60" spans="1:32" s="55" customFormat="1" ht="69.95" customHeight="1" x14ac:dyDescent="0.15">
      <c r="A60" s="559"/>
      <c r="B60" s="186">
        <f>$I$6</f>
        <v>710</v>
      </c>
      <c r="C60" s="395" t="str">
        <f>$A$6</f>
        <v>IV</v>
      </c>
      <c r="D60" s="396"/>
      <c r="E60" s="397"/>
      <c r="F60" s="428"/>
      <c r="G60" s="369"/>
      <c r="H60" s="370"/>
      <c r="I60" s="75" t="s">
        <v>101</v>
      </c>
      <c r="J60" s="76"/>
      <c r="K60" s="139">
        <v>1</v>
      </c>
      <c r="L60" s="77" t="s">
        <v>63</v>
      </c>
      <c r="M60" s="78">
        <f t="shared" si="17"/>
        <v>710</v>
      </c>
      <c r="N60" s="140"/>
      <c r="O60" s="78"/>
      <c r="P60" s="80" t="s">
        <v>63</v>
      </c>
      <c r="Q60" s="447"/>
      <c r="R60" s="78">
        <v>710</v>
      </c>
      <c r="S60" s="80" t="s">
        <v>63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461">
        <f>$A$7</f>
        <v>0</v>
      </c>
      <c r="D61" s="461"/>
      <c r="E61" s="461"/>
      <c r="F61" s="428"/>
      <c r="G61" s="369"/>
      <c r="H61" s="370"/>
      <c r="I61" s="75" t="s">
        <v>101</v>
      </c>
      <c r="J61" s="76"/>
      <c r="K61" s="139"/>
      <c r="L61" s="77" t="s">
        <v>63</v>
      </c>
      <c r="M61" s="78">
        <f t="shared" si="17"/>
        <v>0</v>
      </c>
      <c r="N61" s="140"/>
      <c r="O61" s="78"/>
      <c r="P61" s="80" t="s">
        <v>63</v>
      </c>
      <c r="Q61" s="444"/>
      <c r="R61" s="78"/>
      <c r="S61" s="80" t="s">
        <v>63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103</v>
      </c>
      <c r="B62" s="182">
        <f t="shared" ref="B62" si="20">$I$5</f>
        <v>697</v>
      </c>
      <c r="C62" s="368" t="str">
        <f t="shared" ref="C62" si="21">$A$5</f>
        <v>BK</v>
      </c>
      <c r="D62" s="369"/>
      <c r="E62" s="370"/>
      <c r="F62" s="428"/>
      <c r="G62" s="429"/>
      <c r="H62" s="430"/>
      <c r="I62" s="75"/>
      <c r="J62" s="76"/>
      <c r="K62" s="139">
        <v>1</v>
      </c>
      <c r="L62" s="77" t="s">
        <v>65</v>
      </c>
      <c r="M62" s="78">
        <f t="shared" si="17"/>
        <v>697</v>
      </c>
      <c r="N62" s="79"/>
      <c r="O62" s="78"/>
      <c r="P62" s="80" t="s">
        <v>65</v>
      </c>
      <c r="Q62" s="443">
        <v>45996</v>
      </c>
      <c r="R62" s="78">
        <v>697</v>
      </c>
      <c r="S62" s="80" t="s">
        <v>65</v>
      </c>
      <c r="T62" s="84">
        <f t="shared" si="3"/>
        <v>0</v>
      </c>
      <c r="U62" s="82"/>
      <c r="V62" s="82"/>
      <c r="W62" s="83"/>
      <c r="X62" s="81"/>
      <c r="Y62" s="445" t="s">
        <v>94</v>
      </c>
      <c r="Z62" s="86"/>
      <c r="AA62" s="85"/>
      <c r="AB62" s="360" t="s">
        <v>210</v>
      </c>
    </row>
    <row r="63" spans="1:32" s="55" customFormat="1" ht="69.95" customHeight="1" x14ac:dyDescent="0.15">
      <c r="A63" s="559"/>
      <c r="B63" s="186">
        <f>$I$6</f>
        <v>710</v>
      </c>
      <c r="C63" s="368" t="str">
        <f>$A$6</f>
        <v>IV</v>
      </c>
      <c r="D63" s="369"/>
      <c r="E63" s="370"/>
      <c r="F63" s="428"/>
      <c r="G63" s="429"/>
      <c r="H63" s="430"/>
      <c r="I63" s="75"/>
      <c r="J63" s="76"/>
      <c r="K63" s="139">
        <v>1</v>
      </c>
      <c r="L63" s="77" t="s">
        <v>65</v>
      </c>
      <c r="M63" s="78">
        <f t="shared" si="17"/>
        <v>710</v>
      </c>
      <c r="N63" s="140"/>
      <c r="O63" s="78"/>
      <c r="P63" s="80" t="s">
        <v>65</v>
      </c>
      <c r="Q63" s="447"/>
      <c r="R63" s="78">
        <v>710</v>
      </c>
      <c r="S63" s="80" t="s">
        <v>65</v>
      </c>
      <c r="T63" s="81">
        <f t="shared" si="3"/>
        <v>0</v>
      </c>
      <c r="U63" s="82"/>
      <c r="V63" s="137"/>
      <c r="W63" s="78"/>
      <c r="X63" s="78"/>
      <c r="Y63" s="557"/>
      <c r="Z63" s="141"/>
      <c r="AA63" s="135"/>
      <c r="AB63" s="361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82">
        <f>$I$7</f>
        <v>0</v>
      </c>
      <c r="C64" s="368">
        <f>$A$7</f>
        <v>0</v>
      </c>
      <c r="D64" s="369"/>
      <c r="E64" s="370"/>
      <c r="F64" s="428"/>
      <c r="G64" s="429"/>
      <c r="H64" s="430"/>
      <c r="I64" s="75"/>
      <c r="J64" s="76"/>
      <c r="K64" s="139"/>
      <c r="L64" s="77" t="s">
        <v>65</v>
      </c>
      <c r="M64" s="78">
        <f t="shared" si="17"/>
        <v>0</v>
      </c>
      <c r="N64" s="140"/>
      <c r="O64" s="78"/>
      <c r="P64" s="80" t="s">
        <v>65</v>
      </c>
      <c r="Q64" s="444"/>
      <c r="R64" s="78"/>
      <c r="S64" s="80" t="s">
        <v>65</v>
      </c>
      <c r="T64" s="81">
        <f t="shared" si="3"/>
        <v>0</v>
      </c>
      <c r="U64" s="82"/>
      <c r="V64" s="137"/>
      <c r="W64" s="78"/>
      <c r="X64" s="78"/>
      <c r="Y64" s="446"/>
      <c r="Z64" s="141"/>
      <c r="AA64" s="135"/>
      <c r="AB64" s="362"/>
      <c r="AC64" s="142"/>
      <c r="AD64" s="179"/>
      <c r="AE64" s="179"/>
      <c r="AF64" s="179"/>
    </row>
    <row r="65" spans="1:32" s="55" customFormat="1" ht="69.95" customHeight="1" x14ac:dyDescent="0.15">
      <c r="A65" s="431" t="s">
        <v>90</v>
      </c>
      <c r="B65" s="191">
        <f t="shared" si="18"/>
        <v>697</v>
      </c>
      <c r="C65" s="422" t="str">
        <f t="shared" si="19"/>
        <v>BK</v>
      </c>
      <c r="D65" s="423"/>
      <c r="E65" s="424"/>
      <c r="F65" s="425"/>
      <c r="G65" s="426"/>
      <c r="H65" s="427"/>
      <c r="I65" s="207" t="s">
        <v>79</v>
      </c>
      <c r="J65" s="192"/>
      <c r="K65" s="193">
        <v>1</v>
      </c>
      <c r="L65" s="194" t="s">
        <v>63</v>
      </c>
      <c r="M65" s="195">
        <f t="shared" si="17"/>
        <v>697</v>
      </c>
      <c r="N65" s="196"/>
      <c r="O65" s="195"/>
      <c r="P65" s="197" t="s">
        <v>63</v>
      </c>
      <c r="Q65" s="435"/>
      <c r="R65" s="195"/>
      <c r="S65" s="197" t="s">
        <v>63</v>
      </c>
      <c r="T65" s="205">
        <f t="shared" si="3"/>
        <v>-697</v>
      </c>
      <c r="U65" s="199"/>
      <c r="V65" s="199"/>
      <c r="W65" s="208"/>
      <c r="X65" s="198"/>
      <c r="Y65" s="437" t="s">
        <v>64</v>
      </c>
      <c r="Z65" s="231"/>
      <c r="AA65" s="232"/>
      <c r="AB65" s="439"/>
    </row>
    <row r="66" spans="1:32" s="55" customFormat="1" ht="69.95" customHeight="1" x14ac:dyDescent="0.15">
      <c r="A66" s="559"/>
      <c r="B66" s="204">
        <f>$I$6</f>
        <v>710</v>
      </c>
      <c r="C66" s="422" t="str">
        <f>$A$6</f>
        <v>IV</v>
      </c>
      <c r="D66" s="423"/>
      <c r="E66" s="424"/>
      <c r="F66" s="425"/>
      <c r="G66" s="426"/>
      <c r="H66" s="427"/>
      <c r="I66" s="207" t="s">
        <v>79</v>
      </c>
      <c r="J66" s="192"/>
      <c r="K66" s="193">
        <v>1</v>
      </c>
      <c r="L66" s="194" t="s">
        <v>63</v>
      </c>
      <c r="M66" s="195">
        <f t="shared" si="17"/>
        <v>710</v>
      </c>
      <c r="N66" s="233"/>
      <c r="O66" s="195"/>
      <c r="P66" s="197" t="s">
        <v>63</v>
      </c>
      <c r="Q66" s="561"/>
      <c r="R66" s="195"/>
      <c r="S66" s="197" t="s">
        <v>63</v>
      </c>
      <c r="T66" s="198">
        <f t="shared" si="3"/>
        <v>-710</v>
      </c>
      <c r="U66" s="199"/>
      <c r="V66" s="200"/>
      <c r="W66" s="195"/>
      <c r="X66" s="195"/>
      <c r="Y66" s="562"/>
      <c r="Z66" s="201"/>
      <c r="AA66" s="202"/>
      <c r="AB66" s="558"/>
      <c r="AC66" s="142"/>
      <c r="AD66" s="179"/>
      <c r="AE66" s="179"/>
      <c r="AF66" s="179"/>
    </row>
    <row r="67" spans="1:32" s="55" customFormat="1" ht="69.95" customHeight="1" x14ac:dyDescent="0.15">
      <c r="A67" s="432"/>
      <c r="B67" s="191">
        <f>$I$7</f>
        <v>0</v>
      </c>
      <c r="C67" s="465">
        <f>$A$7</f>
        <v>0</v>
      </c>
      <c r="D67" s="465"/>
      <c r="E67" s="465"/>
      <c r="F67" s="425"/>
      <c r="G67" s="426"/>
      <c r="H67" s="427"/>
      <c r="I67" s="207" t="s">
        <v>79</v>
      </c>
      <c r="J67" s="192"/>
      <c r="K67" s="193">
        <v>1</v>
      </c>
      <c r="L67" s="194" t="s">
        <v>63</v>
      </c>
      <c r="M67" s="195">
        <f t="shared" si="17"/>
        <v>0</v>
      </c>
      <c r="N67" s="233"/>
      <c r="O67" s="195"/>
      <c r="P67" s="197" t="s">
        <v>63</v>
      </c>
      <c r="Q67" s="436"/>
      <c r="R67" s="195"/>
      <c r="S67" s="197" t="s">
        <v>63</v>
      </c>
      <c r="T67" s="198">
        <f t="shared" si="3"/>
        <v>0</v>
      </c>
      <c r="U67" s="199"/>
      <c r="V67" s="200"/>
      <c r="W67" s="195"/>
      <c r="X67" s="195"/>
      <c r="Y67" s="438"/>
      <c r="Z67" s="201"/>
      <c r="AA67" s="202"/>
      <c r="AB67" s="440"/>
      <c r="AC67" s="142"/>
      <c r="AD67" s="179"/>
      <c r="AE67" s="179"/>
      <c r="AF67" s="179"/>
    </row>
    <row r="68" spans="1:32" s="55" customFormat="1" ht="69.95" customHeight="1" x14ac:dyDescent="0.15">
      <c r="A68" s="431" t="s">
        <v>91</v>
      </c>
      <c r="B68" s="182">
        <f t="shared" ref="B68" si="22">$I$5</f>
        <v>697</v>
      </c>
      <c r="C68" s="368" t="str">
        <f t="shared" ref="C68" si="23">$A$5</f>
        <v>BK</v>
      </c>
      <c r="D68" s="369"/>
      <c r="E68" s="370"/>
      <c r="F68" s="428"/>
      <c r="G68" s="429"/>
      <c r="H68" s="430"/>
      <c r="I68" s="75" t="s">
        <v>75</v>
      </c>
      <c r="J68" s="76"/>
      <c r="K68" s="139">
        <v>1</v>
      </c>
      <c r="L68" s="77" t="s">
        <v>63</v>
      </c>
      <c r="M68" s="78">
        <f t="shared" si="17"/>
        <v>697</v>
      </c>
      <c r="N68" s="79"/>
      <c r="O68" s="78"/>
      <c r="P68" s="80" t="s">
        <v>63</v>
      </c>
      <c r="Q68" s="443">
        <v>45996</v>
      </c>
      <c r="R68" s="78">
        <v>697</v>
      </c>
      <c r="S68" s="80" t="s">
        <v>63</v>
      </c>
      <c r="T68" s="84">
        <f t="shared" si="3"/>
        <v>0</v>
      </c>
      <c r="U68" s="82"/>
      <c r="V68" s="82"/>
      <c r="W68" s="83"/>
      <c r="X68" s="81"/>
      <c r="Y68" s="445" t="s">
        <v>64</v>
      </c>
      <c r="Z68" s="86"/>
      <c r="AA68" s="85"/>
      <c r="AB68" s="360" t="s">
        <v>210</v>
      </c>
    </row>
    <row r="69" spans="1:32" s="55" customFormat="1" ht="69.95" customHeight="1" x14ac:dyDescent="0.15">
      <c r="A69" s="559"/>
      <c r="B69" s="186">
        <f>$I$6</f>
        <v>710</v>
      </c>
      <c r="C69" s="368" t="str">
        <f>$A$6</f>
        <v>IV</v>
      </c>
      <c r="D69" s="369"/>
      <c r="E69" s="370"/>
      <c r="F69" s="428"/>
      <c r="G69" s="429"/>
      <c r="H69" s="430"/>
      <c r="I69" s="75" t="s">
        <v>75</v>
      </c>
      <c r="J69" s="76"/>
      <c r="K69" s="139">
        <v>1</v>
      </c>
      <c r="L69" s="77" t="s">
        <v>63</v>
      </c>
      <c r="M69" s="78">
        <f t="shared" si="17"/>
        <v>710</v>
      </c>
      <c r="N69" s="140"/>
      <c r="O69" s="78"/>
      <c r="P69" s="80" t="s">
        <v>63</v>
      </c>
      <c r="Q69" s="447"/>
      <c r="R69" s="78">
        <v>710</v>
      </c>
      <c r="S69" s="80" t="s">
        <v>63</v>
      </c>
      <c r="T69" s="81">
        <f t="shared" si="3"/>
        <v>0</v>
      </c>
      <c r="U69" s="82"/>
      <c r="V69" s="137"/>
      <c r="W69" s="78"/>
      <c r="X69" s="78"/>
      <c r="Y69" s="557"/>
      <c r="Z69" s="141"/>
      <c r="AA69" s="135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432"/>
      <c r="B70" s="239">
        <f>$I$7</f>
        <v>0</v>
      </c>
      <c r="C70" s="456">
        <f>$A$7</f>
        <v>0</v>
      </c>
      <c r="D70" s="456"/>
      <c r="E70" s="456"/>
      <c r="F70" s="428"/>
      <c r="G70" s="429"/>
      <c r="H70" s="430"/>
      <c r="I70" s="75" t="s">
        <v>75</v>
      </c>
      <c r="J70" s="76"/>
      <c r="K70" s="139"/>
      <c r="L70" s="77" t="s">
        <v>63</v>
      </c>
      <c r="M70" s="78">
        <f t="shared" si="17"/>
        <v>0</v>
      </c>
      <c r="N70" s="140"/>
      <c r="O70" s="78"/>
      <c r="P70" s="80" t="s">
        <v>63</v>
      </c>
      <c r="Q70" s="444"/>
      <c r="R70" s="78"/>
      <c r="S70" s="80" t="s">
        <v>63</v>
      </c>
      <c r="T70" s="81">
        <f t="shared" si="3"/>
        <v>0</v>
      </c>
      <c r="U70" s="82"/>
      <c r="V70" s="137"/>
      <c r="W70" s="78"/>
      <c r="X70" s="78"/>
      <c r="Y70" s="446"/>
      <c r="Z70" s="141"/>
      <c r="AA70" s="135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431" t="s">
        <v>164</v>
      </c>
      <c r="B71" s="182">
        <f t="shared" ref="B71" si="24">$I$5</f>
        <v>697</v>
      </c>
      <c r="C71" s="368" t="str">
        <f t="shared" ref="C71" si="25">$A$5</f>
        <v>BK</v>
      </c>
      <c r="D71" s="369"/>
      <c r="E71" s="370"/>
      <c r="F71" s="428"/>
      <c r="G71" s="429"/>
      <c r="H71" s="430"/>
      <c r="I71" s="441" t="s">
        <v>104</v>
      </c>
      <c r="J71" s="76"/>
      <c r="K71" s="136">
        <v>0.5</v>
      </c>
      <c r="L71" s="77" t="s">
        <v>129</v>
      </c>
      <c r="M71" s="78">
        <f t="shared" si="17"/>
        <v>348.5</v>
      </c>
      <c r="N71" s="79"/>
      <c r="O71" s="78"/>
      <c r="P71" s="80" t="s">
        <v>63</v>
      </c>
      <c r="Q71" s="443">
        <v>45996</v>
      </c>
      <c r="R71" s="78">
        <v>350</v>
      </c>
      <c r="S71" s="80" t="s">
        <v>63</v>
      </c>
      <c r="T71" s="84">
        <f t="shared" si="3"/>
        <v>1.5</v>
      </c>
      <c r="U71" s="82"/>
      <c r="V71" s="82"/>
      <c r="W71" s="83"/>
      <c r="X71" s="81"/>
      <c r="Y71" s="445" t="s">
        <v>130</v>
      </c>
      <c r="Z71" s="86"/>
      <c r="AA71" s="85"/>
      <c r="AB71" s="360" t="s">
        <v>209</v>
      </c>
    </row>
    <row r="72" spans="1:32" s="55" customFormat="1" ht="69.95" customHeight="1" x14ac:dyDescent="0.15">
      <c r="A72" s="559"/>
      <c r="B72" s="186">
        <f>$I$6</f>
        <v>710</v>
      </c>
      <c r="C72" s="368" t="str">
        <f>$A$6</f>
        <v>IV</v>
      </c>
      <c r="D72" s="369"/>
      <c r="E72" s="370"/>
      <c r="F72" s="428"/>
      <c r="G72" s="429"/>
      <c r="H72" s="430"/>
      <c r="I72" s="563"/>
      <c r="J72" s="76"/>
      <c r="K72" s="136">
        <v>0.5</v>
      </c>
      <c r="L72" s="77" t="s">
        <v>129</v>
      </c>
      <c r="M72" s="78">
        <f t="shared" si="17"/>
        <v>355</v>
      </c>
      <c r="N72" s="140"/>
      <c r="O72" s="78"/>
      <c r="P72" s="80" t="s">
        <v>63</v>
      </c>
      <c r="Q72" s="447"/>
      <c r="R72" s="78">
        <v>400</v>
      </c>
      <c r="S72" s="80" t="s">
        <v>63</v>
      </c>
      <c r="T72" s="81">
        <f t="shared" si="3"/>
        <v>45</v>
      </c>
      <c r="U72" s="82"/>
      <c r="V72" s="137"/>
      <c r="W72" s="78"/>
      <c r="X72" s="78"/>
      <c r="Y72" s="557"/>
      <c r="Z72" s="141"/>
      <c r="AA72" s="135"/>
      <c r="AB72" s="361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82">
        <f>$I$7</f>
        <v>0</v>
      </c>
      <c r="C73" s="461">
        <f>$A$7</f>
        <v>0</v>
      </c>
      <c r="D73" s="461"/>
      <c r="E73" s="461"/>
      <c r="F73" s="428"/>
      <c r="G73" s="429"/>
      <c r="H73" s="430"/>
      <c r="I73" s="442"/>
      <c r="J73" s="76"/>
      <c r="K73" s="136"/>
      <c r="L73" s="77" t="s">
        <v>129</v>
      </c>
      <c r="M73" s="78">
        <f t="shared" si="17"/>
        <v>0</v>
      </c>
      <c r="N73" s="140"/>
      <c r="O73" s="78"/>
      <c r="P73" s="80" t="s">
        <v>63</v>
      </c>
      <c r="Q73" s="444"/>
      <c r="R73" s="78"/>
      <c r="S73" s="80" t="s">
        <v>63</v>
      </c>
      <c r="T73" s="81">
        <f t="shared" si="3"/>
        <v>0</v>
      </c>
      <c r="U73" s="82"/>
      <c r="V73" s="137"/>
      <c r="W73" s="78"/>
      <c r="X73" s="78"/>
      <c r="Y73" s="446"/>
      <c r="Z73" s="141"/>
      <c r="AA73" s="135"/>
      <c r="AB73" s="362"/>
      <c r="AC73" s="142"/>
      <c r="AD73" s="179"/>
      <c r="AE73" s="179"/>
      <c r="AF73" s="179"/>
    </row>
    <row r="74" spans="1:32" s="55" customFormat="1" ht="69.95" customHeight="1" x14ac:dyDescent="0.15">
      <c r="A74" s="431" t="s">
        <v>141</v>
      </c>
      <c r="B74" s="182">
        <f t="shared" ref="B74" si="26">$I$5</f>
        <v>697</v>
      </c>
      <c r="C74" s="368" t="str">
        <f t="shared" ref="C74" si="27">$A$5</f>
        <v>BK</v>
      </c>
      <c r="D74" s="369"/>
      <c r="E74" s="370"/>
      <c r="F74" s="428"/>
      <c r="G74" s="429"/>
      <c r="H74" s="430"/>
      <c r="I74" s="441" t="s">
        <v>204</v>
      </c>
      <c r="J74" s="76"/>
      <c r="K74" s="136">
        <v>0.5</v>
      </c>
      <c r="L74" s="77" t="s">
        <v>129</v>
      </c>
      <c r="M74" s="78">
        <f t="shared" ref="M74:M76" si="28">K74*B74</f>
        <v>348.5</v>
      </c>
      <c r="N74" s="79"/>
      <c r="O74" s="78"/>
      <c r="P74" s="80" t="s">
        <v>63</v>
      </c>
      <c r="Q74" s="443">
        <v>45996</v>
      </c>
      <c r="R74" s="78">
        <v>350</v>
      </c>
      <c r="S74" s="80" t="s">
        <v>63</v>
      </c>
      <c r="T74" s="84">
        <f t="shared" ref="T74:T76" si="29">R74-M74</f>
        <v>1.5</v>
      </c>
      <c r="U74" s="82"/>
      <c r="V74" s="82"/>
      <c r="W74" s="83"/>
      <c r="X74" s="81"/>
      <c r="Y74" s="445" t="s">
        <v>130</v>
      </c>
      <c r="Z74" s="86"/>
      <c r="AA74" s="85"/>
      <c r="AB74" s="360" t="s">
        <v>209</v>
      </c>
    </row>
    <row r="75" spans="1:32" s="55" customFormat="1" ht="69.95" customHeight="1" x14ac:dyDescent="0.15">
      <c r="A75" s="559"/>
      <c r="B75" s="186">
        <f>$I$6</f>
        <v>710</v>
      </c>
      <c r="C75" s="368" t="str">
        <f>$A$6</f>
        <v>IV</v>
      </c>
      <c r="D75" s="369"/>
      <c r="E75" s="370"/>
      <c r="F75" s="428"/>
      <c r="G75" s="429"/>
      <c r="H75" s="430"/>
      <c r="I75" s="563"/>
      <c r="J75" s="76"/>
      <c r="K75" s="136">
        <v>0.5</v>
      </c>
      <c r="L75" s="77" t="s">
        <v>129</v>
      </c>
      <c r="M75" s="78">
        <f t="shared" si="28"/>
        <v>355</v>
      </c>
      <c r="N75" s="140"/>
      <c r="O75" s="78"/>
      <c r="P75" s="80" t="s">
        <v>63</v>
      </c>
      <c r="Q75" s="447"/>
      <c r="R75" s="78">
        <v>400</v>
      </c>
      <c r="S75" s="80" t="s">
        <v>63</v>
      </c>
      <c r="T75" s="81">
        <f t="shared" si="29"/>
        <v>45</v>
      </c>
      <c r="U75" s="82"/>
      <c r="V75" s="137"/>
      <c r="W75" s="78"/>
      <c r="X75" s="78"/>
      <c r="Y75" s="557"/>
      <c r="Z75" s="141"/>
      <c r="AA75" s="135"/>
      <c r="AB75" s="361"/>
      <c r="AC75" s="142"/>
      <c r="AD75" s="179"/>
      <c r="AE75" s="179"/>
      <c r="AF75" s="179"/>
    </row>
    <row r="76" spans="1:32" s="55" customFormat="1" ht="69.95" customHeight="1" x14ac:dyDescent="0.15">
      <c r="A76" s="432"/>
      <c r="B76" s="182">
        <f>$I$7</f>
        <v>0</v>
      </c>
      <c r="C76" s="461">
        <f>$A$7</f>
        <v>0</v>
      </c>
      <c r="D76" s="461"/>
      <c r="E76" s="461"/>
      <c r="F76" s="428"/>
      <c r="G76" s="429"/>
      <c r="H76" s="430"/>
      <c r="I76" s="442"/>
      <c r="J76" s="76"/>
      <c r="K76" s="136"/>
      <c r="L76" s="77" t="s">
        <v>129</v>
      </c>
      <c r="M76" s="78">
        <f t="shared" si="28"/>
        <v>0</v>
      </c>
      <c r="N76" s="140"/>
      <c r="O76" s="78"/>
      <c r="P76" s="80" t="s">
        <v>63</v>
      </c>
      <c r="Q76" s="444"/>
      <c r="R76" s="78"/>
      <c r="S76" s="80" t="s">
        <v>63</v>
      </c>
      <c r="T76" s="81">
        <f t="shared" si="29"/>
        <v>0</v>
      </c>
      <c r="U76" s="82"/>
      <c r="V76" s="137"/>
      <c r="W76" s="78"/>
      <c r="X76" s="78"/>
      <c r="Y76" s="446"/>
      <c r="Z76" s="141"/>
      <c r="AA76" s="135"/>
      <c r="AB76" s="362"/>
      <c r="AC76" s="142"/>
      <c r="AD76" s="179"/>
      <c r="AE76" s="179"/>
      <c r="AF76" s="179"/>
    </row>
    <row r="77" spans="1:32" s="206" customFormat="1" ht="69.95" customHeight="1" x14ac:dyDescent="0.15">
      <c r="A77" s="431" t="s">
        <v>120</v>
      </c>
      <c r="B77" s="191">
        <f t="shared" ref="B77" si="30">$I$5</f>
        <v>697</v>
      </c>
      <c r="C77" s="422" t="str">
        <f t="shared" ref="C77" si="31">$A$5</f>
        <v>BK</v>
      </c>
      <c r="D77" s="423"/>
      <c r="E77" s="424"/>
      <c r="F77" s="425"/>
      <c r="G77" s="426"/>
      <c r="H77" s="427"/>
      <c r="I77" s="433" t="s">
        <v>75</v>
      </c>
      <c r="J77" s="192"/>
      <c r="K77" s="193">
        <v>2</v>
      </c>
      <c r="L77" s="194" t="s">
        <v>63</v>
      </c>
      <c r="M77" s="195">
        <f t="shared" si="4"/>
        <v>1394</v>
      </c>
      <c r="N77" s="196"/>
      <c r="O77" s="195"/>
      <c r="P77" s="197" t="s">
        <v>63</v>
      </c>
      <c r="Q77" s="435"/>
      <c r="R77" s="195"/>
      <c r="S77" s="197" t="s">
        <v>63</v>
      </c>
      <c r="T77" s="205">
        <f t="shared" si="3"/>
        <v>-1394</v>
      </c>
      <c r="U77" s="199"/>
      <c r="V77" s="199"/>
      <c r="W77" s="208"/>
      <c r="X77" s="198"/>
      <c r="Y77" s="437" t="s">
        <v>64</v>
      </c>
      <c r="Z77" s="231"/>
      <c r="AA77" s="232"/>
      <c r="AB77" s="439"/>
    </row>
    <row r="78" spans="1:32" s="206" customFormat="1" ht="69.95" customHeight="1" x14ac:dyDescent="0.15">
      <c r="A78" s="559"/>
      <c r="B78" s="204">
        <f>$I$6</f>
        <v>710</v>
      </c>
      <c r="C78" s="422" t="str">
        <f>$A$6</f>
        <v>IV</v>
      </c>
      <c r="D78" s="423"/>
      <c r="E78" s="424"/>
      <c r="F78" s="425"/>
      <c r="G78" s="426"/>
      <c r="H78" s="427"/>
      <c r="I78" s="560"/>
      <c r="J78" s="192"/>
      <c r="K78" s="193">
        <v>2</v>
      </c>
      <c r="L78" s="194" t="s">
        <v>63</v>
      </c>
      <c r="M78" s="195">
        <f t="shared" si="4"/>
        <v>1420</v>
      </c>
      <c r="N78" s="233"/>
      <c r="O78" s="195"/>
      <c r="P78" s="197" t="s">
        <v>63</v>
      </c>
      <c r="Q78" s="561"/>
      <c r="R78" s="195"/>
      <c r="S78" s="197" t="s">
        <v>63</v>
      </c>
      <c r="T78" s="198">
        <f t="shared" si="3"/>
        <v>-1420</v>
      </c>
      <c r="U78" s="199"/>
      <c r="V78" s="200"/>
      <c r="W78" s="195"/>
      <c r="X78" s="195"/>
      <c r="Y78" s="562"/>
      <c r="Z78" s="201"/>
      <c r="AA78" s="202"/>
      <c r="AB78" s="558"/>
      <c r="AC78" s="234"/>
      <c r="AD78" s="230"/>
      <c r="AE78" s="230"/>
      <c r="AF78" s="230"/>
    </row>
    <row r="79" spans="1:32" s="206" customFormat="1" ht="69.95" customHeight="1" x14ac:dyDescent="0.15">
      <c r="A79" s="432"/>
      <c r="B79" s="191">
        <f>$I$7</f>
        <v>0</v>
      </c>
      <c r="C79" s="465">
        <f>$A$7</f>
        <v>0</v>
      </c>
      <c r="D79" s="465"/>
      <c r="E79" s="465"/>
      <c r="F79" s="425"/>
      <c r="G79" s="426"/>
      <c r="H79" s="427"/>
      <c r="I79" s="434"/>
      <c r="J79" s="192"/>
      <c r="K79" s="193">
        <v>2</v>
      </c>
      <c r="L79" s="194" t="s">
        <v>63</v>
      </c>
      <c r="M79" s="195">
        <f t="shared" si="4"/>
        <v>0</v>
      </c>
      <c r="N79" s="233"/>
      <c r="O79" s="195"/>
      <c r="P79" s="197" t="s">
        <v>63</v>
      </c>
      <c r="Q79" s="436"/>
      <c r="R79" s="195"/>
      <c r="S79" s="197" t="s">
        <v>63</v>
      </c>
      <c r="T79" s="198">
        <f t="shared" si="3"/>
        <v>0</v>
      </c>
      <c r="U79" s="199"/>
      <c r="V79" s="200"/>
      <c r="W79" s="195"/>
      <c r="X79" s="195"/>
      <c r="Y79" s="438"/>
      <c r="Z79" s="201"/>
      <c r="AA79" s="202"/>
      <c r="AB79" s="440"/>
      <c r="AC79" s="234"/>
      <c r="AD79" s="230"/>
      <c r="AE79" s="230"/>
      <c r="AF79" s="230"/>
    </row>
    <row r="80" spans="1:32" s="176" customFormat="1" ht="54.95" customHeight="1" x14ac:dyDescent="0.15">
      <c r="A80" s="386" t="s">
        <v>66</v>
      </c>
      <c r="B80" s="164">
        <f>C11</f>
        <v>657</v>
      </c>
      <c r="C80" s="407" t="e">
        <f>#REF!</f>
        <v>#REF!</v>
      </c>
      <c r="D80" s="408"/>
      <c r="E80" s="409"/>
      <c r="F80" s="371"/>
      <c r="G80" s="372"/>
      <c r="H80" s="373"/>
      <c r="I80" s="276"/>
      <c r="J80" s="255"/>
      <c r="K80" s="263">
        <v>1</v>
      </c>
      <c r="L80" s="168" t="s">
        <v>63</v>
      </c>
      <c r="M80" s="169">
        <f t="shared" si="4"/>
        <v>657</v>
      </c>
      <c r="N80" s="171"/>
      <c r="O80" s="277"/>
      <c r="P80" s="169" t="s">
        <v>63</v>
      </c>
      <c r="Q80" s="376">
        <v>45996</v>
      </c>
      <c r="R80" s="277">
        <v>657</v>
      </c>
      <c r="S80" s="169" t="s">
        <v>63</v>
      </c>
      <c r="T80" s="278">
        <f t="shared" si="3"/>
        <v>0</v>
      </c>
      <c r="U80" s="279"/>
      <c r="V80" s="280"/>
      <c r="W80" s="278"/>
      <c r="X80" s="278"/>
      <c r="Y80" s="374" t="s">
        <v>72</v>
      </c>
      <c r="Z80" s="374"/>
      <c r="AA80" s="374"/>
      <c r="AB80" s="404" t="s">
        <v>210</v>
      </c>
    </row>
    <row r="81" spans="1:28" s="176" customFormat="1" ht="54.95" customHeight="1" x14ac:dyDescent="0.15">
      <c r="A81" s="387"/>
      <c r="B81" s="164">
        <f>D11</f>
        <v>560</v>
      </c>
      <c r="C81" s="410"/>
      <c r="D81" s="411"/>
      <c r="E81" s="412"/>
      <c r="F81" s="371"/>
      <c r="G81" s="372"/>
      <c r="H81" s="373"/>
      <c r="I81" s="276"/>
      <c r="J81" s="255"/>
      <c r="K81" s="167">
        <v>1</v>
      </c>
      <c r="L81" s="168" t="s">
        <v>63</v>
      </c>
      <c r="M81" s="169">
        <f t="shared" si="4"/>
        <v>560</v>
      </c>
      <c r="N81" s="171"/>
      <c r="O81" s="277"/>
      <c r="P81" s="169" t="s">
        <v>63</v>
      </c>
      <c r="Q81" s="377"/>
      <c r="R81" s="277">
        <v>560</v>
      </c>
      <c r="S81" s="169" t="s">
        <v>63</v>
      </c>
      <c r="T81" s="278">
        <f t="shared" si="3"/>
        <v>0</v>
      </c>
      <c r="U81" s="279"/>
      <c r="V81" s="280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387"/>
      <c r="B82" s="164">
        <f>E11</f>
        <v>190</v>
      </c>
      <c r="C82" s="410"/>
      <c r="D82" s="411"/>
      <c r="E82" s="412"/>
      <c r="F82" s="371"/>
      <c r="G82" s="372"/>
      <c r="H82" s="373"/>
      <c r="I82" s="276"/>
      <c r="J82" s="255"/>
      <c r="K82" s="167">
        <v>1</v>
      </c>
      <c r="L82" s="168" t="s">
        <v>63</v>
      </c>
      <c r="M82" s="169">
        <f t="shared" si="4"/>
        <v>190</v>
      </c>
      <c r="N82" s="171"/>
      <c r="O82" s="277"/>
      <c r="P82" s="169" t="s">
        <v>63</v>
      </c>
      <c r="Q82" s="377"/>
      <c r="R82" s="277">
        <v>190</v>
      </c>
      <c r="S82" s="169" t="s">
        <v>63</v>
      </c>
      <c r="T82" s="278">
        <f t="shared" si="3"/>
        <v>0</v>
      </c>
      <c r="U82" s="279"/>
      <c r="V82" s="280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387"/>
      <c r="B83" s="164">
        <f>F11</f>
        <v>0</v>
      </c>
      <c r="C83" s="410"/>
      <c r="D83" s="411"/>
      <c r="E83" s="412"/>
      <c r="F83" s="371"/>
      <c r="G83" s="372"/>
      <c r="H83" s="373"/>
      <c r="I83" s="276"/>
      <c r="J83" s="255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7"/>
      <c r="R83" s="277"/>
      <c r="S83" s="169" t="s">
        <v>63</v>
      </c>
      <c r="T83" s="278">
        <f t="shared" si="3"/>
        <v>0</v>
      </c>
      <c r="U83" s="279"/>
      <c r="V83" s="280"/>
      <c r="W83" s="278"/>
      <c r="X83" s="278"/>
      <c r="Y83" s="375"/>
      <c r="Z83" s="375"/>
      <c r="AA83" s="375"/>
      <c r="AB83" s="405"/>
    </row>
    <row r="84" spans="1:28" s="176" customFormat="1" ht="54.95" customHeight="1" x14ac:dyDescent="0.15">
      <c r="A84" s="388"/>
      <c r="B84" s="164">
        <f>G11</f>
        <v>0</v>
      </c>
      <c r="C84" s="413"/>
      <c r="D84" s="414"/>
      <c r="E84" s="415"/>
      <c r="F84" s="371"/>
      <c r="G84" s="372"/>
      <c r="H84" s="373"/>
      <c r="I84" s="276"/>
      <c r="J84" s="255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8"/>
      <c r="R84" s="277"/>
      <c r="S84" s="169" t="s">
        <v>63</v>
      </c>
      <c r="T84" s="278">
        <f t="shared" si="3"/>
        <v>0</v>
      </c>
      <c r="U84" s="279"/>
      <c r="V84" s="280"/>
      <c r="W84" s="278"/>
      <c r="X84" s="278"/>
      <c r="Y84" s="379"/>
      <c r="Z84" s="379"/>
      <c r="AA84" s="379"/>
      <c r="AB84" s="406"/>
    </row>
    <row r="85" spans="1:28" s="176" customFormat="1" ht="54.95" customHeight="1" x14ac:dyDescent="0.15">
      <c r="A85" s="386" t="s">
        <v>68</v>
      </c>
      <c r="B85" s="164">
        <f>C5+C8</f>
        <v>317</v>
      </c>
      <c r="C85" s="456" t="str">
        <f>A5</f>
        <v>BK</v>
      </c>
      <c r="D85" s="456"/>
      <c r="E85" s="456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317</v>
      </c>
      <c r="N85" s="171"/>
      <c r="O85" s="277"/>
      <c r="P85" s="169" t="s">
        <v>63</v>
      </c>
      <c r="Q85" s="376">
        <v>45996</v>
      </c>
      <c r="R85" s="277">
        <v>317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4" t="s">
        <v>72</v>
      </c>
      <c r="Z85" s="374"/>
      <c r="AA85" s="374"/>
      <c r="AB85" s="586" t="s">
        <v>210</v>
      </c>
    </row>
    <row r="86" spans="1:28" s="176" customFormat="1" ht="54.95" customHeight="1" x14ac:dyDescent="0.15">
      <c r="A86" s="387"/>
      <c r="B86" s="164">
        <f>D5+D8</f>
        <v>280</v>
      </c>
      <c r="C86" s="456"/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280</v>
      </c>
      <c r="N86" s="171"/>
      <c r="O86" s="277"/>
      <c r="P86" s="169" t="s">
        <v>63</v>
      </c>
      <c r="Q86" s="377"/>
      <c r="R86" s="277">
        <v>280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E5+E8</f>
        <v>100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100</v>
      </c>
      <c r="N87" s="171"/>
      <c r="O87" s="277"/>
      <c r="P87" s="169" t="s">
        <v>63</v>
      </c>
      <c r="Q87" s="377"/>
      <c r="R87" s="277">
        <v>100</v>
      </c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C6+C9</f>
        <v>340</v>
      </c>
      <c r="C88" s="456" t="str">
        <f>A6</f>
        <v>IV</v>
      </c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340</v>
      </c>
      <c r="N88" s="171"/>
      <c r="O88" s="277"/>
      <c r="P88" s="169" t="s">
        <v>63</v>
      </c>
      <c r="Q88" s="377"/>
      <c r="R88" s="168">
        <v>340</v>
      </c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D6+D9</f>
        <v>280</v>
      </c>
      <c r="C89" s="456"/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ref="M89:M109" si="32">K89*B89</f>
        <v>280</v>
      </c>
      <c r="N89" s="171"/>
      <c r="O89" s="277"/>
      <c r="P89" s="169" t="s">
        <v>63</v>
      </c>
      <c r="Q89" s="377"/>
      <c r="R89" s="168">
        <v>280</v>
      </c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7"/>
      <c r="B90" s="164">
        <f>E6+E9</f>
        <v>90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32"/>
        <v>90</v>
      </c>
      <c r="N90" s="171"/>
      <c r="O90" s="277"/>
      <c r="P90" s="169" t="s">
        <v>63</v>
      </c>
      <c r="Q90" s="377"/>
      <c r="R90" s="277">
        <v>90</v>
      </c>
      <c r="S90" s="169" t="s">
        <v>63</v>
      </c>
      <c r="T90" s="278">
        <f>R90-M90</f>
        <v>0</v>
      </c>
      <c r="U90" s="281"/>
      <c r="V90" s="282"/>
      <c r="W90" s="278"/>
      <c r="X90" s="278"/>
      <c r="Y90" s="375"/>
      <c r="Z90" s="375"/>
      <c r="AA90" s="375"/>
      <c r="AB90" s="587"/>
    </row>
    <row r="91" spans="1:28" s="176" customFormat="1" ht="54.95" customHeight="1" x14ac:dyDescent="0.15">
      <c r="A91" s="387"/>
      <c r="B91" s="164">
        <f>C7+C10</f>
        <v>0</v>
      </c>
      <c r="C91" s="456">
        <f>A7</f>
        <v>0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32"/>
        <v>0</v>
      </c>
      <c r="N91" s="171"/>
      <c r="O91" s="277"/>
      <c r="P91" s="169" t="s">
        <v>63</v>
      </c>
      <c r="Q91" s="377"/>
      <c r="R91" s="277"/>
      <c r="S91" s="169" t="s">
        <v>63</v>
      </c>
      <c r="T91" s="278">
        <f>R91-M91</f>
        <v>0</v>
      </c>
      <c r="U91" s="281"/>
      <c r="V91" s="282"/>
      <c r="W91" s="278"/>
      <c r="X91" s="278"/>
      <c r="Y91" s="375"/>
      <c r="Z91" s="375"/>
      <c r="AA91" s="375"/>
      <c r="AB91" s="587"/>
    </row>
    <row r="92" spans="1:28" s="176" customFormat="1" ht="54.95" customHeight="1" x14ac:dyDescent="0.15">
      <c r="A92" s="387"/>
      <c r="B92" s="164">
        <f>D7+D10</f>
        <v>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32"/>
        <v>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>R92-M92</f>
        <v>0</v>
      </c>
      <c r="U92" s="281"/>
      <c r="V92" s="282"/>
      <c r="W92" s="278"/>
      <c r="X92" s="278"/>
      <c r="Y92" s="375"/>
      <c r="Z92" s="375"/>
      <c r="AA92" s="375"/>
      <c r="AB92" s="587"/>
    </row>
    <row r="93" spans="1:28" s="176" customFormat="1" ht="54.95" customHeight="1" x14ac:dyDescent="0.15">
      <c r="A93" s="388"/>
      <c r="B93" s="164">
        <f>E7+E10</f>
        <v>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32"/>
        <v>0</v>
      </c>
      <c r="N93" s="171"/>
      <c r="O93" s="277"/>
      <c r="P93" s="169" t="s">
        <v>63</v>
      </c>
      <c r="Q93" s="378"/>
      <c r="R93" s="168"/>
      <c r="S93" s="169" t="s">
        <v>63</v>
      </c>
      <c r="T93" s="278">
        <f>R93-M93</f>
        <v>0</v>
      </c>
      <c r="U93" s="281"/>
      <c r="V93" s="282"/>
      <c r="W93" s="278"/>
      <c r="X93" s="278"/>
      <c r="Y93" s="379"/>
      <c r="Z93" s="379"/>
      <c r="AA93" s="379"/>
      <c r="AB93" s="588"/>
    </row>
    <row r="94" spans="1:28" s="176" customFormat="1" ht="54.95" customHeight="1" x14ac:dyDescent="0.15">
      <c r="A94" s="386" t="s">
        <v>158</v>
      </c>
      <c r="B94" s="164">
        <f>C5</f>
        <v>317</v>
      </c>
      <c r="C94" s="456" t="str">
        <f>A5</f>
        <v>BK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32"/>
        <v>317</v>
      </c>
      <c r="N94" s="171"/>
      <c r="O94" s="277"/>
      <c r="P94" s="169" t="s">
        <v>63</v>
      </c>
      <c r="Q94" s="376">
        <v>46050</v>
      </c>
      <c r="R94" s="277">
        <v>317</v>
      </c>
      <c r="S94" s="169" t="s">
        <v>63</v>
      </c>
      <c r="T94" s="278">
        <f t="shared" si="3"/>
        <v>0</v>
      </c>
      <c r="U94" s="281"/>
      <c r="V94" s="282"/>
      <c r="W94" s="278"/>
      <c r="X94" s="278"/>
      <c r="Y94" s="374" t="s">
        <v>67</v>
      </c>
      <c r="Z94" s="374"/>
      <c r="AA94" s="374"/>
      <c r="AB94" s="404" t="s">
        <v>249</v>
      </c>
    </row>
    <row r="95" spans="1:28" s="176" customFormat="1" ht="54.95" customHeight="1" x14ac:dyDescent="0.15">
      <c r="A95" s="387"/>
      <c r="B95" s="164">
        <f>D5</f>
        <v>280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32"/>
        <v>280</v>
      </c>
      <c r="N95" s="171"/>
      <c r="O95" s="277"/>
      <c r="P95" s="169" t="s">
        <v>63</v>
      </c>
      <c r="Q95" s="377"/>
      <c r="R95" s="277">
        <v>280</v>
      </c>
      <c r="S95" s="169" t="s">
        <v>63</v>
      </c>
      <c r="T95" s="278">
        <f t="shared" si="3"/>
        <v>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E5</f>
        <v>100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32"/>
        <v>100</v>
      </c>
      <c r="N96" s="171"/>
      <c r="O96" s="277"/>
      <c r="P96" s="169" t="s">
        <v>63</v>
      </c>
      <c r="Q96" s="377"/>
      <c r="R96" s="277">
        <v>100</v>
      </c>
      <c r="S96" s="169" t="s">
        <v>63</v>
      </c>
      <c r="T96" s="278">
        <f t="shared" si="3"/>
        <v>0</v>
      </c>
      <c r="U96" s="281"/>
      <c r="V96" s="282"/>
      <c r="W96" s="278"/>
      <c r="X96" s="278"/>
      <c r="Y96" s="375"/>
      <c r="Z96" s="375"/>
      <c r="AA96" s="375"/>
      <c r="AB96" s="405"/>
    </row>
    <row r="97" spans="1:28" s="176" customFormat="1" ht="54.95" customHeight="1" x14ac:dyDescent="0.15">
      <c r="A97" s="387"/>
      <c r="B97" s="164">
        <f>C6</f>
        <v>340</v>
      </c>
      <c r="C97" s="456" t="str">
        <f>A6</f>
        <v>IV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32"/>
        <v>340</v>
      </c>
      <c r="N97" s="171"/>
      <c r="O97" s="277"/>
      <c r="P97" s="169" t="s">
        <v>63</v>
      </c>
      <c r="Q97" s="377"/>
      <c r="R97" s="168">
        <v>340</v>
      </c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D6</f>
        <v>280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32"/>
        <v>280</v>
      </c>
      <c r="N98" s="171"/>
      <c r="O98" s="277"/>
      <c r="P98" s="169" t="s">
        <v>63</v>
      </c>
      <c r="Q98" s="377"/>
      <c r="R98" s="168">
        <v>280</v>
      </c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E6</f>
        <v>90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32"/>
        <v>90</v>
      </c>
      <c r="N99" s="171"/>
      <c r="O99" s="277"/>
      <c r="P99" s="169" t="s">
        <v>63</v>
      </c>
      <c r="Q99" s="377"/>
      <c r="R99" s="277">
        <v>90</v>
      </c>
      <c r="S99" s="169" t="s">
        <v>63</v>
      </c>
      <c r="T99" s="278">
        <f t="shared" si="3"/>
        <v>0</v>
      </c>
      <c r="U99" s="281"/>
      <c r="V99" s="282"/>
      <c r="W99" s="278"/>
      <c r="X99" s="278"/>
      <c r="Y99" s="374" t="s">
        <v>67</v>
      </c>
      <c r="Z99" s="374"/>
      <c r="AA99" s="374"/>
      <c r="AB99" s="405"/>
    </row>
    <row r="100" spans="1:28" s="176" customFormat="1" ht="54.95" customHeight="1" x14ac:dyDescent="0.15">
      <c r="A100" s="387"/>
      <c r="B100" s="164">
        <f>C7</f>
        <v>0</v>
      </c>
      <c r="C100" s="456">
        <f>A7</f>
        <v>0</v>
      </c>
      <c r="D100" s="456"/>
      <c r="E100" s="456"/>
      <c r="F100" s="371"/>
      <c r="G100" s="372"/>
      <c r="H100" s="373"/>
      <c r="I100" s="276"/>
      <c r="J100" s="276"/>
      <c r="K100" s="167">
        <v>1</v>
      </c>
      <c r="L100" s="168" t="s">
        <v>63</v>
      </c>
      <c r="M100" s="169">
        <f t="shared" si="32"/>
        <v>0</v>
      </c>
      <c r="N100" s="171"/>
      <c r="O100" s="277"/>
      <c r="P100" s="169" t="s">
        <v>63</v>
      </c>
      <c r="Q100" s="377"/>
      <c r="R100" s="277"/>
      <c r="S100" s="169" t="s">
        <v>63</v>
      </c>
      <c r="T100" s="278">
        <f t="shared" si="3"/>
        <v>0</v>
      </c>
      <c r="U100" s="281"/>
      <c r="V100" s="282"/>
      <c r="W100" s="278"/>
      <c r="X100" s="278"/>
      <c r="Y100" s="375"/>
      <c r="Z100" s="375"/>
      <c r="AA100" s="375"/>
      <c r="AB100" s="405"/>
    </row>
    <row r="101" spans="1:28" s="176" customFormat="1" ht="54.95" customHeight="1" x14ac:dyDescent="0.15">
      <c r="A101" s="387"/>
      <c r="B101" s="164">
        <f>D7</f>
        <v>0</v>
      </c>
      <c r="C101" s="456"/>
      <c r="D101" s="456"/>
      <c r="E101" s="456"/>
      <c r="F101" s="371"/>
      <c r="G101" s="372"/>
      <c r="H101" s="373"/>
      <c r="I101" s="276"/>
      <c r="J101" s="276"/>
      <c r="K101" s="167">
        <v>1</v>
      </c>
      <c r="L101" s="168" t="s">
        <v>63</v>
      </c>
      <c r="M101" s="169">
        <f t="shared" si="32"/>
        <v>0</v>
      </c>
      <c r="N101" s="171"/>
      <c r="O101" s="277"/>
      <c r="P101" s="169" t="s">
        <v>63</v>
      </c>
      <c r="Q101" s="377"/>
      <c r="R101" s="277"/>
      <c r="S101" s="169" t="s">
        <v>63</v>
      </c>
      <c r="T101" s="278">
        <f t="shared" si="3"/>
        <v>0</v>
      </c>
      <c r="U101" s="281"/>
      <c r="V101" s="282"/>
      <c r="W101" s="278"/>
      <c r="X101" s="278"/>
      <c r="Y101" s="375"/>
      <c r="Z101" s="375"/>
      <c r="AA101" s="375"/>
      <c r="AB101" s="405"/>
    </row>
    <row r="102" spans="1:28" s="176" customFormat="1" ht="54.95" customHeight="1" x14ac:dyDescent="0.15">
      <c r="A102" s="387"/>
      <c r="B102" s="164">
        <f>E7</f>
        <v>0</v>
      </c>
      <c r="C102" s="456"/>
      <c r="D102" s="456"/>
      <c r="E102" s="456"/>
      <c r="F102" s="371"/>
      <c r="G102" s="372"/>
      <c r="H102" s="373"/>
      <c r="I102" s="276"/>
      <c r="J102" s="276"/>
      <c r="K102" s="167">
        <v>1</v>
      </c>
      <c r="L102" s="168" t="s">
        <v>63</v>
      </c>
      <c r="M102" s="169">
        <f t="shared" si="32"/>
        <v>0</v>
      </c>
      <c r="N102" s="171"/>
      <c r="O102" s="277"/>
      <c r="P102" s="169" t="s">
        <v>63</v>
      </c>
      <c r="Q102" s="378"/>
      <c r="R102" s="168"/>
      <c r="S102" s="169" t="s">
        <v>63</v>
      </c>
      <c r="T102" s="278">
        <f t="shared" si="3"/>
        <v>0</v>
      </c>
      <c r="U102" s="281"/>
      <c r="V102" s="282"/>
      <c r="W102" s="278"/>
      <c r="X102" s="278"/>
      <c r="Y102" s="375"/>
      <c r="Z102" s="375"/>
      <c r="AA102" s="375"/>
      <c r="AB102" s="405"/>
    </row>
    <row r="103" spans="1:28" s="55" customFormat="1" ht="54.95" customHeight="1" x14ac:dyDescent="0.15">
      <c r="A103" s="386" t="s">
        <v>159</v>
      </c>
      <c r="B103" s="87">
        <f>C11</f>
        <v>657</v>
      </c>
      <c r="C103" s="389" t="s">
        <v>71</v>
      </c>
      <c r="D103" s="390"/>
      <c r="E103" s="391"/>
      <c r="F103" s="368"/>
      <c r="G103" s="369"/>
      <c r="H103" s="370"/>
      <c r="I103" s="152"/>
      <c r="J103" s="90"/>
      <c r="K103" s="156">
        <v>1</v>
      </c>
      <c r="L103" s="77" t="s">
        <v>63</v>
      </c>
      <c r="M103" s="88">
        <f t="shared" si="32"/>
        <v>657</v>
      </c>
      <c r="N103" s="89"/>
      <c r="O103" s="153"/>
      <c r="P103" s="88" t="s">
        <v>63</v>
      </c>
      <c r="Q103" s="398">
        <v>45996</v>
      </c>
      <c r="R103" s="93">
        <v>657</v>
      </c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1" t="s">
        <v>94</v>
      </c>
      <c r="Z103" s="416"/>
      <c r="AA103" s="416"/>
      <c r="AB103" s="419" t="s">
        <v>210</v>
      </c>
    </row>
    <row r="104" spans="1:28" s="55" customFormat="1" ht="54.95" customHeight="1" x14ac:dyDescent="0.15">
      <c r="A104" s="387"/>
      <c r="B104" s="87">
        <f>D11</f>
        <v>560</v>
      </c>
      <c r="C104" s="392"/>
      <c r="D104" s="393"/>
      <c r="E104" s="394"/>
      <c r="F104" s="368"/>
      <c r="G104" s="369"/>
      <c r="H104" s="370"/>
      <c r="I104" s="152"/>
      <c r="J104" s="90"/>
      <c r="K104" s="156">
        <v>1</v>
      </c>
      <c r="L104" s="77" t="s">
        <v>63</v>
      </c>
      <c r="M104" s="88">
        <f t="shared" si="32"/>
        <v>560</v>
      </c>
      <c r="N104" s="89"/>
      <c r="O104" s="153"/>
      <c r="P104" s="88" t="s">
        <v>63</v>
      </c>
      <c r="Q104" s="399"/>
      <c r="R104" s="93">
        <v>560</v>
      </c>
      <c r="S104" s="88" t="s">
        <v>63</v>
      </c>
      <c r="T104" s="154">
        <f t="shared" si="3"/>
        <v>0</v>
      </c>
      <c r="U104" s="91"/>
      <c r="V104" s="159"/>
      <c r="W104" s="159"/>
      <c r="X104" s="159"/>
      <c r="Y104" s="402"/>
      <c r="Z104" s="417"/>
      <c r="AA104" s="417"/>
      <c r="AB104" s="420"/>
    </row>
    <row r="105" spans="1:28" s="55" customFormat="1" ht="54.95" customHeight="1" x14ac:dyDescent="0.15">
      <c r="A105" s="387"/>
      <c r="B105" s="87">
        <f>E11</f>
        <v>190</v>
      </c>
      <c r="C105" s="392"/>
      <c r="D105" s="393"/>
      <c r="E105" s="394"/>
      <c r="F105" s="368"/>
      <c r="G105" s="369"/>
      <c r="H105" s="370"/>
      <c r="I105" s="152"/>
      <c r="J105" s="90"/>
      <c r="K105" s="156">
        <v>1</v>
      </c>
      <c r="L105" s="77" t="s">
        <v>63</v>
      </c>
      <c r="M105" s="88">
        <f t="shared" si="32"/>
        <v>190</v>
      </c>
      <c r="N105" s="89"/>
      <c r="O105" s="153"/>
      <c r="P105" s="88" t="s">
        <v>63</v>
      </c>
      <c r="Q105" s="399"/>
      <c r="R105" s="93">
        <v>190</v>
      </c>
      <c r="S105" s="88" t="s">
        <v>63</v>
      </c>
      <c r="T105" s="154">
        <f t="shared" si="3"/>
        <v>0</v>
      </c>
      <c r="U105" s="91"/>
      <c r="V105" s="159"/>
      <c r="W105" s="159"/>
      <c r="X105" s="159"/>
      <c r="Y105" s="402"/>
      <c r="Z105" s="417"/>
      <c r="AA105" s="417"/>
      <c r="AB105" s="420"/>
    </row>
    <row r="106" spans="1:28" s="55" customFormat="1" ht="54.95" customHeight="1" x14ac:dyDescent="0.15">
      <c r="A106" s="388"/>
      <c r="B106" s="87">
        <f>F11</f>
        <v>0</v>
      </c>
      <c r="C106" s="395"/>
      <c r="D106" s="396"/>
      <c r="E106" s="397"/>
      <c r="F106" s="368"/>
      <c r="G106" s="369"/>
      <c r="H106" s="370"/>
      <c r="I106" s="152"/>
      <c r="J106" s="90"/>
      <c r="K106" s="156"/>
      <c r="L106" s="77" t="s">
        <v>63</v>
      </c>
      <c r="M106" s="88">
        <f t="shared" si="32"/>
        <v>0</v>
      </c>
      <c r="N106" s="89"/>
      <c r="O106" s="153"/>
      <c r="P106" s="88" t="s">
        <v>63</v>
      </c>
      <c r="Q106" s="400"/>
      <c r="R106" s="162"/>
      <c r="S106" s="88" t="s">
        <v>63</v>
      </c>
      <c r="T106" s="154">
        <f t="shared" si="3"/>
        <v>0</v>
      </c>
      <c r="U106" s="91"/>
      <c r="V106" s="159"/>
      <c r="W106" s="159"/>
      <c r="X106" s="159"/>
      <c r="Y106" s="403"/>
      <c r="Z106" s="418"/>
      <c r="AA106" s="418"/>
      <c r="AB106" s="421"/>
    </row>
    <row r="107" spans="1:28" s="176" customFormat="1" ht="54.95" customHeight="1" x14ac:dyDescent="0.15">
      <c r="A107" s="163" t="s">
        <v>73</v>
      </c>
      <c r="B107" s="164">
        <f>I11</f>
        <v>1407</v>
      </c>
      <c r="C107" s="371" t="s">
        <v>71</v>
      </c>
      <c r="D107" s="372"/>
      <c r="E107" s="373"/>
      <c r="F107" s="371"/>
      <c r="G107" s="372"/>
      <c r="H107" s="373"/>
      <c r="I107" s="165"/>
      <c r="J107" s="166"/>
      <c r="K107" s="167">
        <v>1</v>
      </c>
      <c r="L107" s="168" t="s">
        <v>63</v>
      </c>
      <c r="M107" s="88">
        <f t="shared" si="32"/>
        <v>1407</v>
      </c>
      <c r="N107" s="170"/>
      <c r="O107" s="170"/>
      <c r="P107" s="169" t="s">
        <v>63</v>
      </c>
      <c r="Q107" s="363">
        <v>45996</v>
      </c>
      <c r="R107" s="165">
        <v>1407</v>
      </c>
      <c r="S107" s="169" t="s">
        <v>63</v>
      </c>
      <c r="T107" s="154">
        <f t="shared" si="3"/>
        <v>0</v>
      </c>
      <c r="U107" s="170"/>
      <c r="V107" s="172"/>
      <c r="W107" s="172"/>
      <c r="X107" s="172"/>
      <c r="Y107" s="374" t="s">
        <v>72</v>
      </c>
      <c r="Z107" s="380"/>
      <c r="AA107" s="383"/>
      <c r="AB107" s="586" t="s">
        <v>210</v>
      </c>
    </row>
    <row r="108" spans="1:28" s="55" customFormat="1" ht="54.95" customHeight="1" x14ac:dyDescent="0.15">
      <c r="A108" s="163" t="s">
        <v>81</v>
      </c>
      <c r="B108" s="87">
        <f>I11</f>
        <v>1407</v>
      </c>
      <c r="C108" s="368" t="s">
        <v>71</v>
      </c>
      <c r="D108" s="369"/>
      <c r="E108" s="370"/>
      <c r="F108" s="368"/>
      <c r="G108" s="369"/>
      <c r="H108" s="370"/>
      <c r="I108" s="93"/>
      <c r="J108" s="90"/>
      <c r="K108" s="156">
        <v>1</v>
      </c>
      <c r="L108" s="77" t="s">
        <v>63</v>
      </c>
      <c r="M108" s="88">
        <f>K108*B108</f>
        <v>1407</v>
      </c>
      <c r="N108" s="91"/>
      <c r="O108" s="91"/>
      <c r="P108" s="169" t="s">
        <v>63</v>
      </c>
      <c r="Q108" s="364"/>
      <c r="R108" s="165">
        <v>1407</v>
      </c>
      <c r="S108" s="169" t="s">
        <v>63</v>
      </c>
      <c r="T108" s="154">
        <f t="shared" si="3"/>
        <v>0</v>
      </c>
      <c r="U108" s="91"/>
      <c r="V108" s="91"/>
      <c r="W108" s="91"/>
      <c r="X108" s="91"/>
      <c r="Y108" s="375"/>
      <c r="Z108" s="381"/>
      <c r="AA108" s="384"/>
      <c r="AB108" s="587"/>
    </row>
    <row r="109" spans="1:28" s="55" customFormat="1" ht="54.95" customHeight="1" x14ac:dyDescent="0.15">
      <c r="A109" s="284" t="s">
        <v>160</v>
      </c>
      <c r="B109" s="87">
        <f>I11</f>
        <v>1407</v>
      </c>
      <c r="C109" s="368" t="s">
        <v>71</v>
      </c>
      <c r="D109" s="369"/>
      <c r="E109" s="370"/>
      <c r="F109" s="368"/>
      <c r="G109" s="369"/>
      <c r="H109" s="370"/>
      <c r="I109" s="93" t="s">
        <v>199</v>
      </c>
      <c r="J109" s="93"/>
      <c r="K109" s="156">
        <v>1</v>
      </c>
      <c r="L109" s="77" t="s">
        <v>63</v>
      </c>
      <c r="M109" s="88">
        <f t="shared" si="32"/>
        <v>1407</v>
      </c>
      <c r="N109" s="91"/>
      <c r="O109" s="91"/>
      <c r="P109" s="89" t="s">
        <v>63</v>
      </c>
      <c r="Q109" s="365"/>
      <c r="R109" s="93">
        <v>1407</v>
      </c>
      <c r="S109" s="89" t="s">
        <v>63</v>
      </c>
      <c r="T109" s="154">
        <f t="shared" si="3"/>
        <v>0</v>
      </c>
      <c r="U109" s="91"/>
      <c r="V109" s="91"/>
      <c r="W109" s="91"/>
      <c r="X109" s="91"/>
      <c r="Y109" s="379"/>
      <c r="Z109" s="382"/>
      <c r="AA109" s="385"/>
      <c r="AB109" s="588"/>
    </row>
    <row r="110" spans="1:28" x14ac:dyDescent="0.15">
      <c r="A110" s="285"/>
      <c r="B110" s="366"/>
      <c r="C110" s="366"/>
      <c r="D110" s="177"/>
      <c r="E110" s="177"/>
      <c r="F110" s="100"/>
      <c r="G110" s="100"/>
      <c r="H110" s="100"/>
      <c r="I110" s="177"/>
      <c r="J110" s="177"/>
      <c r="K110" s="101"/>
      <c r="L110" s="102"/>
      <c r="M110" s="103"/>
      <c r="N110" s="104"/>
      <c r="O110" s="104"/>
      <c r="P110" s="177"/>
      <c r="Q110" s="105"/>
      <c r="R110" s="105"/>
      <c r="S110" s="106"/>
      <c r="T110" s="107"/>
      <c r="U110" s="108"/>
      <c r="V110" s="108"/>
      <c r="W110" s="109"/>
      <c r="X110" s="107"/>
      <c r="Y110" s="110"/>
      <c r="Z110" s="111"/>
      <c r="AA110" s="111"/>
    </row>
    <row r="111" spans="1:28" x14ac:dyDescent="0.15">
      <c r="A111" s="285"/>
      <c r="B111" s="366"/>
      <c r="C111" s="366"/>
      <c r="D111" s="177"/>
      <c r="E111" s="177"/>
      <c r="F111" s="367"/>
      <c r="G111" s="367"/>
      <c r="H111" s="367"/>
      <c r="I111" s="177"/>
      <c r="J111" s="177"/>
      <c r="K111" s="101"/>
      <c r="L111" s="102"/>
      <c r="M111" s="103"/>
      <c r="N111" s="104"/>
      <c r="O111" s="104"/>
      <c r="P111" s="177"/>
      <c r="Q111" s="105"/>
      <c r="R111" s="105"/>
      <c r="S111" s="106"/>
      <c r="T111" s="107"/>
      <c r="U111" s="108"/>
      <c r="V111" s="108"/>
      <c r="W111" s="109"/>
      <c r="X111" s="107"/>
      <c r="Y111" s="112"/>
      <c r="Z111" s="111"/>
      <c r="AA111" s="111"/>
    </row>
    <row r="112" spans="1:28" x14ac:dyDescent="0.15">
      <c r="J112" s="177"/>
    </row>
    <row r="113" spans="1:29" x14ac:dyDescent="0.15">
      <c r="J113" s="177"/>
    </row>
    <row r="120" spans="1:29" s="114" customFormat="1" x14ac:dyDescent="0.15">
      <c r="A120" s="286"/>
      <c r="B120" s="113"/>
      <c r="C120" s="1"/>
      <c r="D120" s="1"/>
      <c r="E120" s="1"/>
      <c r="F120" s="1"/>
      <c r="G120" s="1"/>
      <c r="H120" s="1"/>
      <c r="I120" s="1"/>
      <c r="J120" s="1"/>
      <c r="L120" s="115"/>
      <c r="M120" s="116"/>
      <c r="N120" s="117"/>
      <c r="O120" s="117"/>
      <c r="P120" s="1"/>
      <c r="Q120" s="118"/>
      <c r="R120" s="118"/>
      <c r="S120" s="115"/>
      <c r="T120" s="119"/>
      <c r="U120" s="1"/>
      <c r="V120" s="1"/>
      <c r="W120" s="120"/>
      <c r="X120" s="121"/>
      <c r="Y120" s="1"/>
      <c r="Z120" s="1"/>
      <c r="AA120" s="1"/>
      <c r="AB120" s="1"/>
      <c r="AC120" s="1"/>
    </row>
    <row r="121" spans="1:29" s="114" customFormat="1" x14ac:dyDescent="0.15">
      <c r="A121" s="286"/>
      <c r="B121" s="113"/>
      <c r="C121" s="1"/>
      <c r="D121" s="1"/>
      <c r="E121" s="1"/>
      <c r="F121" s="1"/>
      <c r="G121" s="1"/>
      <c r="H121" s="1"/>
      <c r="I121" s="1"/>
      <c r="J121" s="1"/>
      <c r="L121" s="115"/>
      <c r="M121" s="116"/>
      <c r="N121" s="117"/>
      <c r="O121" s="117"/>
      <c r="P121" s="1"/>
      <c r="Q121" s="118"/>
      <c r="R121" s="118"/>
      <c r="S121" s="115"/>
      <c r="T121" s="119"/>
      <c r="U121" s="1"/>
      <c r="V121" s="1"/>
      <c r="W121" s="120"/>
      <c r="X121" s="121"/>
      <c r="Y121" s="1"/>
      <c r="Z121" s="1"/>
      <c r="AA121" s="1"/>
      <c r="AB121" s="1"/>
      <c r="AC121" s="1"/>
    </row>
  </sheetData>
  <mergeCells count="381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8:A19"/>
    <mergeCell ref="C18:E18"/>
    <mergeCell ref="F18:H18"/>
    <mergeCell ref="Q18:Q19"/>
    <mergeCell ref="Y18:Y19"/>
    <mergeCell ref="AB18:AB19"/>
    <mergeCell ref="C19:E19"/>
    <mergeCell ref="F19:H19"/>
    <mergeCell ref="A13:A14"/>
    <mergeCell ref="B13:B14"/>
    <mergeCell ref="C13:E13"/>
    <mergeCell ref="F13:H13"/>
    <mergeCell ref="K13:L13"/>
    <mergeCell ref="N13:P13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Q15:Q17"/>
    <mergeCell ref="Y15:Y17"/>
    <mergeCell ref="AB15:AB17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32:A34"/>
    <mergeCell ref="C32:E32"/>
    <mergeCell ref="F32:H32"/>
    <mergeCell ref="I32:I34"/>
    <mergeCell ref="Q32:Q34"/>
    <mergeCell ref="A29:A31"/>
    <mergeCell ref="C29:E29"/>
    <mergeCell ref="F29:H29"/>
    <mergeCell ref="I29:I31"/>
    <mergeCell ref="Q29:Q31"/>
    <mergeCell ref="Y32:Y34"/>
    <mergeCell ref="C33:E33"/>
    <mergeCell ref="F33:H33"/>
    <mergeCell ref="AC33:AF33"/>
    <mergeCell ref="C34:E34"/>
    <mergeCell ref="F34:H34"/>
    <mergeCell ref="AC34:AF34"/>
    <mergeCell ref="AB29:AB34"/>
    <mergeCell ref="C30:E30"/>
    <mergeCell ref="F30:H30"/>
    <mergeCell ref="C31:E31"/>
    <mergeCell ref="F31:H31"/>
    <mergeCell ref="Y29:Y31"/>
    <mergeCell ref="AB35:AB37"/>
    <mergeCell ref="C36:E36"/>
    <mergeCell ref="F36:H36"/>
    <mergeCell ref="AC36:AF36"/>
    <mergeCell ref="C37:E37"/>
    <mergeCell ref="F37:H37"/>
    <mergeCell ref="AC37:AF37"/>
    <mergeCell ref="A35:A37"/>
    <mergeCell ref="C35:E35"/>
    <mergeCell ref="F35:H35"/>
    <mergeCell ref="I35:I37"/>
    <mergeCell ref="Q35:Q37"/>
    <mergeCell ref="Y35:Y37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C48:AF48"/>
    <mergeCell ref="C49:E49"/>
    <mergeCell ref="F49:H49"/>
    <mergeCell ref="AC49:AF49"/>
    <mergeCell ref="A50:A52"/>
    <mergeCell ref="C50:E50"/>
    <mergeCell ref="F50:H50"/>
    <mergeCell ref="I50:I52"/>
    <mergeCell ref="Y50:Y52"/>
    <mergeCell ref="C51:E51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A44:A46"/>
    <mergeCell ref="C44:E44"/>
    <mergeCell ref="F44:H44"/>
    <mergeCell ref="I44:I46"/>
    <mergeCell ref="A56:A58"/>
    <mergeCell ref="C56:E56"/>
    <mergeCell ref="F56:H56"/>
    <mergeCell ref="Q56:Q58"/>
    <mergeCell ref="Y56:Y58"/>
    <mergeCell ref="Q44:Q52"/>
    <mergeCell ref="Y44:Y46"/>
    <mergeCell ref="A47:A49"/>
    <mergeCell ref="Y47:Y49"/>
    <mergeCell ref="C48:E48"/>
    <mergeCell ref="F48:H48"/>
    <mergeCell ref="C57:E57"/>
    <mergeCell ref="F57:H57"/>
    <mergeCell ref="C58:E58"/>
    <mergeCell ref="F58:H58"/>
    <mergeCell ref="A53:A55"/>
    <mergeCell ref="C53:E53"/>
    <mergeCell ref="F53:H53"/>
    <mergeCell ref="I53:I55"/>
    <mergeCell ref="Y53:Y55"/>
    <mergeCell ref="C54:E54"/>
    <mergeCell ref="F54:H54"/>
    <mergeCell ref="C55:E55"/>
    <mergeCell ref="F55:H55"/>
    <mergeCell ref="AB59:AB61"/>
    <mergeCell ref="C60:E60"/>
    <mergeCell ref="F60:H60"/>
    <mergeCell ref="C61:E61"/>
    <mergeCell ref="F61:H61"/>
    <mergeCell ref="F51:H51"/>
    <mergeCell ref="AC51:AF51"/>
    <mergeCell ref="C52:E52"/>
    <mergeCell ref="F52:H52"/>
    <mergeCell ref="AC52:AF52"/>
    <mergeCell ref="AB56:AB58"/>
    <mergeCell ref="AC54:AF54"/>
    <mergeCell ref="AC55:AF55"/>
    <mergeCell ref="AB53:AB55"/>
    <mergeCell ref="Q53:Q55"/>
    <mergeCell ref="A68:A70"/>
    <mergeCell ref="C68:E68"/>
    <mergeCell ref="F68:H68"/>
    <mergeCell ref="Q68:Q70"/>
    <mergeCell ref="Y68:Y70"/>
    <mergeCell ref="A59:A61"/>
    <mergeCell ref="C59:E59"/>
    <mergeCell ref="F59:H59"/>
    <mergeCell ref="Q59:Q61"/>
    <mergeCell ref="Y59:Y61"/>
    <mergeCell ref="AB62:AB64"/>
    <mergeCell ref="C63:E63"/>
    <mergeCell ref="F63:H63"/>
    <mergeCell ref="C64:E64"/>
    <mergeCell ref="F64:H64"/>
    <mergeCell ref="A65:A67"/>
    <mergeCell ref="C65:E65"/>
    <mergeCell ref="F65:H65"/>
    <mergeCell ref="Q65:Q67"/>
    <mergeCell ref="Y65:Y67"/>
    <mergeCell ref="A62:A64"/>
    <mergeCell ref="C62:E62"/>
    <mergeCell ref="F62:H62"/>
    <mergeCell ref="Q62:Q64"/>
    <mergeCell ref="Y62:Y64"/>
    <mergeCell ref="C67:E67"/>
    <mergeCell ref="F67:H67"/>
    <mergeCell ref="Z80:Z84"/>
    <mergeCell ref="AA80:AA84"/>
    <mergeCell ref="AB80:AB84"/>
    <mergeCell ref="F81:H81"/>
    <mergeCell ref="F82:H82"/>
    <mergeCell ref="F83:H83"/>
    <mergeCell ref="F84:H84"/>
    <mergeCell ref="AB77:AB79"/>
    <mergeCell ref="C78:E78"/>
    <mergeCell ref="F78:H78"/>
    <mergeCell ref="C79:E79"/>
    <mergeCell ref="F79:H79"/>
    <mergeCell ref="C80:E84"/>
    <mergeCell ref="F80:H80"/>
    <mergeCell ref="Q80:Q84"/>
    <mergeCell ref="Y80:Y84"/>
    <mergeCell ref="C77:E77"/>
    <mergeCell ref="F77:H77"/>
    <mergeCell ref="I77:I79"/>
    <mergeCell ref="Q77:Q79"/>
    <mergeCell ref="Y77:Y79"/>
    <mergeCell ref="AA85:AA93"/>
    <mergeCell ref="AB85:AB93"/>
    <mergeCell ref="F86:H86"/>
    <mergeCell ref="F87:H87"/>
    <mergeCell ref="C88:E90"/>
    <mergeCell ref="F88:H88"/>
    <mergeCell ref="F89:H89"/>
    <mergeCell ref="F90:H90"/>
    <mergeCell ref="C91:E93"/>
    <mergeCell ref="F91:H91"/>
    <mergeCell ref="C85:E87"/>
    <mergeCell ref="F85:H85"/>
    <mergeCell ref="Q85:Q93"/>
    <mergeCell ref="Y85:Y93"/>
    <mergeCell ref="Z85:Z93"/>
    <mergeCell ref="F92:H92"/>
    <mergeCell ref="F93:H93"/>
    <mergeCell ref="AA94:AA98"/>
    <mergeCell ref="AB94:AB102"/>
    <mergeCell ref="F95:H95"/>
    <mergeCell ref="F96:H96"/>
    <mergeCell ref="C97:E99"/>
    <mergeCell ref="F97:H97"/>
    <mergeCell ref="F98:H98"/>
    <mergeCell ref="F99:H99"/>
    <mergeCell ref="Y99:Y102"/>
    <mergeCell ref="Z99:Z102"/>
    <mergeCell ref="C94:E96"/>
    <mergeCell ref="F94:H94"/>
    <mergeCell ref="Q94:Q102"/>
    <mergeCell ref="Y94:Y98"/>
    <mergeCell ref="Z94:Z98"/>
    <mergeCell ref="Z103:Z106"/>
    <mergeCell ref="AA103:AA106"/>
    <mergeCell ref="AB103:AB106"/>
    <mergeCell ref="F104:H104"/>
    <mergeCell ref="F105:H105"/>
    <mergeCell ref="F106:H106"/>
    <mergeCell ref="AA99:AA102"/>
    <mergeCell ref="C100:E102"/>
    <mergeCell ref="F100:H100"/>
    <mergeCell ref="F101:H101"/>
    <mergeCell ref="F102:H102"/>
    <mergeCell ref="C103:E106"/>
    <mergeCell ref="F103:H103"/>
    <mergeCell ref="Q103:Q106"/>
    <mergeCell ref="Y103:Y106"/>
    <mergeCell ref="AB107:AB109"/>
    <mergeCell ref="C108:E108"/>
    <mergeCell ref="F108:H108"/>
    <mergeCell ref="C109:E109"/>
    <mergeCell ref="F109:H109"/>
    <mergeCell ref="B110:C110"/>
    <mergeCell ref="C107:E107"/>
    <mergeCell ref="F107:H107"/>
    <mergeCell ref="Q107:Q109"/>
    <mergeCell ref="Y107:Y109"/>
    <mergeCell ref="Z107:Z109"/>
    <mergeCell ref="AA107:AA109"/>
    <mergeCell ref="B111:C111"/>
    <mergeCell ref="F111:H111"/>
    <mergeCell ref="A26:A28"/>
    <mergeCell ref="C26:E26"/>
    <mergeCell ref="F26:H26"/>
    <mergeCell ref="I26:I28"/>
    <mergeCell ref="A74:A76"/>
    <mergeCell ref="C74:E74"/>
    <mergeCell ref="F74:H74"/>
    <mergeCell ref="I74:I76"/>
    <mergeCell ref="A103:A106"/>
    <mergeCell ref="A94:A102"/>
    <mergeCell ref="A85:A93"/>
    <mergeCell ref="A80:A84"/>
    <mergeCell ref="A77:A79"/>
    <mergeCell ref="C72:E72"/>
    <mergeCell ref="F72:H72"/>
    <mergeCell ref="C73:E73"/>
    <mergeCell ref="F73:H73"/>
    <mergeCell ref="C69:E69"/>
    <mergeCell ref="F69:H69"/>
    <mergeCell ref="C70:E70"/>
    <mergeCell ref="F70:H70"/>
    <mergeCell ref="A71:A73"/>
    <mergeCell ref="Q74:Q76"/>
    <mergeCell ref="Y74:Y76"/>
    <mergeCell ref="AB74:AB76"/>
    <mergeCell ref="C75:E75"/>
    <mergeCell ref="F75:H75"/>
    <mergeCell ref="C76:E76"/>
    <mergeCell ref="F76:H76"/>
    <mergeCell ref="Q26:Q28"/>
    <mergeCell ref="Y26:Y28"/>
    <mergeCell ref="AB26:AB28"/>
    <mergeCell ref="C27:E27"/>
    <mergeCell ref="F27:H27"/>
    <mergeCell ref="C28:E28"/>
    <mergeCell ref="F28:H28"/>
    <mergeCell ref="Y71:Y73"/>
    <mergeCell ref="AB71:AB73"/>
    <mergeCell ref="AB68:AB70"/>
    <mergeCell ref="C71:E71"/>
    <mergeCell ref="F71:H71"/>
    <mergeCell ref="I71:I73"/>
    <mergeCell ref="Q71:Q73"/>
    <mergeCell ref="AB65:AB67"/>
    <mergeCell ref="C66:E66"/>
    <mergeCell ref="F66:H6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4" max="27" man="1"/>
  </rowBreaks>
  <colBreaks count="1" manualBreakCount="1">
    <brk id="2" max="4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9B54-46AC-4CE8-849D-35D2955904C0}">
  <sheetPr>
    <tabColor rgb="FFFF0000"/>
  </sheetPr>
  <dimension ref="A1"/>
  <sheetViews>
    <sheetView workbookViewId="0">
      <selection activeCell="R36" sqref="R36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9E89-3A33-4FA2-A128-98D1370EEC32}">
  <sheetPr>
    <pageSetUpPr fitToPage="1"/>
  </sheetPr>
  <dimension ref="A1:AF102"/>
  <sheetViews>
    <sheetView view="pageBreakPreview" topLeftCell="A55" zoomScale="75" zoomScaleNormal="100" zoomScaleSheetLayoutView="75" workbookViewId="0">
      <selection activeCell="T10" sqref="T10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235</v>
      </c>
      <c r="C2" s="548"/>
      <c r="D2" s="548"/>
      <c r="E2" s="548"/>
      <c r="F2" s="548"/>
      <c r="G2" s="549"/>
      <c r="H2" s="180" t="s">
        <v>1</v>
      </c>
      <c r="I2" s="550">
        <f>I11</f>
        <v>1366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 t="s">
        <v>219</v>
      </c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313"/>
      <c r="AC4" s="14" t="s">
        <v>23</v>
      </c>
    </row>
    <row r="5" spans="1:32" ht="24.95" customHeight="1" x14ac:dyDescent="0.15">
      <c r="A5" s="480" t="s">
        <v>223</v>
      </c>
      <c r="B5" s="480"/>
      <c r="C5" s="182">
        <v>240</v>
      </c>
      <c r="D5" s="182">
        <v>250</v>
      </c>
      <c r="E5" s="182">
        <f>48+26</f>
        <v>74</v>
      </c>
      <c r="F5" s="182"/>
      <c r="G5" s="182"/>
      <c r="H5" s="542" t="s">
        <v>24</v>
      </c>
      <c r="I5" s="524">
        <f t="shared" ref="I5:I11" si="0">SUM(C5:G5)</f>
        <v>564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98</v>
      </c>
      <c r="B6" s="523"/>
      <c r="C6" s="182">
        <v>340</v>
      </c>
      <c r="D6" s="182">
        <v>350</v>
      </c>
      <c r="E6" s="182">
        <f>39+73</f>
        <v>112</v>
      </c>
      <c r="F6" s="182"/>
      <c r="G6" s="182"/>
      <c r="H6" s="537"/>
      <c r="I6" s="524">
        <f t="shared" si="0"/>
        <v>802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 t="s">
        <v>247</v>
      </c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46030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580</v>
      </c>
      <c r="D11" s="181">
        <f>SUM(D5:D10)</f>
        <v>600</v>
      </c>
      <c r="E11" s="181">
        <f>SUM(E5:E10)</f>
        <v>186</v>
      </c>
      <c r="F11" s="181">
        <f>SUM(F5:F10)</f>
        <v>0</v>
      </c>
      <c r="G11" s="181">
        <f>SUM(G5:G10)</f>
        <v>0</v>
      </c>
      <c r="H11" s="182"/>
      <c r="I11" s="481">
        <f t="shared" si="0"/>
        <v>1366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46141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591.6</v>
      </c>
      <c r="D12" s="43">
        <f>D11*1.02</f>
        <v>612</v>
      </c>
      <c r="E12" s="43">
        <f>E11*1.02</f>
        <v>189.72</v>
      </c>
      <c r="F12" s="43">
        <f>F11*1.02</f>
        <v>0</v>
      </c>
      <c r="G12" s="43">
        <f>G11*1.02</f>
        <v>0</v>
      </c>
      <c r="H12" s="44"/>
      <c r="I12" s="486">
        <f>I11*1.02</f>
        <v>1393.32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5" si="1">$I$5</f>
        <v>564</v>
      </c>
      <c r="C15" s="474" t="str">
        <f t="shared" ref="C15:C25" si="2">$A$5</f>
        <v>KH</v>
      </c>
      <c r="D15" s="475"/>
      <c r="E15" s="476"/>
      <c r="F15" s="474"/>
      <c r="G15" s="475"/>
      <c r="H15" s="476"/>
      <c r="I15" s="71">
        <v>53</v>
      </c>
      <c r="J15" s="65" t="s">
        <v>6</v>
      </c>
      <c r="K15" s="66">
        <v>1.34</v>
      </c>
      <c r="L15" s="67" t="s">
        <v>7</v>
      </c>
      <c r="M15" s="68">
        <f>K15*B15</f>
        <v>755.76</v>
      </c>
      <c r="N15" s="69"/>
      <c r="O15" s="70"/>
      <c r="P15" s="67" t="s">
        <v>7</v>
      </c>
      <c r="Q15" s="478">
        <v>46045</v>
      </c>
      <c r="R15" s="122">
        <v>756.25</v>
      </c>
      <c r="S15" s="71" t="s">
        <v>7</v>
      </c>
      <c r="T15" s="123">
        <f t="shared" ref="T15:T92" si="3">R15-M15</f>
        <v>0.49000000000000909</v>
      </c>
      <c r="U15" s="72"/>
      <c r="V15" s="72"/>
      <c r="W15" s="73"/>
      <c r="X15" s="74"/>
      <c r="Y15" s="479" t="s">
        <v>126</v>
      </c>
      <c r="Z15" s="63"/>
      <c r="AA15" s="64"/>
      <c r="AB15" s="566" t="s">
        <v>237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802</v>
      </c>
      <c r="C16" s="368" t="str">
        <f>$A$6</f>
        <v>BK</v>
      </c>
      <c r="D16" s="369"/>
      <c r="E16" s="370"/>
      <c r="F16" s="368"/>
      <c r="G16" s="369"/>
      <c r="H16" s="370"/>
      <c r="I16" s="75">
        <v>54</v>
      </c>
      <c r="J16" s="76" t="s">
        <v>6</v>
      </c>
      <c r="K16" s="83">
        <v>1.33</v>
      </c>
      <c r="L16" s="77" t="s">
        <v>7</v>
      </c>
      <c r="M16" s="78">
        <f t="shared" ref="M16:M92" si="4">K16*B16</f>
        <v>1066.6600000000001</v>
      </c>
      <c r="N16" s="79"/>
      <c r="O16" s="128"/>
      <c r="P16" s="77" t="s">
        <v>7</v>
      </c>
      <c r="Q16" s="444"/>
      <c r="R16" s="130">
        <v>1067.25</v>
      </c>
      <c r="S16" s="75" t="s">
        <v>7</v>
      </c>
      <c r="T16" s="81">
        <f t="shared" si="3"/>
        <v>0.58999999999991815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564</v>
      </c>
      <c r="C17" s="461" t="str">
        <f t="shared" si="2"/>
        <v>KH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802</v>
      </c>
      <c r="C18" s="461" t="str">
        <f>$A$6</f>
        <v>BK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206" customFormat="1" ht="69.95" customHeight="1" x14ac:dyDescent="0.15">
      <c r="A19" s="431" t="s">
        <v>85</v>
      </c>
      <c r="B19" s="182">
        <f t="shared" si="1"/>
        <v>564</v>
      </c>
      <c r="C19" s="461" t="str">
        <f t="shared" si="2"/>
        <v>KH</v>
      </c>
      <c r="D19" s="461"/>
      <c r="E19" s="461"/>
      <c r="F19" s="461"/>
      <c r="G19" s="461"/>
      <c r="H19" s="461"/>
      <c r="I19" s="441" t="s">
        <v>8</v>
      </c>
      <c r="J19" s="76" t="s">
        <v>6</v>
      </c>
      <c r="K19" s="136">
        <v>0.2</v>
      </c>
      <c r="L19" s="77" t="s">
        <v>7</v>
      </c>
      <c r="M19" s="78">
        <f t="shared" si="4"/>
        <v>112.80000000000001</v>
      </c>
      <c r="N19" s="79"/>
      <c r="O19" s="78"/>
      <c r="P19" s="80" t="s">
        <v>7</v>
      </c>
      <c r="Q19" s="443">
        <v>46045</v>
      </c>
      <c r="R19" s="78">
        <v>113</v>
      </c>
      <c r="S19" s="80" t="s">
        <v>7</v>
      </c>
      <c r="T19" s="81">
        <f t="shared" si="3"/>
        <v>0.19999999999998863</v>
      </c>
      <c r="U19" s="82"/>
      <c r="V19" s="137"/>
      <c r="W19" s="78"/>
      <c r="X19" s="78"/>
      <c r="Y19" s="445" t="s">
        <v>93</v>
      </c>
      <c r="Z19" s="138"/>
      <c r="AA19" s="135"/>
      <c r="AB19" s="360" t="s">
        <v>240</v>
      </c>
      <c r="AC19" s="229"/>
      <c r="AD19" s="230"/>
      <c r="AE19" s="230"/>
      <c r="AF19" s="230"/>
    </row>
    <row r="20" spans="1:32" s="206" customFormat="1" ht="69.95" customHeight="1" x14ac:dyDescent="0.15">
      <c r="A20" s="432"/>
      <c r="B20" s="182">
        <f>$I$6</f>
        <v>802</v>
      </c>
      <c r="C20" s="461" t="str">
        <f>$A$6</f>
        <v>BK</v>
      </c>
      <c r="D20" s="461"/>
      <c r="E20" s="461"/>
      <c r="F20" s="461"/>
      <c r="G20" s="461"/>
      <c r="H20" s="461"/>
      <c r="I20" s="442"/>
      <c r="J20" s="76" t="s">
        <v>6</v>
      </c>
      <c r="K20" s="136">
        <v>0.2</v>
      </c>
      <c r="L20" s="77" t="s">
        <v>7</v>
      </c>
      <c r="M20" s="78">
        <f t="shared" si="4"/>
        <v>160.4</v>
      </c>
      <c r="N20" s="79"/>
      <c r="O20" s="128"/>
      <c r="P20" s="77" t="s">
        <v>7</v>
      </c>
      <c r="Q20" s="444"/>
      <c r="R20" s="137">
        <v>161</v>
      </c>
      <c r="S20" s="75" t="s">
        <v>7</v>
      </c>
      <c r="T20" s="81">
        <f t="shared" si="3"/>
        <v>0.59999999999999432</v>
      </c>
      <c r="U20" s="131"/>
      <c r="V20" s="131"/>
      <c r="W20" s="132"/>
      <c r="X20" s="133"/>
      <c r="Y20" s="446"/>
      <c r="Z20" s="228"/>
      <c r="AA20" s="228"/>
      <c r="AB20" s="362"/>
      <c r="AC20" s="229"/>
      <c r="AD20" s="230"/>
      <c r="AE20" s="230"/>
      <c r="AF20" s="230"/>
    </row>
    <row r="21" spans="1:32" s="206" customFormat="1" ht="69.95" customHeight="1" x14ac:dyDescent="0.15">
      <c r="A21" s="431" t="s">
        <v>115</v>
      </c>
      <c r="B21" s="191">
        <f t="shared" si="1"/>
        <v>564</v>
      </c>
      <c r="C21" s="465" t="str">
        <f t="shared" si="2"/>
        <v>KH</v>
      </c>
      <c r="D21" s="465"/>
      <c r="E21" s="465"/>
      <c r="F21" s="465"/>
      <c r="G21" s="465"/>
      <c r="H21" s="465"/>
      <c r="I21" s="433" t="s">
        <v>8</v>
      </c>
      <c r="J21" s="192" t="s">
        <v>6</v>
      </c>
      <c r="K21" s="209"/>
      <c r="L21" s="194" t="s">
        <v>7</v>
      </c>
      <c r="M21" s="195">
        <f t="shared" si="4"/>
        <v>0</v>
      </c>
      <c r="N21" s="196"/>
      <c r="O21" s="195"/>
      <c r="P21" s="197" t="s">
        <v>7</v>
      </c>
      <c r="Q21" s="435"/>
      <c r="R21" s="195"/>
      <c r="S21" s="197" t="s">
        <v>7</v>
      </c>
      <c r="T21" s="198">
        <f t="shared" si="3"/>
        <v>0</v>
      </c>
      <c r="U21" s="199"/>
      <c r="V21" s="200"/>
      <c r="W21" s="195"/>
      <c r="X21" s="195"/>
      <c r="Y21" s="437" t="s">
        <v>93</v>
      </c>
      <c r="Z21" s="235"/>
      <c r="AA21" s="202"/>
      <c r="AB21" s="439"/>
      <c r="AC21" s="229"/>
      <c r="AD21" s="230"/>
      <c r="AE21" s="230"/>
      <c r="AF21" s="230"/>
    </row>
    <row r="22" spans="1:32" s="206" customFormat="1" ht="69.95" customHeight="1" thickBot="1" x14ac:dyDescent="0.2">
      <c r="A22" s="432"/>
      <c r="B22" s="191">
        <f>$I$6</f>
        <v>802</v>
      </c>
      <c r="C22" s="465" t="str">
        <f>$A$6</f>
        <v>BK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38"/>
      <c r="AA22" s="238"/>
      <c r="AB22" s="440"/>
      <c r="AC22" s="229"/>
      <c r="AD22" s="230"/>
      <c r="AE22" s="230"/>
      <c r="AF22" s="230"/>
    </row>
    <row r="23" spans="1:32" s="176" customFormat="1" ht="69.95" customHeight="1" thickTop="1" x14ac:dyDescent="0.15">
      <c r="A23" s="431" t="s">
        <v>220</v>
      </c>
      <c r="B23" s="191">
        <f t="shared" si="1"/>
        <v>564</v>
      </c>
      <c r="C23" s="465" t="str">
        <f t="shared" si="2"/>
        <v>KH</v>
      </c>
      <c r="D23" s="465"/>
      <c r="E23" s="465"/>
      <c r="F23" s="465"/>
      <c r="G23" s="465"/>
      <c r="H23" s="465"/>
      <c r="I23" s="207" t="s">
        <v>8</v>
      </c>
      <c r="J23" s="192" t="s">
        <v>6</v>
      </c>
      <c r="K23" s="209"/>
      <c r="L23" s="194" t="s">
        <v>7</v>
      </c>
      <c r="M23" s="195">
        <f t="shared" si="4"/>
        <v>0</v>
      </c>
      <c r="N23" s="196"/>
      <c r="O23" s="195"/>
      <c r="P23" s="197" t="s">
        <v>7</v>
      </c>
      <c r="Q23" s="435"/>
      <c r="R23" s="198"/>
      <c r="S23" s="197" t="s">
        <v>7</v>
      </c>
      <c r="T23" s="198">
        <f t="shared" si="3"/>
        <v>0</v>
      </c>
      <c r="U23" s="199"/>
      <c r="V23" s="200"/>
      <c r="W23" s="195"/>
      <c r="X23" s="195"/>
      <c r="Y23" s="437" t="s">
        <v>59</v>
      </c>
      <c r="Z23" s="235"/>
      <c r="AA23" s="202"/>
      <c r="AB23" s="596"/>
      <c r="AC23" s="250"/>
      <c r="AD23" s="251"/>
      <c r="AE23" s="251"/>
      <c r="AF23" s="251"/>
    </row>
    <row r="24" spans="1:32" s="176" customFormat="1" ht="69.95" customHeight="1" x14ac:dyDescent="0.15">
      <c r="A24" s="432"/>
      <c r="B24" s="191">
        <f>$I$6</f>
        <v>802</v>
      </c>
      <c r="C24" s="465" t="str">
        <f>$A$6</f>
        <v>BK</v>
      </c>
      <c r="D24" s="465"/>
      <c r="E24" s="465"/>
      <c r="F24" s="465"/>
      <c r="G24" s="465"/>
      <c r="H24" s="465"/>
      <c r="I24" s="207"/>
      <c r="J24" s="192" t="s">
        <v>6</v>
      </c>
      <c r="K24" s="209"/>
      <c r="L24" s="194" t="s">
        <v>7</v>
      </c>
      <c r="M24" s="195">
        <f t="shared" si="4"/>
        <v>0</v>
      </c>
      <c r="N24" s="196"/>
      <c r="O24" s="210"/>
      <c r="P24" s="194" t="s">
        <v>7</v>
      </c>
      <c r="Q24" s="436"/>
      <c r="R24" s="236"/>
      <c r="S24" s="207" t="s">
        <v>7</v>
      </c>
      <c r="T24" s="198">
        <f t="shared" si="3"/>
        <v>0</v>
      </c>
      <c r="U24" s="211"/>
      <c r="V24" s="211"/>
      <c r="W24" s="212"/>
      <c r="X24" s="213"/>
      <c r="Y24" s="438"/>
      <c r="Z24" s="214"/>
      <c r="AA24" s="202"/>
      <c r="AB24" s="440"/>
      <c r="AC24" s="250"/>
      <c r="AD24" s="251"/>
      <c r="AE24" s="251"/>
      <c r="AF24" s="251"/>
    </row>
    <row r="25" spans="1:32" s="176" customFormat="1" ht="69.95" customHeight="1" x14ac:dyDescent="0.15">
      <c r="A25" s="431" t="s">
        <v>221</v>
      </c>
      <c r="B25" s="239">
        <f t="shared" si="1"/>
        <v>564</v>
      </c>
      <c r="C25" s="456" t="str">
        <f t="shared" si="2"/>
        <v>KH</v>
      </c>
      <c r="D25" s="456"/>
      <c r="E25" s="456"/>
      <c r="F25" s="456" t="s">
        <v>246</v>
      </c>
      <c r="G25" s="456"/>
      <c r="H25" s="456"/>
      <c r="I25" s="457" t="s">
        <v>58</v>
      </c>
      <c r="J25" s="240" t="s">
        <v>6</v>
      </c>
      <c r="K25" s="241">
        <v>0.5</v>
      </c>
      <c r="L25" s="168" t="s">
        <v>7</v>
      </c>
      <c r="M25" s="242">
        <f t="shared" si="4"/>
        <v>282</v>
      </c>
      <c r="N25" s="243"/>
      <c r="O25" s="242"/>
      <c r="P25" s="244" t="s">
        <v>7</v>
      </c>
      <c r="Q25" s="376">
        <v>46045</v>
      </c>
      <c r="R25" s="245">
        <v>282</v>
      </c>
      <c r="S25" s="244" t="s">
        <v>7</v>
      </c>
      <c r="T25" s="245">
        <f t="shared" si="3"/>
        <v>0</v>
      </c>
      <c r="U25" s="246"/>
      <c r="V25" s="247"/>
      <c r="W25" s="242"/>
      <c r="X25" s="242"/>
      <c r="Y25" s="459" t="s">
        <v>59</v>
      </c>
      <c r="Z25" s="248"/>
      <c r="AA25" s="249"/>
      <c r="AB25" s="361" t="s">
        <v>237</v>
      </c>
      <c r="AC25" s="250"/>
      <c r="AD25" s="251"/>
      <c r="AE25" s="251"/>
      <c r="AF25" s="251"/>
    </row>
    <row r="26" spans="1:32" s="176" customFormat="1" ht="69.95" customHeight="1" x14ac:dyDescent="0.15">
      <c r="A26" s="432"/>
      <c r="B26" s="239">
        <f>$I$6</f>
        <v>802</v>
      </c>
      <c r="C26" s="456" t="str">
        <f>$A$6</f>
        <v>BK</v>
      </c>
      <c r="D26" s="456"/>
      <c r="E26" s="456"/>
      <c r="F26" s="456" t="s">
        <v>246</v>
      </c>
      <c r="G26" s="456"/>
      <c r="H26" s="456"/>
      <c r="I26" s="458"/>
      <c r="J26" s="240" t="s">
        <v>6</v>
      </c>
      <c r="K26" s="241">
        <v>0.5</v>
      </c>
      <c r="L26" s="168" t="s">
        <v>7</v>
      </c>
      <c r="M26" s="242">
        <f t="shared" si="4"/>
        <v>401</v>
      </c>
      <c r="N26" s="243"/>
      <c r="O26" s="253"/>
      <c r="P26" s="168" t="s">
        <v>7</v>
      </c>
      <c r="Q26" s="378"/>
      <c r="R26" s="254">
        <v>401</v>
      </c>
      <c r="S26" s="255" t="s">
        <v>7</v>
      </c>
      <c r="T26" s="245">
        <f t="shared" si="3"/>
        <v>0</v>
      </c>
      <c r="U26" s="256"/>
      <c r="V26" s="256"/>
      <c r="W26" s="257"/>
      <c r="X26" s="258"/>
      <c r="Y26" s="460"/>
      <c r="Z26" s="259"/>
      <c r="AA26" s="249"/>
      <c r="AB26" s="362"/>
      <c r="AC26" s="250"/>
      <c r="AD26" s="251"/>
      <c r="AE26" s="251"/>
      <c r="AF26" s="251"/>
    </row>
    <row r="27" spans="1:32" s="203" customFormat="1" ht="69.95" customHeight="1" x14ac:dyDescent="0.15">
      <c r="A27" s="431" t="s">
        <v>108</v>
      </c>
      <c r="B27" s="191">
        <f>$I$5</f>
        <v>564</v>
      </c>
      <c r="C27" s="465" t="str">
        <f>$A$5</f>
        <v>KH</v>
      </c>
      <c r="D27" s="465"/>
      <c r="E27" s="465"/>
      <c r="F27" s="465"/>
      <c r="G27" s="465"/>
      <c r="H27" s="465"/>
      <c r="I27" s="433" t="s">
        <v>8</v>
      </c>
      <c r="J27" s="192" t="s">
        <v>6</v>
      </c>
      <c r="K27" s="209"/>
      <c r="L27" s="194" t="s">
        <v>7</v>
      </c>
      <c r="M27" s="195">
        <f>K27*B27</f>
        <v>0</v>
      </c>
      <c r="N27" s="196"/>
      <c r="O27" s="195"/>
      <c r="P27" s="197" t="s">
        <v>7</v>
      </c>
      <c r="Q27" s="435"/>
      <c r="R27" s="195"/>
      <c r="S27" s="197" t="s">
        <v>9</v>
      </c>
      <c r="T27" s="198">
        <f t="shared" si="3"/>
        <v>0</v>
      </c>
      <c r="U27" s="199"/>
      <c r="V27" s="200"/>
      <c r="W27" s="195"/>
      <c r="X27" s="195"/>
      <c r="Y27" s="437" t="s">
        <v>57</v>
      </c>
      <c r="Z27" s="201"/>
      <c r="AA27" s="202"/>
      <c r="AB27" s="439"/>
    </row>
    <row r="28" spans="1:32" s="203" customFormat="1" ht="69.95" customHeight="1" x14ac:dyDescent="0.15">
      <c r="A28" s="432"/>
      <c r="B28" s="191">
        <f>$I$6</f>
        <v>802</v>
      </c>
      <c r="C28" s="465" t="str">
        <f>$A$6</f>
        <v>BK</v>
      </c>
      <c r="D28" s="465"/>
      <c r="E28" s="465"/>
      <c r="F28" s="465"/>
      <c r="G28" s="465"/>
      <c r="H28" s="465"/>
      <c r="I28" s="434"/>
      <c r="J28" s="192" t="s">
        <v>6</v>
      </c>
      <c r="K28" s="208"/>
      <c r="L28" s="194" t="s">
        <v>7</v>
      </c>
      <c r="M28" s="195">
        <f>K28*B28</f>
        <v>0</v>
      </c>
      <c r="N28" s="196"/>
      <c r="O28" s="210"/>
      <c r="P28" s="194" t="s">
        <v>7</v>
      </c>
      <c r="Q28" s="436"/>
      <c r="R28" s="200"/>
      <c r="S28" s="207" t="s">
        <v>9</v>
      </c>
      <c r="T28" s="198">
        <f t="shared" si="3"/>
        <v>0</v>
      </c>
      <c r="U28" s="211"/>
      <c r="V28" s="211"/>
      <c r="W28" s="212"/>
      <c r="X28" s="213"/>
      <c r="Y28" s="438"/>
      <c r="Z28" s="214"/>
      <c r="AA28" s="202"/>
      <c r="AB28" s="440"/>
    </row>
    <row r="29" spans="1:32" s="203" customFormat="1" ht="69.95" customHeight="1" x14ac:dyDescent="0.15">
      <c r="A29" s="464" t="s">
        <v>77</v>
      </c>
      <c r="B29" s="191">
        <f>$I$5</f>
        <v>564</v>
      </c>
      <c r="C29" s="465" t="str">
        <f>$A$5</f>
        <v>KH</v>
      </c>
      <c r="D29" s="465"/>
      <c r="E29" s="465"/>
      <c r="F29" s="465"/>
      <c r="G29" s="465"/>
      <c r="H29" s="465"/>
      <c r="I29" s="433" t="s">
        <v>110</v>
      </c>
      <c r="J29" s="192"/>
      <c r="K29" s="209"/>
      <c r="L29" s="194" t="s">
        <v>7</v>
      </c>
      <c r="M29" s="195">
        <f>K29*B29/100</f>
        <v>0</v>
      </c>
      <c r="N29" s="196"/>
      <c r="O29" s="195"/>
      <c r="P29" s="197" t="s">
        <v>7</v>
      </c>
      <c r="Q29" s="435"/>
      <c r="R29" s="195"/>
      <c r="S29" s="197" t="s">
        <v>9</v>
      </c>
      <c r="T29" s="198">
        <f t="shared" si="3"/>
        <v>0</v>
      </c>
      <c r="U29" s="199"/>
      <c r="V29" s="200"/>
      <c r="W29" s="195"/>
      <c r="X29" s="195"/>
      <c r="Y29" s="437" t="s">
        <v>94</v>
      </c>
      <c r="Z29" s="201"/>
      <c r="AA29" s="202"/>
      <c r="AB29" s="439"/>
    </row>
    <row r="30" spans="1:32" s="203" customFormat="1" ht="69.95" customHeight="1" x14ac:dyDescent="0.15">
      <c r="A30" s="464"/>
      <c r="B30" s="191">
        <f>$I$6</f>
        <v>802</v>
      </c>
      <c r="C30" s="465" t="str">
        <f>$A$6</f>
        <v>BK</v>
      </c>
      <c r="D30" s="465"/>
      <c r="E30" s="465"/>
      <c r="F30" s="465"/>
      <c r="G30" s="465"/>
      <c r="H30" s="465"/>
      <c r="I30" s="434"/>
      <c r="J30" s="192"/>
      <c r="K30" s="208"/>
      <c r="L30" s="194" t="s">
        <v>7</v>
      </c>
      <c r="M30" s="195">
        <f>K30*B30/100</f>
        <v>0</v>
      </c>
      <c r="N30" s="196"/>
      <c r="O30" s="210"/>
      <c r="P30" s="194" t="s">
        <v>7</v>
      </c>
      <c r="Q30" s="436"/>
      <c r="R30" s="200"/>
      <c r="S30" s="207" t="s">
        <v>9</v>
      </c>
      <c r="T30" s="198">
        <f t="shared" si="3"/>
        <v>0</v>
      </c>
      <c r="U30" s="211"/>
      <c r="V30" s="211"/>
      <c r="W30" s="212"/>
      <c r="X30" s="213"/>
      <c r="Y30" s="438"/>
      <c r="Z30" s="214"/>
      <c r="AA30" s="202"/>
      <c r="AB30" s="558"/>
    </row>
    <row r="31" spans="1:32" s="261" customFormat="1" ht="69.95" customHeight="1" x14ac:dyDescent="0.15">
      <c r="A31" s="464" t="s">
        <v>222</v>
      </c>
      <c r="B31" s="239">
        <f>$I$5</f>
        <v>564</v>
      </c>
      <c r="C31" s="456" t="str">
        <f>$A$5</f>
        <v>KH</v>
      </c>
      <c r="D31" s="456"/>
      <c r="E31" s="456"/>
      <c r="F31" s="456"/>
      <c r="G31" s="456"/>
      <c r="H31" s="456"/>
      <c r="I31" s="457" t="s">
        <v>110</v>
      </c>
      <c r="J31" s="240"/>
      <c r="K31" s="241">
        <v>5.3</v>
      </c>
      <c r="L31" s="168" t="s">
        <v>7</v>
      </c>
      <c r="M31" s="242">
        <f>K31*B31/50</f>
        <v>59.783999999999999</v>
      </c>
      <c r="N31" s="243"/>
      <c r="O31" s="242"/>
      <c r="P31" s="244" t="s">
        <v>7</v>
      </c>
      <c r="Q31" s="376">
        <v>46045</v>
      </c>
      <c r="R31" s="242">
        <v>60</v>
      </c>
      <c r="S31" s="244" t="s">
        <v>9</v>
      </c>
      <c r="T31" s="245">
        <f t="shared" si="3"/>
        <v>0.21600000000000108</v>
      </c>
      <c r="U31" s="246"/>
      <c r="V31" s="247"/>
      <c r="W31" s="242"/>
      <c r="X31" s="242"/>
      <c r="Y31" s="459" t="s">
        <v>94</v>
      </c>
      <c r="Z31" s="260"/>
      <c r="AA31" s="249"/>
      <c r="AB31" s="595" t="s">
        <v>239</v>
      </c>
    </row>
    <row r="32" spans="1:32" s="261" customFormat="1" ht="69.95" customHeight="1" x14ac:dyDescent="0.15">
      <c r="A32" s="464"/>
      <c r="B32" s="239">
        <f>$I$6</f>
        <v>802</v>
      </c>
      <c r="C32" s="456" t="str">
        <f>$A$6</f>
        <v>BK</v>
      </c>
      <c r="D32" s="456"/>
      <c r="E32" s="456"/>
      <c r="F32" s="456"/>
      <c r="G32" s="456"/>
      <c r="H32" s="456"/>
      <c r="I32" s="458"/>
      <c r="J32" s="240"/>
      <c r="K32" s="262">
        <v>5.3</v>
      </c>
      <c r="L32" s="168" t="s">
        <v>7</v>
      </c>
      <c r="M32" s="242">
        <f>K32*B32/50</f>
        <v>85.011999999999986</v>
      </c>
      <c r="N32" s="243"/>
      <c r="O32" s="253"/>
      <c r="P32" s="168" t="s">
        <v>7</v>
      </c>
      <c r="Q32" s="378"/>
      <c r="R32" s="247">
        <v>86</v>
      </c>
      <c r="S32" s="255" t="s">
        <v>9</v>
      </c>
      <c r="T32" s="245">
        <f t="shared" si="3"/>
        <v>0.98800000000001376</v>
      </c>
      <c r="U32" s="256"/>
      <c r="V32" s="256"/>
      <c r="W32" s="257"/>
      <c r="X32" s="258"/>
      <c r="Y32" s="460"/>
      <c r="Z32" s="259"/>
      <c r="AA32" s="249"/>
      <c r="AB32" s="595"/>
    </row>
    <row r="33" spans="1:32" s="203" customFormat="1" ht="69.95" customHeight="1" x14ac:dyDescent="0.15">
      <c r="A33" s="464" t="s">
        <v>116</v>
      </c>
      <c r="B33" s="182">
        <f>$I$5</f>
        <v>564</v>
      </c>
      <c r="C33" s="461" t="str">
        <f>$A$5</f>
        <v>KH</v>
      </c>
      <c r="D33" s="461"/>
      <c r="E33" s="461"/>
      <c r="F33" s="461"/>
      <c r="G33" s="461"/>
      <c r="H33" s="461"/>
      <c r="I33" s="441" t="s">
        <v>76</v>
      </c>
      <c r="J33" s="76"/>
      <c r="K33" s="136">
        <v>1.4</v>
      </c>
      <c r="L33" s="77" t="s">
        <v>7</v>
      </c>
      <c r="M33" s="78">
        <f>K33*B33/50</f>
        <v>15.791999999999998</v>
      </c>
      <c r="N33" s="79"/>
      <c r="O33" s="78"/>
      <c r="P33" s="80" t="s">
        <v>7</v>
      </c>
      <c r="Q33" s="376">
        <v>46045</v>
      </c>
      <c r="R33" s="78">
        <v>16</v>
      </c>
      <c r="S33" s="80" t="s">
        <v>9</v>
      </c>
      <c r="T33" s="81">
        <f t="shared" si="3"/>
        <v>0.20800000000000196</v>
      </c>
      <c r="U33" s="82"/>
      <c r="V33" s="137"/>
      <c r="W33" s="78"/>
      <c r="X33" s="78"/>
      <c r="Y33" s="445" t="s">
        <v>94</v>
      </c>
      <c r="Z33" s="141"/>
      <c r="AA33" s="135"/>
      <c r="AB33" s="595" t="s">
        <v>239</v>
      </c>
    </row>
    <row r="34" spans="1:32" s="203" customFormat="1" ht="69.95" customHeight="1" x14ac:dyDescent="0.15">
      <c r="A34" s="464"/>
      <c r="B34" s="182">
        <f>$I$6</f>
        <v>802</v>
      </c>
      <c r="C34" s="461" t="str">
        <f>$A$6</f>
        <v>BK</v>
      </c>
      <c r="D34" s="461"/>
      <c r="E34" s="461"/>
      <c r="F34" s="461"/>
      <c r="G34" s="461"/>
      <c r="H34" s="461"/>
      <c r="I34" s="442"/>
      <c r="J34" s="76"/>
      <c r="K34" s="83">
        <v>1.4</v>
      </c>
      <c r="L34" s="77" t="s">
        <v>7</v>
      </c>
      <c r="M34" s="78">
        <f>K34*B34/50</f>
        <v>22.456</v>
      </c>
      <c r="N34" s="79"/>
      <c r="O34" s="128"/>
      <c r="P34" s="77" t="s">
        <v>7</v>
      </c>
      <c r="Q34" s="378"/>
      <c r="R34" s="137">
        <v>23</v>
      </c>
      <c r="S34" s="75" t="s">
        <v>9</v>
      </c>
      <c r="T34" s="81">
        <f t="shared" si="3"/>
        <v>0.54400000000000048</v>
      </c>
      <c r="U34" s="131"/>
      <c r="V34" s="131"/>
      <c r="W34" s="132"/>
      <c r="X34" s="133"/>
      <c r="Y34" s="446"/>
      <c r="Z34" s="134"/>
      <c r="AA34" s="135"/>
      <c r="AB34" s="595"/>
    </row>
    <row r="35" spans="1:32" s="261" customFormat="1" ht="69.95" customHeight="1" x14ac:dyDescent="0.15">
      <c r="A35" s="431" t="s">
        <v>88</v>
      </c>
      <c r="B35" s="239">
        <f>$I$5</f>
        <v>564</v>
      </c>
      <c r="C35" s="456" t="str">
        <f>$A$5</f>
        <v>KH</v>
      </c>
      <c r="D35" s="456"/>
      <c r="E35" s="456"/>
      <c r="F35" s="456" t="str">
        <f>$A$5</f>
        <v>KH</v>
      </c>
      <c r="G35" s="456"/>
      <c r="H35" s="456"/>
      <c r="I35" s="457" t="s">
        <v>62</v>
      </c>
      <c r="J35" s="240"/>
      <c r="K35" s="263">
        <v>150</v>
      </c>
      <c r="L35" s="168" t="s">
        <v>61</v>
      </c>
      <c r="M35" s="242">
        <f t="shared" ref="M35:M36" si="5">K35*B35/2500</f>
        <v>33.840000000000003</v>
      </c>
      <c r="N35" s="243"/>
      <c r="O35" s="242"/>
      <c r="P35" s="244" t="s">
        <v>10</v>
      </c>
      <c r="Q35" s="376">
        <v>46045</v>
      </c>
      <c r="R35" s="242">
        <v>34</v>
      </c>
      <c r="S35" s="244" t="s">
        <v>10</v>
      </c>
      <c r="T35" s="245">
        <f t="shared" ref="T35:T36" si="6">R35-M35</f>
        <v>0.15999999999999659</v>
      </c>
      <c r="U35" s="246"/>
      <c r="V35" s="247"/>
      <c r="W35" s="242"/>
      <c r="X35" s="242"/>
      <c r="Y35" s="459" t="s">
        <v>94</v>
      </c>
      <c r="Z35" s="260"/>
      <c r="AA35" s="249"/>
      <c r="AB35" s="595" t="s">
        <v>239</v>
      </c>
    </row>
    <row r="36" spans="1:32" s="176" customFormat="1" ht="69.95" customHeight="1" x14ac:dyDescent="0.15">
      <c r="A36" s="432"/>
      <c r="B36" s="264">
        <f>$I$6</f>
        <v>802</v>
      </c>
      <c r="C36" s="413" t="str">
        <f>$A$6</f>
        <v>BK</v>
      </c>
      <c r="D36" s="414"/>
      <c r="E36" s="415"/>
      <c r="F36" s="413" t="str">
        <f>$A$6</f>
        <v>BK</v>
      </c>
      <c r="G36" s="414"/>
      <c r="H36" s="415"/>
      <c r="I36" s="458"/>
      <c r="J36" s="265"/>
      <c r="K36" s="263">
        <v>150</v>
      </c>
      <c r="L36" s="266" t="s">
        <v>61</v>
      </c>
      <c r="M36" s="242">
        <f t="shared" si="5"/>
        <v>48.12</v>
      </c>
      <c r="N36" s="267"/>
      <c r="O36" s="268"/>
      <c r="P36" s="266" t="s">
        <v>10</v>
      </c>
      <c r="Q36" s="378"/>
      <c r="R36" s="269">
        <v>49</v>
      </c>
      <c r="S36" s="252" t="s">
        <v>10</v>
      </c>
      <c r="T36" s="270">
        <f t="shared" si="6"/>
        <v>0.88000000000000256</v>
      </c>
      <c r="U36" s="271"/>
      <c r="V36" s="271"/>
      <c r="W36" s="272"/>
      <c r="X36" s="273"/>
      <c r="Y36" s="460"/>
      <c r="Z36" s="274"/>
      <c r="AA36" s="275"/>
      <c r="AB36" s="595"/>
    </row>
    <row r="37" spans="1:32" s="261" customFormat="1" ht="69.95" customHeight="1" x14ac:dyDescent="0.15">
      <c r="A37" s="431" t="s">
        <v>87</v>
      </c>
      <c r="B37" s="239">
        <f>$I$5</f>
        <v>564</v>
      </c>
      <c r="C37" s="456" t="str">
        <f>$A$5</f>
        <v>KH</v>
      </c>
      <c r="D37" s="456"/>
      <c r="E37" s="456"/>
      <c r="F37" s="456" t="str">
        <f>$A$5</f>
        <v>KH</v>
      </c>
      <c r="G37" s="456"/>
      <c r="H37" s="456"/>
      <c r="I37" s="457" t="s">
        <v>60</v>
      </c>
      <c r="J37" s="240"/>
      <c r="K37" s="263">
        <v>280</v>
      </c>
      <c r="L37" s="168" t="s">
        <v>61</v>
      </c>
      <c r="M37" s="242">
        <f>K37*B37/4000</f>
        <v>39.479999999999997</v>
      </c>
      <c r="N37" s="243"/>
      <c r="O37" s="242"/>
      <c r="P37" s="244" t="s">
        <v>10</v>
      </c>
      <c r="Q37" s="376">
        <v>46045</v>
      </c>
      <c r="R37" s="242">
        <v>40</v>
      </c>
      <c r="S37" s="244" t="s">
        <v>10</v>
      </c>
      <c r="T37" s="245">
        <f t="shared" si="3"/>
        <v>0.52000000000000313</v>
      </c>
      <c r="U37" s="246"/>
      <c r="V37" s="247"/>
      <c r="W37" s="242"/>
      <c r="X37" s="242"/>
      <c r="Y37" s="459" t="s">
        <v>94</v>
      </c>
      <c r="Z37" s="260"/>
      <c r="AA37" s="249"/>
      <c r="AB37" s="595" t="s">
        <v>239</v>
      </c>
    </row>
    <row r="38" spans="1:32" s="176" customFormat="1" ht="69.95" customHeight="1" x14ac:dyDescent="0.15">
      <c r="A38" s="432"/>
      <c r="B38" s="264">
        <f>$I$6</f>
        <v>802</v>
      </c>
      <c r="C38" s="413" t="str">
        <f>$A$6</f>
        <v>BK</v>
      </c>
      <c r="D38" s="414"/>
      <c r="E38" s="415"/>
      <c r="F38" s="413" t="str">
        <f>$A$6</f>
        <v>BK</v>
      </c>
      <c r="G38" s="414"/>
      <c r="H38" s="415"/>
      <c r="I38" s="458"/>
      <c r="J38" s="265"/>
      <c r="K38" s="263">
        <v>280</v>
      </c>
      <c r="L38" s="266" t="s">
        <v>61</v>
      </c>
      <c r="M38" s="242">
        <f>K38*B38/4000</f>
        <v>56.14</v>
      </c>
      <c r="N38" s="267"/>
      <c r="O38" s="268"/>
      <c r="P38" s="266" t="s">
        <v>10</v>
      </c>
      <c r="Q38" s="378"/>
      <c r="R38" s="269">
        <v>57</v>
      </c>
      <c r="S38" s="252" t="s">
        <v>10</v>
      </c>
      <c r="T38" s="270">
        <f t="shared" si="3"/>
        <v>0.85999999999999943</v>
      </c>
      <c r="U38" s="271"/>
      <c r="V38" s="271"/>
      <c r="W38" s="272"/>
      <c r="X38" s="273"/>
      <c r="Y38" s="460"/>
      <c r="Z38" s="274"/>
      <c r="AA38" s="275"/>
      <c r="AB38" s="595"/>
    </row>
    <row r="39" spans="1:32" s="261" customFormat="1" ht="69.95" customHeight="1" x14ac:dyDescent="0.15">
      <c r="A39" s="431" t="s">
        <v>224</v>
      </c>
      <c r="B39" s="239">
        <f>$I$5</f>
        <v>564</v>
      </c>
      <c r="C39" s="371" t="str">
        <f>$A$5</f>
        <v>KH</v>
      </c>
      <c r="D39" s="372"/>
      <c r="E39" s="373"/>
      <c r="F39" s="371" t="str">
        <f>$A$5</f>
        <v>KH</v>
      </c>
      <c r="G39" s="372"/>
      <c r="H39" s="373"/>
      <c r="I39" s="457" t="s">
        <v>62</v>
      </c>
      <c r="J39" s="240"/>
      <c r="K39" s="263">
        <v>35</v>
      </c>
      <c r="L39" s="168" t="s">
        <v>61</v>
      </c>
      <c r="M39" s="242">
        <f t="shared" ref="M39:M40" si="7">K39*B39/2500</f>
        <v>7.8959999999999999</v>
      </c>
      <c r="N39" s="243"/>
      <c r="O39" s="242"/>
      <c r="P39" s="244" t="s">
        <v>10</v>
      </c>
      <c r="Q39" s="376">
        <v>46045</v>
      </c>
      <c r="R39" s="242">
        <v>8</v>
      </c>
      <c r="S39" s="244" t="s">
        <v>10</v>
      </c>
      <c r="T39" s="245">
        <f t="shared" si="3"/>
        <v>0.10400000000000009</v>
      </c>
      <c r="U39" s="246"/>
      <c r="V39" s="247"/>
      <c r="W39" s="242"/>
      <c r="X39" s="242"/>
      <c r="Y39" s="459" t="s">
        <v>94</v>
      </c>
      <c r="Z39" s="260"/>
      <c r="AA39" s="249"/>
      <c r="AB39" s="595" t="s">
        <v>239</v>
      </c>
    </row>
    <row r="40" spans="1:32" s="176" customFormat="1" ht="69.95" customHeight="1" x14ac:dyDescent="0.15">
      <c r="A40" s="432"/>
      <c r="B40" s="264">
        <f>$I$6</f>
        <v>802</v>
      </c>
      <c r="C40" s="371" t="str">
        <f>$A$6</f>
        <v>BK</v>
      </c>
      <c r="D40" s="372"/>
      <c r="E40" s="373"/>
      <c r="F40" s="371" t="str">
        <f>$A$6</f>
        <v>BK</v>
      </c>
      <c r="G40" s="372"/>
      <c r="H40" s="373"/>
      <c r="I40" s="458"/>
      <c r="J40" s="265"/>
      <c r="K40" s="263">
        <v>35</v>
      </c>
      <c r="L40" s="266" t="s">
        <v>61</v>
      </c>
      <c r="M40" s="242">
        <f t="shared" si="7"/>
        <v>11.228</v>
      </c>
      <c r="N40" s="267"/>
      <c r="O40" s="268"/>
      <c r="P40" s="266" t="s">
        <v>10</v>
      </c>
      <c r="Q40" s="378"/>
      <c r="R40" s="269">
        <v>12</v>
      </c>
      <c r="S40" s="252" t="s">
        <v>10</v>
      </c>
      <c r="T40" s="270">
        <f t="shared" si="3"/>
        <v>0.77200000000000024</v>
      </c>
      <c r="U40" s="271"/>
      <c r="V40" s="271"/>
      <c r="W40" s="272"/>
      <c r="X40" s="273"/>
      <c r="Y40" s="460"/>
      <c r="Z40" s="274"/>
      <c r="AA40" s="275"/>
      <c r="AB40" s="595"/>
    </row>
    <row r="41" spans="1:32" s="203" customFormat="1" ht="69.95" customHeight="1" x14ac:dyDescent="0.15">
      <c r="A41" s="431" t="s">
        <v>89</v>
      </c>
      <c r="B41" s="191">
        <f>$I$5</f>
        <v>564</v>
      </c>
      <c r="C41" s="465" t="str">
        <f>$A$5</f>
        <v>KH</v>
      </c>
      <c r="D41" s="465"/>
      <c r="E41" s="465"/>
      <c r="F41" s="465" t="str">
        <f>$A$5</f>
        <v>KH</v>
      </c>
      <c r="G41" s="465"/>
      <c r="H41" s="465"/>
      <c r="I41" s="433" t="s">
        <v>118</v>
      </c>
      <c r="J41" s="192"/>
      <c r="K41" s="193"/>
      <c r="L41" s="194" t="s">
        <v>61</v>
      </c>
      <c r="M41" s="195">
        <f>K41*B41/500</f>
        <v>0</v>
      </c>
      <c r="N41" s="196"/>
      <c r="O41" s="195"/>
      <c r="P41" s="197" t="s">
        <v>10</v>
      </c>
      <c r="Q41" s="435"/>
      <c r="R41" s="195"/>
      <c r="S41" s="197" t="s">
        <v>10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6" customFormat="1" ht="69.95" customHeight="1" x14ac:dyDescent="0.15">
      <c r="A42" s="432"/>
      <c r="B42" s="204">
        <f>$I$6</f>
        <v>802</v>
      </c>
      <c r="C42" s="453" t="str">
        <f>$A$6</f>
        <v>BK</v>
      </c>
      <c r="D42" s="454"/>
      <c r="E42" s="455"/>
      <c r="F42" s="453" t="str">
        <f>$A$6</f>
        <v>BK</v>
      </c>
      <c r="G42" s="454"/>
      <c r="H42" s="455"/>
      <c r="I42" s="434"/>
      <c r="J42" s="218"/>
      <c r="K42" s="193"/>
      <c r="L42" s="219" t="s">
        <v>61</v>
      </c>
      <c r="M42" s="195">
        <f>K42*B42/500</f>
        <v>0</v>
      </c>
      <c r="N42" s="220"/>
      <c r="O42" s="221"/>
      <c r="P42" s="219" t="s">
        <v>10</v>
      </c>
      <c r="Q42" s="436"/>
      <c r="R42" s="222"/>
      <c r="S42" s="215" t="s">
        <v>10</v>
      </c>
      <c r="T42" s="205">
        <f t="shared" si="3"/>
        <v>0</v>
      </c>
      <c r="U42" s="223"/>
      <c r="V42" s="223"/>
      <c r="W42" s="224"/>
      <c r="X42" s="225"/>
      <c r="Y42" s="438"/>
      <c r="Z42" s="226"/>
      <c r="AA42" s="227"/>
      <c r="AB42" s="440"/>
      <c r="AC42" s="567"/>
      <c r="AD42" s="568"/>
      <c r="AE42" s="568"/>
      <c r="AF42" s="568"/>
    </row>
    <row r="43" spans="1:32" s="206" customFormat="1" ht="69.95" customHeight="1" x14ac:dyDescent="0.15">
      <c r="A43" s="431" t="s">
        <v>117</v>
      </c>
      <c r="B43" s="191">
        <f t="shared" ref="B43:B45" si="8">$I$5</f>
        <v>564</v>
      </c>
      <c r="C43" s="422" t="str">
        <f t="shared" ref="C43:C45" si="9">$A$5</f>
        <v>KH</v>
      </c>
      <c r="D43" s="423"/>
      <c r="E43" s="424"/>
      <c r="F43" s="425"/>
      <c r="G43" s="423"/>
      <c r="H43" s="424"/>
      <c r="I43" s="433" t="s">
        <v>80</v>
      </c>
      <c r="J43" s="192"/>
      <c r="K43" s="193"/>
      <c r="L43" s="194" t="s">
        <v>65</v>
      </c>
      <c r="M43" s="195">
        <f t="shared" ref="M43:M60" si="10">K43*B43</f>
        <v>0</v>
      </c>
      <c r="N43" s="196"/>
      <c r="O43" s="195"/>
      <c r="P43" s="194" t="s">
        <v>65</v>
      </c>
      <c r="Q43" s="435"/>
      <c r="R43" s="195"/>
      <c r="S43" s="194" t="s">
        <v>65</v>
      </c>
      <c r="T43" s="205">
        <f t="shared" si="3"/>
        <v>0</v>
      </c>
      <c r="U43" s="199"/>
      <c r="V43" s="199"/>
      <c r="W43" s="208"/>
      <c r="X43" s="198"/>
      <c r="Y43" s="437" t="s">
        <v>57</v>
      </c>
      <c r="Z43" s="231"/>
      <c r="AA43" s="232"/>
      <c r="AB43" s="439"/>
    </row>
    <row r="44" spans="1:32" s="206" customFormat="1" ht="69.95" customHeight="1" x14ac:dyDescent="0.15">
      <c r="A44" s="432"/>
      <c r="B44" s="204">
        <f>$I$6</f>
        <v>802</v>
      </c>
      <c r="C44" s="453" t="str">
        <f>$A$6</f>
        <v>BK</v>
      </c>
      <c r="D44" s="454"/>
      <c r="E44" s="455"/>
      <c r="F44" s="425"/>
      <c r="G44" s="423"/>
      <c r="H44" s="424"/>
      <c r="I44" s="434"/>
      <c r="J44" s="192"/>
      <c r="K44" s="193"/>
      <c r="L44" s="194" t="s">
        <v>65</v>
      </c>
      <c r="M44" s="195">
        <f t="shared" si="10"/>
        <v>0</v>
      </c>
      <c r="N44" s="233"/>
      <c r="O44" s="195"/>
      <c r="P44" s="194" t="s">
        <v>65</v>
      </c>
      <c r="Q44" s="436"/>
      <c r="R44" s="195"/>
      <c r="S44" s="194" t="s">
        <v>65</v>
      </c>
      <c r="T44" s="198">
        <f t="shared" si="3"/>
        <v>0</v>
      </c>
      <c r="U44" s="199"/>
      <c r="V44" s="200"/>
      <c r="W44" s="195"/>
      <c r="X44" s="195"/>
      <c r="Y44" s="438"/>
      <c r="Z44" s="201"/>
      <c r="AA44" s="202"/>
      <c r="AB44" s="440"/>
      <c r="AC44" s="234"/>
      <c r="AD44" s="230"/>
      <c r="AE44" s="230"/>
      <c r="AF44" s="230"/>
    </row>
    <row r="45" spans="1:32" s="206" customFormat="1" ht="69.95" customHeight="1" x14ac:dyDescent="0.15">
      <c r="A45" s="431" t="s">
        <v>78</v>
      </c>
      <c r="B45" s="191">
        <f t="shared" si="8"/>
        <v>564</v>
      </c>
      <c r="C45" s="422" t="str">
        <f t="shared" si="9"/>
        <v>KH</v>
      </c>
      <c r="D45" s="423"/>
      <c r="E45" s="424"/>
      <c r="F45" s="425"/>
      <c r="G45" s="423"/>
      <c r="H45" s="424"/>
      <c r="I45" s="207"/>
      <c r="J45" s="192"/>
      <c r="K45" s="193"/>
      <c r="L45" s="194" t="s">
        <v>65</v>
      </c>
      <c r="M45" s="195">
        <f t="shared" si="10"/>
        <v>0</v>
      </c>
      <c r="N45" s="196"/>
      <c r="O45" s="195"/>
      <c r="P45" s="194" t="s">
        <v>65</v>
      </c>
      <c r="Q45" s="435"/>
      <c r="R45" s="195"/>
      <c r="S45" s="194" t="s">
        <v>65</v>
      </c>
      <c r="T45" s="205">
        <f t="shared" si="3"/>
        <v>0</v>
      </c>
      <c r="U45" s="199"/>
      <c r="V45" s="199"/>
      <c r="W45" s="208"/>
      <c r="X45" s="198"/>
      <c r="Y45" s="437" t="s">
        <v>57</v>
      </c>
      <c r="Z45" s="231"/>
      <c r="AA45" s="232"/>
      <c r="AB45" s="439"/>
    </row>
    <row r="46" spans="1:32" s="206" customFormat="1" ht="69.95" customHeight="1" thickBot="1" x14ac:dyDescent="0.2">
      <c r="A46" s="432"/>
      <c r="B46" s="204">
        <f>$I$6</f>
        <v>802</v>
      </c>
      <c r="C46" s="453" t="str">
        <f>$A$6</f>
        <v>BK</v>
      </c>
      <c r="D46" s="454"/>
      <c r="E46" s="455"/>
      <c r="F46" s="425"/>
      <c r="G46" s="423"/>
      <c r="H46" s="424"/>
      <c r="I46" s="207"/>
      <c r="J46" s="192"/>
      <c r="K46" s="193"/>
      <c r="L46" s="194" t="s">
        <v>65</v>
      </c>
      <c r="M46" s="195">
        <f t="shared" si="10"/>
        <v>0</v>
      </c>
      <c r="N46" s="233"/>
      <c r="O46" s="195"/>
      <c r="P46" s="194" t="s">
        <v>65</v>
      </c>
      <c r="Q46" s="436"/>
      <c r="R46" s="195"/>
      <c r="S46" s="194" t="s">
        <v>65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440"/>
      <c r="AC46" s="234"/>
      <c r="AD46" s="230"/>
      <c r="AE46" s="230"/>
      <c r="AF46" s="230"/>
    </row>
    <row r="47" spans="1:32" s="206" customFormat="1" ht="69.95" customHeight="1" thickTop="1" x14ac:dyDescent="0.15">
      <c r="A47" s="431" t="s">
        <v>123</v>
      </c>
      <c r="B47" s="191">
        <f t="shared" ref="B47:B51" si="11">$I$5</f>
        <v>564</v>
      </c>
      <c r="C47" s="422" t="str">
        <f t="shared" ref="C47:C51" si="12">$A$5</f>
        <v>KH</v>
      </c>
      <c r="D47" s="423"/>
      <c r="E47" s="424"/>
      <c r="F47" s="425"/>
      <c r="G47" s="423"/>
      <c r="H47" s="424"/>
      <c r="I47" s="207"/>
      <c r="J47" s="192"/>
      <c r="K47" s="193"/>
      <c r="L47" s="194" t="s">
        <v>63</v>
      </c>
      <c r="M47" s="195">
        <f t="shared" si="10"/>
        <v>0</v>
      </c>
      <c r="N47" s="196"/>
      <c r="O47" s="195"/>
      <c r="P47" s="197" t="s">
        <v>63</v>
      </c>
      <c r="Q47" s="435"/>
      <c r="R47" s="195"/>
      <c r="S47" s="197" t="s">
        <v>63</v>
      </c>
      <c r="T47" s="205">
        <f t="shared" si="3"/>
        <v>0</v>
      </c>
      <c r="U47" s="199"/>
      <c r="V47" s="199"/>
      <c r="W47" s="208"/>
      <c r="X47" s="198"/>
      <c r="Y47" s="437" t="s">
        <v>94</v>
      </c>
      <c r="Z47" s="231"/>
      <c r="AA47" s="232"/>
      <c r="AB47" s="596"/>
    </row>
    <row r="48" spans="1:32" s="206" customFormat="1" ht="69.95" customHeight="1" x14ac:dyDescent="0.15">
      <c r="A48" s="432"/>
      <c r="B48" s="204">
        <f>$I$6</f>
        <v>802</v>
      </c>
      <c r="C48" s="453" t="str">
        <f>$A$6</f>
        <v>BK</v>
      </c>
      <c r="D48" s="454"/>
      <c r="E48" s="455"/>
      <c r="F48" s="425"/>
      <c r="G48" s="423"/>
      <c r="H48" s="424"/>
      <c r="I48" s="207"/>
      <c r="J48" s="192"/>
      <c r="K48" s="193"/>
      <c r="L48" s="194" t="s">
        <v>63</v>
      </c>
      <c r="M48" s="195">
        <f t="shared" si="10"/>
        <v>0</v>
      </c>
      <c r="N48" s="233"/>
      <c r="O48" s="195"/>
      <c r="P48" s="197" t="s">
        <v>63</v>
      </c>
      <c r="Q48" s="436"/>
      <c r="R48" s="195"/>
      <c r="S48" s="197" t="s">
        <v>63</v>
      </c>
      <c r="T48" s="198">
        <f t="shared" si="3"/>
        <v>0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206" customFormat="1" ht="69.95" customHeight="1" x14ac:dyDescent="0.15">
      <c r="A49" s="431" t="s">
        <v>119</v>
      </c>
      <c r="B49" s="182">
        <f t="shared" si="11"/>
        <v>564</v>
      </c>
      <c r="C49" s="368" t="str">
        <f t="shared" si="12"/>
        <v>KH</v>
      </c>
      <c r="D49" s="369"/>
      <c r="E49" s="370"/>
      <c r="F49" s="428"/>
      <c r="G49" s="429"/>
      <c r="H49" s="430"/>
      <c r="I49" s="441" t="s">
        <v>75</v>
      </c>
      <c r="J49" s="76"/>
      <c r="K49" s="139">
        <v>4</v>
      </c>
      <c r="L49" s="77" t="s">
        <v>63</v>
      </c>
      <c r="M49" s="78">
        <f t="shared" si="10"/>
        <v>2256</v>
      </c>
      <c r="N49" s="79"/>
      <c r="O49" s="78"/>
      <c r="P49" s="80" t="s">
        <v>63</v>
      </c>
      <c r="Q49" s="443">
        <v>46045</v>
      </c>
      <c r="R49" s="78">
        <v>2256</v>
      </c>
      <c r="S49" s="80" t="s">
        <v>63</v>
      </c>
      <c r="T49" s="84">
        <f t="shared" si="3"/>
        <v>0</v>
      </c>
      <c r="U49" s="82"/>
      <c r="V49" s="82"/>
      <c r="W49" s="83"/>
      <c r="X49" s="81"/>
      <c r="Y49" s="445" t="s">
        <v>64</v>
      </c>
      <c r="Z49" s="86"/>
      <c r="AA49" s="85"/>
      <c r="AB49" s="595" t="s">
        <v>237</v>
      </c>
    </row>
    <row r="50" spans="1:32" s="206" customFormat="1" ht="69.95" customHeight="1" x14ac:dyDescent="0.15">
      <c r="A50" s="432"/>
      <c r="B50" s="186">
        <f>$I$6</f>
        <v>802</v>
      </c>
      <c r="C50" s="368" t="str">
        <f>$A$6</f>
        <v>BK</v>
      </c>
      <c r="D50" s="369"/>
      <c r="E50" s="370"/>
      <c r="F50" s="428"/>
      <c r="G50" s="429"/>
      <c r="H50" s="430"/>
      <c r="I50" s="442"/>
      <c r="J50" s="76"/>
      <c r="K50" s="139">
        <v>4</v>
      </c>
      <c r="L50" s="77" t="s">
        <v>63</v>
      </c>
      <c r="M50" s="78">
        <f t="shared" si="10"/>
        <v>3208</v>
      </c>
      <c r="N50" s="140"/>
      <c r="O50" s="78"/>
      <c r="P50" s="80" t="s">
        <v>63</v>
      </c>
      <c r="Q50" s="444"/>
      <c r="R50" s="78">
        <v>3208</v>
      </c>
      <c r="S50" s="80" t="s">
        <v>63</v>
      </c>
      <c r="T50" s="81">
        <f t="shared" si="3"/>
        <v>0</v>
      </c>
      <c r="U50" s="82"/>
      <c r="V50" s="137"/>
      <c r="W50" s="78"/>
      <c r="X50" s="78"/>
      <c r="Y50" s="446"/>
      <c r="Z50" s="141"/>
      <c r="AA50" s="135"/>
      <c r="AB50" s="595"/>
      <c r="AC50" s="234"/>
      <c r="AD50" s="230"/>
      <c r="AE50" s="230"/>
      <c r="AF50" s="230"/>
    </row>
    <row r="51" spans="1:32" s="206" customFormat="1" ht="69.95" customHeight="1" x14ac:dyDescent="0.15">
      <c r="A51" s="431" t="s">
        <v>227</v>
      </c>
      <c r="B51" s="182">
        <f t="shared" si="11"/>
        <v>564</v>
      </c>
      <c r="C51" s="368" t="str">
        <f t="shared" si="12"/>
        <v>KH</v>
      </c>
      <c r="D51" s="369"/>
      <c r="E51" s="370"/>
      <c r="F51" s="428"/>
      <c r="G51" s="429"/>
      <c r="H51" s="430"/>
      <c r="I51" s="441" t="s">
        <v>113</v>
      </c>
      <c r="J51" s="76"/>
      <c r="K51" s="139">
        <v>2</v>
      </c>
      <c r="L51" s="77" t="s">
        <v>63</v>
      </c>
      <c r="M51" s="78">
        <f t="shared" si="10"/>
        <v>1128</v>
      </c>
      <c r="N51" s="79"/>
      <c r="O51" s="78"/>
      <c r="P51" s="80" t="s">
        <v>63</v>
      </c>
      <c r="Q51" s="443">
        <v>46045</v>
      </c>
      <c r="R51" s="78">
        <v>1128</v>
      </c>
      <c r="S51" s="80" t="s">
        <v>63</v>
      </c>
      <c r="T51" s="84">
        <f t="shared" si="3"/>
        <v>0</v>
      </c>
      <c r="U51" s="82"/>
      <c r="V51" s="82"/>
      <c r="W51" s="83"/>
      <c r="X51" s="81"/>
      <c r="Y51" s="445" t="s">
        <v>64</v>
      </c>
      <c r="Z51" s="86"/>
      <c r="AA51" s="85"/>
      <c r="AB51" s="595" t="s">
        <v>237</v>
      </c>
    </row>
    <row r="52" spans="1:32" s="206" customFormat="1" ht="69.95" customHeight="1" x14ac:dyDescent="0.15">
      <c r="A52" s="432"/>
      <c r="B52" s="186">
        <f>$I$6</f>
        <v>802</v>
      </c>
      <c r="C52" s="368" t="str">
        <f>$A$6</f>
        <v>BK</v>
      </c>
      <c r="D52" s="369"/>
      <c r="E52" s="370"/>
      <c r="F52" s="428"/>
      <c r="G52" s="429"/>
      <c r="H52" s="430"/>
      <c r="I52" s="442"/>
      <c r="J52" s="76"/>
      <c r="K52" s="139">
        <v>2</v>
      </c>
      <c r="L52" s="77" t="s">
        <v>63</v>
      </c>
      <c r="M52" s="78">
        <f t="shared" si="10"/>
        <v>1604</v>
      </c>
      <c r="N52" s="140"/>
      <c r="O52" s="78"/>
      <c r="P52" s="80" t="s">
        <v>63</v>
      </c>
      <c r="Q52" s="444"/>
      <c r="R52" s="78">
        <v>1604</v>
      </c>
      <c r="S52" s="80" t="s">
        <v>63</v>
      </c>
      <c r="T52" s="81">
        <f t="shared" si="3"/>
        <v>0</v>
      </c>
      <c r="U52" s="82"/>
      <c r="V52" s="137"/>
      <c r="W52" s="78"/>
      <c r="X52" s="78"/>
      <c r="Y52" s="446"/>
      <c r="Z52" s="141"/>
      <c r="AA52" s="135"/>
      <c r="AB52" s="595"/>
      <c r="AC52" s="234"/>
      <c r="AD52" s="230"/>
      <c r="AE52" s="230"/>
      <c r="AF52" s="230"/>
    </row>
    <row r="53" spans="1:32" s="206" customFormat="1" ht="54.95" customHeight="1" x14ac:dyDescent="0.15">
      <c r="A53" s="431" t="s">
        <v>228</v>
      </c>
      <c r="B53" s="182">
        <f t="shared" ref="B53" si="13">$I$5</f>
        <v>564</v>
      </c>
      <c r="C53" s="368" t="str">
        <f t="shared" ref="C53" si="14">$A$5</f>
        <v>KH</v>
      </c>
      <c r="D53" s="369"/>
      <c r="E53" s="370"/>
      <c r="F53" s="428"/>
      <c r="G53" s="429"/>
      <c r="H53" s="430"/>
      <c r="I53" s="441" t="s">
        <v>110</v>
      </c>
      <c r="J53" s="76"/>
      <c r="K53" s="139">
        <v>1</v>
      </c>
      <c r="L53" s="77" t="s">
        <v>63</v>
      </c>
      <c r="M53" s="78">
        <f t="shared" si="10"/>
        <v>564</v>
      </c>
      <c r="N53" s="79"/>
      <c r="O53" s="78"/>
      <c r="P53" s="80" t="s">
        <v>63</v>
      </c>
      <c r="Q53" s="443">
        <v>46045</v>
      </c>
      <c r="R53" s="78">
        <v>564</v>
      </c>
      <c r="S53" s="80" t="s">
        <v>63</v>
      </c>
      <c r="T53" s="84">
        <f t="shared" ref="T53:T54" si="15">R53-M53</f>
        <v>0</v>
      </c>
      <c r="U53" s="82"/>
      <c r="V53" s="82"/>
      <c r="W53" s="83"/>
      <c r="X53" s="81"/>
      <c r="Y53" s="445" t="s">
        <v>64</v>
      </c>
      <c r="Z53" s="312"/>
      <c r="AA53" s="312"/>
      <c r="AB53" s="595" t="s">
        <v>237</v>
      </c>
    </row>
    <row r="54" spans="1:32" s="206" customFormat="1" ht="54.95" customHeight="1" x14ac:dyDescent="0.15">
      <c r="A54" s="432"/>
      <c r="B54" s="186">
        <f>$I$6</f>
        <v>802</v>
      </c>
      <c r="C54" s="368" t="str">
        <f>$A$6</f>
        <v>BK</v>
      </c>
      <c r="D54" s="369"/>
      <c r="E54" s="370"/>
      <c r="F54" s="428"/>
      <c r="G54" s="429"/>
      <c r="H54" s="430"/>
      <c r="I54" s="442"/>
      <c r="J54" s="76"/>
      <c r="K54" s="139">
        <v>1</v>
      </c>
      <c r="L54" s="77" t="s">
        <v>63</v>
      </c>
      <c r="M54" s="78">
        <f t="shared" si="10"/>
        <v>802</v>
      </c>
      <c r="N54" s="140"/>
      <c r="O54" s="78"/>
      <c r="P54" s="80" t="s">
        <v>63</v>
      </c>
      <c r="Q54" s="444"/>
      <c r="R54" s="78">
        <v>802</v>
      </c>
      <c r="S54" s="80" t="s">
        <v>63</v>
      </c>
      <c r="T54" s="81">
        <f t="shared" si="15"/>
        <v>0</v>
      </c>
      <c r="U54" s="82"/>
      <c r="V54" s="137"/>
      <c r="W54" s="78"/>
      <c r="X54" s="78"/>
      <c r="Y54" s="446"/>
      <c r="Z54" s="312"/>
      <c r="AA54" s="312"/>
      <c r="AB54" s="595"/>
    </row>
    <row r="55" spans="1:32" s="176" customFormat="1" ht="69.95" customHeight="1" x14ac:dyDescent="0.15">
      <c r="A55" s="431" t="s">
        <v>226</v>
      </c>
      <c r="B55" s="182">
        <f t="shared" ref="B55:B57" si="16">$I$5</f>
        <v>564</v>
      </c>
      <c r="C55" s="368" t="str">
        <f t="shared" ref="C55:C57" si="17">$A$5</f>
        <v>KH</v>
      </c>
      <c r="D55" s="369"/>
      <c r="E55" s="370"/>
      <c r="F55" s="428"/>
      <c r="G55" s="429"/>
      <c r="H55" s="430"/>
      <c r="I55" s="441"/>
      <c r="J55" s="76"/>
      <c r="K55" s="139">
        <v>1</v>
      </c>
      <c r="L55" s="77" t="s">
        <v>63</v>
      </c>
      <c r="M55" s="78">
        <f t="shared" si="10"/>
        <v>564</v>
      </c>
      <c r="N55" s="79"/>
      <c r="O55" s="78"/>
      <c r="P55" s="77" t="s">
        <v>63</v>
      </c>
      <c r="Q55" s="443">
        <v>46045</v>
      </c>
      <c r="R55" s="78">
        <v>564</v>
      </c>
      <c r="S55" s="77" t="s">
        <v>63</v>
      </c>
      <c r="T55" s="84">
        <f t="shared" si="3"/>
        <v>0</v>
      </c>
      <c r="U55" s="82"/>
      <c r="V55" s="82"/>
      <c r="W55" s="83"/>
      <c r="X55" s="81"/>
      <c r="Y55" s="445" t="s">
        <v>64</v>
      </c>
      <c r="Z55" s="86"/>
      <c r="AA55" s="85"/>
      <c r="AB55" s="595" t="s">
        <v>237</v>
      </c>
    </row>
    <row r="56" spans="1:32" s="176" customFormat="1" ht="69.95" customHeight="1" x14ac:dyDescent="0.15">
      <c r="A56" s="559"/>
      <c r="B56" s="186">
        <f>$I$6</f>
        <v>802</v>
      </c>
      <c r="C56" s="368" t="str">
        <f>$A$6</f>
        <v>BK</v>
      </c>
      <c r="D56" s="369"/>
      <c r="E56" s="370"/>
      <c r="F56" s="428"/>
      <c r="G56" s="429"/>
      <c r="H56" s="430"/>
      <c r="I56" s="563"/>
      <c r="J56" s="76"/>
      <c r="K56" s="139">
        <v>1</v>
      </c>
      <c r="L56" s="77" t="s">
        <v>63</v>
      </c>
      <c r="M56" s="78">
        <f t="shared" si="10"/>
        <v>802</v>
      </c>
      <c r="N56" s="140"/>
      <c r="O56" s="78"/>
      <c r="P56" s="77" t="s">
        <v>63</v>
      </c>
      <c r="Q56" s="447"/>
      <c r="R56" s="78">
        <v>802</v>
      </c>
      <c r="S56" s="77" t="s">
        <v>63</v>
      </c>
      <c r="T56" s="81">
        <f t="shared" si="3"/>
        <v>0</v>
      </c>
      <c r="U56" s="82"/>
      <c r="V56" s="137"/>
      <c r="W56" s="78"/>
      <c r="X56" s="78"/>
      <c r="Y56" s="557"/>
      <c r="Z56" s="141"/>
      <c r="AA56" s="135"/>
      <c r="AB56" s="595"/>
      <c r="AC56" s="287"/>
      <c r="AD56" s="251"/>
      <c r="AE56" s="251"/>
      <c r="AF56" s="251"/>
    </row>
    <row r="57" spans="1:32" s="176" customFormat="1" ht="69.95" customHeight="1" x14ac:dyDescent="0.15">
      <c r="A57" s="431" t="s">
        <v>225</v>
      </c>
      <c r="B57" s="182">
        <f t="shared" si="16"/>
        <v>564</v>
      </c>
      <c r="C57" s="368" t="str">
        <f t="shared" si="17"/>
        <v>KH</v>
      </c>
      <c r="D57" s="369"/>
      <c r="E57" s="370"/>
      <c r="F57" s="428"/>
      <c r="G57" s="429"/>
      <c r="H57" s="430"/>
      <c r="I57" s="441"/>
      <c r="J57" s="76"/>
      <c r="K57" s="139">
        <v>1</v>
      </c>
      <c r="L57" s="77" t="s">
        <v>63</v>
      </c>
      <c r="M57" s="78">
        <f t="shared" si="10"/>
        <v>564</v>
      </c>
      <c r="N57" s="79"/>
      <c r="O57" s="78"/>
      <c r="P57" s="77" t="s">
        <v>63</v>
      </c>
      <c r="Q57" s="443">
        <v>46045</v>
      </c>
      <c r="R57" s="78">
        <v>564</v>
      </c>
      <c r="S57" s="77" t="s">
        <v>63</v>
      </c>
      <c r="T57" s="84">
        <f t="shared" si="3"/>
        <v>0</v>
      </c>
      <c r="U57" s="82"/>
      <c r="V57" s="82"/>
      <c r="W57" s="83"/>
      <c r="X57" s="81"/>
      <c r="Y57" s="445" t="s">
        <v>64</v>
      </c>
      <c r="Z57" s="86"/>
      <c r="AA57" s="85"/>
      <c r="AB57" s="595" t="s">
        <v>237</v>
      </c>
    </row>
    <row r="58" spans="1:32" s="176" customFormat="1" ht="69.95" customHeight="1" x14ac:dyDescent="0.15">
      <c r="A58" s="559"/>
      <c r="B58" s="186">
        <f>$I$6</f>
        <v>802</v>
      </c>
      <c r="C58" s="368" t="str">
        <f>$A$6</f>
        <v>BK</v>
      </c>
      <c r="D58" s="369"/>
      <c r="E58" s="370"/>
      <c r="F58" s="428"/>
      <c r="G58" s="429"/>
      <c r="H58" s="430"/>
      <c r="I58" s="563"/>
      <c r="J58" s="76"/>
      <c r="K58" s="139">
        <v>1</v>
      </c>
      <c r="L58" s="77" t="s">
        <v>63</v>
      </c>
      <c r="M58" s="78">
        <f t="shared" si="10"/>
        <v>802</v>
      </c>
      <c r="N58" s="140"/>
      <c r="O58" s="78"/>
      <c r="P58" s="77" t="s">
        <v>63</v>
      </c>
      <c r="Q58" s="447"/>
      <c r="R58" s="78">
        <v>802</v>
      </c>
      <c r="S58" s="77" t="s">
        <v>63</v>
      </c>
      <c r="T58" s="81">
        <f t="shared" si="3"/>
        <v>0</v>
      </c>
      <c r="U58" s="82"/>
      <c r="V58" s="137"/>
      <c r="W58" s="78"/>
      <c r="X58" s="78"/>
      <c r="Y58" s="557"/>
      <c r="Z58" s="141"/>
      <c r="AA58" s="135"/>
      <c r="AB58" s="595"/>
      <c r="AC58" s="287"/>
      <c r="AD58" s="251"/>
      <c r="AE58" s="251"/>
      <c r="AF58" s="251"/>
    </row>
    <row r="59" spans="1:32" s="206" customFormat="1" ht="69.95" customHeight="1" x14ac:dyDescent="0.15">
      <c r="A59" s="431" t="s">
        <v>103</v>
      </c>
      <c r="B59" s="191">
        <f t="shared" ref="B59" si="18">$I$5</f>
        <v>564</v>
      </c>
      <c r="C59" s="422" t="str">
        <f t="shared" ref="C59" si="19">$A$5</f>
        <v>KH</v>
      </c>
      <c r="D59" s="423"/>
      <c r="E59" s="424"/>
      <c r="F59" s="425"/>
      <c r="G59" s="426"/>
      <c r="H59" s="427"/>
      <c r="I59" s="207"/>
      <c r="J59" s="192"/>
      <c r="K59" s="193"/>
      <c r="L59" s="194" t="s">
        <v>65</v>
      </c>
      <c r="M59" s="195">
        <f t="shared" si="10"/>
        <v>0</v>
      </c>
      <c r="N59" s="196"/>
      <c r="O59" s="195"/>
      <c r="P59" s="197" t="s">
        <v>65</v>
      </c>
      <c r="Q59" s="435"/>
      <c r="R59" s="195"/>
      <c r="S59" s="197" t="s">
        <v>65</v>
      </c>
      <c r="T59" s="205">
        <f t="shared" si="3"/>
        <v>0</v>
      </c>
      <c r="U59" s="199"/>
      <c r="V59" s="199"/>
      <c r="W59" s="208"/>
      <c r="X59" s="198"/>
      <c r="Y59" s="437" t="s">
        <v>94</v>
      </c>
      <c r="Z59" s="231"/>
      <c r="AA59" s="232"/>
      <c r="AB59" s="439"/>
    </row>
    <row r="60" spans="1:32" s="206" customFormat="1" ht="69.95" customHeight="1" x14ac:dyDescent="0.15">
      <c r="A60" s="432"/>
      <c r="B60" s="204">
        <f>$I$6</f>
        <v>802</v>
      </c>
      <c r="C60" s="422" t="str">
        <f>$A$6</f>
        <v>BK</v>
      </c>
      <c r="D60" s="423"/>
      <c r="E60" s="424"/>
      <c r="F60" s="425"/>
      <c r="G60" s="426"/>
      <c r="H60" s="427"/>
      <c r="I60" s="207"/>
      <c r="J60" s="192"/>
      <c r="K60" s="193"/>
      <c r="L60" s="194" t="s">
        <v>65</v>
      </c>
      <c r="M60" s="195">
        <f t="shared" si="10"/>
        <v>0</v>
      </c>
      <c r="N60" s="233"/>
      <c r="O60" s="195"/>
      <c r="P60" s="197" t="s">
        <v>65</v>
      </c>
      <c r="Q60" s="436"/>
      <c r="R60" s="195"/>
      <c r="S60" s="197" t="s">
        <v>65</v>
      </c>
      <c r="T60" s="198">
        <f t="shared" si="3"/>
        <v>0</v>
      </c>
      <c r="U60" s="199"/>
      <c r="V60" s="200"/>
      <c r="W60" s="195"/>
      <c r="X60" s="195"/>
      <c r="Y60" s="438"/>
      <c r="Z60" s="201"/>
      <c r="AA60" s="202"/>
      <c r="AB60" s="440"/>
      <c r="AC60" s="234"/>
      <c r="AD60" s="230"/>
      <c r="AE60" s="230"/>
      <c r="AF60" s="230"/>
    </row>
    <row r="61" spans="1:32" s="176" customFormat="1" ht="54.95" customHeight="1" x14ac:dyDescent="0.15">
      <c r="A61" s="572" t="s">
        <v>66</v>
      </c>
      <c r="B61" s="164">
        <f>C11</f>
        <v>580</v>
      </c>
      <c r="C61" s="407" t="e">
        <f>#REF!</f>
        <v>#REF!</v>
      </c>
      <c r="D61" s="408"/>
      <c r="E61" s="409"/>
      <c r="F61" s="371"/>
      <c r="G61" s="372"/>
      <c r="H61" s="373"/>
      <c r="I61" s="276"/>
      <c r="J61" s="255"/>
      <c r="K61" s="263">
        <v>1</v>
      </c>
      <c r="L61" s="168" t="s">
        <v>63</v>
      </c>
      <c r="M61" s="169">
        <f t="shared" si="4"/>
        <v>580</v>
      </c>
      <c r="N61" s="171"/>
      <c r="O61" s="277"/>
      <c r="P61" s="169" t="s">
        <v>63</v>
      </c>
      <c r="Q61" s="376">
        <v>46045</v>
      </c>
      <c r="R61" s="277">
        <v>580</v>
      </c>
      <c r="S61" s="169" t="s">
        <v>63</v>
      </c>
      <c r="T61" s="278">
        <f t="shared" si="3"/>
        <v>0</v>
      </c>
      <c r="U61" s="279"/>
      <c r="V61" s="280"/>
      <c r="W61" s="278"/>
      <c r="X61" s="278"/>
      <c r="Y61" s="374" t="s">
        <v>72</v>
      </c>
      <c r="Z61" s="374"/>
      <c r="AA61" s="374"/>
      <c r="AB61" s="404" t="s">
        <v>238</v>
      </c>
    </row>
    <row r="62" spans="1:32" s="176" customFormat="1" ht="54.95" customHeight="1" x14ac:dyDescent="0.15">
      <c r="A62" s="573"/>
      <c r="B62" s="164">
        <f>D11</f>
        <v>600</v>
      </c>
      <c r="C62" s="410"/>
      <c r="D62" s="411"/>
      <c r="E62" s="412"/>
      <c r="F62" s="371"/>
      <c r="G62" s="372"/>
      <c r="H62" s="373"/>
      <c r="I62" s="276"/>
      <c r="J62" s="255"/>
      <c r="K62" s="167">
        <v>1</v>
      </c>
      <c r="L62" s="168" t="s">
        <v>63</v>
      </c>
      <c r="M62" s="169">
        <f t="shared" si="4"/>
        <v>600</v>
      </c>
      <c r="N62" s="171"/>
      <c r="O62" s="277"/>
      <c r="P62" s="169" t="s">
        <v>63</v>
      </c>
      <c r="Q62" s="377"/>
      <c r="R62" s="277">
        <v>600</v>
      </c>
      <c r="S62" s="169" t="s">
        <v>63</v>
      </c>
      <c r="T62" s="278">
        <f t="shared" si="3"/>
        <v>0</v>
      </c>
      <c r="U62" s="279"/>
      <c r="V62" s="280"/>
      <c r="W62" s="278"/>
      <c r="X62" s="278"/>
      <c r="Y62" s="375"/>
      <c r="Z62" s="375"/>
      <c r="AA62" s="375"/>
      <c r="AB62" s="405"/>
    </row>
    <row r="63" spans="1:32" s="176" customFormat="1" ht="54.95" customHeight="1" x14ac:dyDescent="0.15">
      <c r="A63" s="573"/>
      <c r="B63" s="164">
        <f>E11</f>
        <v>186</v>
      </c>
      <c r="C63" s="410"/>
      <c r="D63" s="411"/>
      <c r="E63" s="412"/>
      <c r="F63" s="371"/>
      <c r="G63" s="372"/>
      <c r="H63" s="373"/>
      <c r="I63" s="276"/>
      <c r="J63" s="255"/>
      <c r="K63" s="167">
        <v>1</v>
      </c>
      <c r="L63" s="168" t="s">
        <v>63</v>
      </c>
      <c r="M63" s="169">
        <f t="shared" si="4"/>
        <v>186</v>
      </c>
      <c r="N63" s="171"/>
      <c r="O63" s="277"/>
      <c r="P63" s="169" t="s">
        <v>63</v>
      </c>
      <c r="Q63" s="377"/>
      <c r="R63" s="277">
        <v>186</v>
      </c>
      <c r="S63" s="169" t="s">
        <v>63</v>
      </c>
      <c r="T63" s="278">
        <f t="shared" si="3"/>
        <v>0</v>
      </c>
      <c r="U63" s="279"/>
      <c r="V63" s="280"/>
      <c r="W63" s="278"/>
      <c r="X63" s="278"/>
      <c r="Y63" s="375"/>
      <c r="Z63" s="375"/>
      <c r="AA63" s="375"/>
      <c r="AB63" s="405"/>
    </row>
    <row r="64" spans="1:32" s="176" customFormat="1" ht="54.95" customHeight="1" x14ac:dyDescent="0.15">
      <c r="A64" s="573"/>
      <c r="B64" s="164">
        <f>F11</f>
        <v>0</v>
      </c>
      <c r="C64" s="410"/>
      <c r="D64" s="411"/>
      <c r="E64" s="412"/>
      <c r="F64" s="371"/>
      <c r="G64" s="372"/>
      <c r="H64" s="373"/>
      <c r="I64" s="276"/>
      <c r="J64" s="255"/>
      <c r="K64" s="167">
        <v>1</v>
      </c>
      <c r="L64" s="168" t="s">
        <v>63</v>
      </c>
      <c r="M64" s="169">
        <f t="shared" si="4"/>
        <v>0</v>
      </c>
      <c r="N64" s="171"/>
      <c r="O64" s="277"/>
      <c r="P64" s="169" t="s">
        <v>63</v>
      </c>
      <c r="Q64" s="377"/>
      <c r="R64" s="277"/>
      <c r="S64" s="169" t="s">
        <v>63</v>
      </c>
      <c r="T64" s="278">
        <f t="shared" si="3"/>
        <v>0</v>
      </c>
      <c r="U64" s="279"/>
      <c r="V64" s="280"/>
      <c r="W64" s="278"/>
      <c r="X64" s="278"/>
      <c r="Y64" s="375"/>
      <c r="Z64" s="375"/>
      <c r="AA64" s="375"/>
      <c r="AB64" s="405"/>
    </row>
    <row r="65" spans="1:28" s="176" customFormat="1" ht="54.95" customHeight="1" x14ac:dyDescent="0.15">
      <c r="A65" s="574"/>
      <c r="B65" s="164">
        <f>G11</f>
        <v>0</v>
      </c>
      <c r="C65" s="413"/>
      <c r="D65" s="414"/>
      <c r="E65" s="415"/>
      <c r="F65" s="371"/>
      <c r="G65" s="372"/>
      <c r="H65" s="373"/>
      <c r="I65" s="276"/>
      <c r="J65" s="255"/>
      <c r="K65" s="167">
        <v>1</v>
      </c>
      <c r="L65" s="168" t="s">
        <v>63</v>
      </c>
      <c r="M65" s="169">
        <f t="shared" si="4"/>
        <v>0</v>
      </c>
      <c r="N65" s="171"/>
      <c r="O65" s="277"/>
      <c r="P65" s="169" t="s">
        <v>63</v>
      </c>
      <c r="Q65" s="378"/>
      <c r="R65" s="277"/>
      <c r="S65" s="169" t="s">
        <v>63</v>
      </c>
      <c r="T65" s="278">
        <f t="shared" si="3"/>
        <v>0</v>
      </c>
      <c r="U65" s="279"/>
      <c r="V65" s="280"/>
      <c r="W65" s="278"/>
      <c r="X65" s="278"/>
      <c r="Y65" s="379"/>
      <c r="Z65" s="379"/>
      <c r="AA65" s="379"/>
      <c r="AB65" s="406"/>
    </row>
    <row r="66" spans="1:28" s="176" customFormat="1" ht="54.95" customHeight="1" x14ac:dyDescent="0.15">
      <c r="A66" s="572" t="s">
        <v>68</v>
      </c>
      <c r="B66" s="164">
        <f>C5+C8</f>
        <v>240</v>
      </c>
      <c r="C66" s="407" t="str">
        <f>A5</f>
        <v>KH</v>
      </c>
      <c r="D66" s="408"/>
      <c r="E66" s="409"/>
      <c r="F66" s="371"/>
      <c r="G66" s="372"/>
      <c r="H66" s="373"/>
      <c r="I66" s="276"/>
      <c r="J66" s="276"/>
      <c r="K66" s="167">
        <v>1</v>
      </c>
      <c r="L66" s="168" t="s">
        <v>63</v>
      </c>
      <c r="M66" s="169">
        <f t="shared" si="4"/>
        <v>240</v>
      </c>
      <c r="N66" s="171"/>
      <c r="O66" s="277"/>
      <c r="P66" s="169" t="s">
        <v>63</v>
      </c>
      <c r="Q66" s="376">
        <v>46045</v>
      </c>
      <c r="R66" s="277">
        <v>240</v>
      </c>
      <c r="S66" s="169" t="s">
        <v>63</v>
      </c>
      <c r="T66" s="278">
        <f t="shared" si="3"/>
        <v>0</v>
      </c>
      <c r="U66" s="281"/>
      <c r="V66" s="282"/>
      <c r="W66" s="278"/>
      <c r="X66" s="278"/>
      <c r="Y66" s="374" t="s">
        <v>72</v>
      </c>
      <c r="Z66" s="374"/>
      <c r="AA66" s="374"/>
      <c r="AB66" s="404" t="s">
        <v>238</v>
      </c>
    </row>
    <row r="67" spans="1:28" s="176" customFormat="1" ht="54.95" customHeight="1" x14ac:dyDescent="0.15">
      <c r="A67" s="573"/>
      <c r="B67" s="164">
        <f>D5+D8</f>
        <v>250</v>
      </c>
      <c r="C67" s="410"/>
      <c r="D67" s="411"/>
      <c r="E67" s="412"/>
      <c r="F67" s="371"/>
      <c r="G67" s="372"/>
      <c r="H67" s="373"/>
      <c r="I67" s="276"/>
      <c r="J67" s="276"/>
      <c r="K67" s="167">
        <v>1</v>
      </c>
      <c r="L67" s="168" t="s">
        <v>63</v>
      </c>
      <c r="M67" s="169">
        <f t="shared" si="4"/>
        <v>250</v>
      </c>
      <c r="N67" s="171"/>
      <c r="O67" s="277"/>
      <c r="P67" s="169" t="s">
        <v>63</v>
      </c>
      <c r="Q67" s="377"/>
      <c r="R67" s="277">
        <v>250</v>
      </c>
      <c r="S67" s="169" t="s">
        <v>63</v>
      </c>
      <c r="T67" s="278">
        <f t="shared" si="3"/>
        <v>0</v>
      </c>
      <c r="U67" s="281"/>
      <c r="V67" s="282"/>
      <c r="W67" s="278"/>
      <c r="X67" s="278"/>
      <c r="Y67" s="375"/>
      <c r="Z67" s="375"/>
      <c r="AA67" s="375"/>
      <c r="AB67" s="405"/>
    </row>
    <row r="68" spans="1:28" s="176" customFormat="1" ht="54.95" customHeight="1" x14ac:dyDescent="0.15">
      <c r="A68" s="573"/>
      <c r="B68" s="164">
        <f>E5+E8</f>
        <v>74</v>
      </c>
      <c r="C68" s="410"/>
      <c r="D68" s="411"/>
      <c r="E68" s="412"/>
      <c r="F68" s="371"/>
      <c r="G68" s="372"/>
      <c r="H68" s="373"/>
      <c r="I68" s="276"/>
      <c r="J68" s="276"/>
      <c r="K68" s="167">
        <v>1</v>
      </c>
      <c r="L68" s="168" t="s">
        <v>63</v>
      </c>
      <c r="M68" s="169">
        <f t="shared" si="4"/>
        <v>74</v>
      </c>
      <c r="N68" s="171"/>
      <c r="O68" s="277"/>
      <c r="P68" s="169" t="s">
        <v>63</v>
      </c>
      <c r="Q68" s="377"/>
      <c r="R68" s="277">
        <v>74</v>
      </c>
      <c r="S68" s="169" t="s">
        <v>63</v>
      </c>
      <c r="T68" s="278">
        <f t="shared" si="3"/>
        <v>0</v>
      </c>
      <c r="U68" s="281"/>
      <c r="V68" s="282"/>
      <c r="W68" s="278"/>
      <c r="X68" s="278"/>
      <c r="Y68" s="375"/>
      <c r="Z68" s="375"/>
      <c r="AA68" s="375"/>
      <c r="AB68" s="405"/>
    </row>
    <row r="69" spans="1:28" s="176" customFormat="1" ht="54.95" customHeight="1" x14ac:dyDescent="0.15">
      <c r="A69" s="573"/>
      <c r="B69" s="164">
        <f>F5+F8</f>
        <v>0</v>
      </c>
      <c r="C69" s="410"/>
      <c r="D69" s="411"/>
      <c r="E69" s="412"/>
      <c r="F69" s="371"/>
      <c r="G69" s="372"/>
      <c r="H69" s="373"/>
      <c r="I69" s="276"/>
      <c r="J69" s="276"/>
      <c r="K69" s="167">
        <v>1</v>
      </c>
      <c r="L69" s="168" t="s">
        <v>63</v>
      </c>
      <c r="M69" s="169">
        <f t="shared" si="4"/>
        <v>0</v>
      </c>
      <c r="N69" s="171"/>
      <c r="O69" s="277"/>
      <c r="P69" s="169" t="s">
        <v>63</v>
      </c>
      <c r="Q69" s="377"/>
      <c r="R69" s="168"/>
      <c r="S69" s="169" t="s">
        <v>63</v>
      </c>
      <c r="T69" s="278">
        <f t="shared" si="3"/>
        <v>0</v>
      </c>
      <c r="U69" s="281"/>
      <c r="V69" s="282"/>
      <c r="W69" s="278"/>
      <c r="X69" s="278"/>
      <c r="Y69" s="375"/>
      <c r="Z69" s="375"/>
      <c r="AA69" s="375"/>
      <c r="AB69" s="405"/>
    </row>
    <row r="70" spans="1:28" s="176" customFormat="1" ht="54.95" customHeight="1" x14ac:dyDescent="0.15">
      <c r="A70" s="573"/>
      <c r="B70" s="164">
        <f>G5+G8</f>
        <v>0</v>
      </c>
      <c r="C70" s="413"/>
      <c r="D70" s="414"/>
      <c r="E70" s="415"/>
      <c r="F70" s="371"/>
      <c r="G70" s="372"/>
      <c r="H70" s="373"/>
      <c r="I70" s="276"/>
      <c r="J70" s="276"/>
      <c r="K70" s="167">
        <v>1</v>
      </c>
      <c r="L70" s="168" t="s">
        <v>63</v>
      </c>
      <c r="M70" s="169">
        <f t="shared" si="4"/>
        <v>0</v>
      </c>
      <c r="N70" s="171"/>
      <c r="O70" s="277"/>
      <c r="P70" s="169" t="s">
        <v>63</v>
      </c>
      <c r="Q70" s="377"/>
      <c r="R70" s="168"/>
      <c r="S70" s="169" t="s">
        <v>63</v>
      </c>
      <c r="T70" s="278">
        <f t="shared" si="3"/>
        <v>0</v>
      </c>
      <c r="U70" s="281"/>
      <c r="V70" s="282"/>
      <c r="W70" s="278"/>
      <c r="X70" s="278"/>
      <c r="Y70" s="375"/>
      <c r="Z70" s="375"/>
      <c r="AA70" s="375"/>
      <c r="AB70" s="405"/>
    </row>
    <row r="71" spans="1:28" s="176" customFormat="1" ht="54.95" customHeight="1" x14ac:dyDescent="0.15">
      <c r="A71" s="573"/>
      <c r="B71" s="164">
        <f>C6</f>
        <v>340</v>
      </c>
      <c r="C71" s="407" t="str">
        <f>A6</f>
        <v>BK</v>
      </c>
      <c r="D71" s="408"/>
      <c r="E71" s="409"/>
      <c r="F71" s="371"/>
      <c r="G71" s="372"/>
      <c r="H71" s="373"/>
      <c r="I71" s="276"/>
      <c r="J71" s="276"/>
      <c r="K71" s="167">
        <v>1</v>
      </c>
      <c r="L71" s="168" t="s">
        <v>63</v>
      </c>
      <c r="M71" s="169">
        <f t="shared" si="4"/>
        <v>340</v>
      </c>
      <c r="N71" s="171"/>
      <c r="O71" s="277"/>
      <c r="P71" s="169" t="s">
        <v>63</v>
      </c>
      <c r="Q71" s="377"/>
      <c r="R71" s="277">
        <v>340</v>
      </c>
      <c r="S71" s="169" t="s">
        <v>63</v>
      </c>
      <c r="T71" s="278">
        <f>R71-M71</f>
        <v>0</v>
      </c>
      <c r="U71" s="281"/>
      <c r="V71" s="282"/>
      <c r="W71" s="278"/>
      <c r="X71" s="278"/>
      <c r="Y71" s="375"/>
      <c r="Z71" s="375"/>
      <c r="AA71" s="375"/>
      <c r="AB71" s="405"/>
    </row>
    <row r="72" spans="1:28" s="176" customFormat="1" ht="54.95" customHeight="1" x14ac:dyDescent="0.15">
      <c r="A72" s="573"/>
      <c r="B72" s="164">
        <f>D6</f>
        <v>350</v>
      </c>
      <c r="C72" s="410"/>
      <c r="D72" s="411"/>
      <c r="E72" s="412"/>
      <c r="F72" s="371"/>
      <c r="G72" s="372"/>
      <c r="H72" s="373"/>
      <c r="I72" s="276"/>
      <c r="J72" s="276"/>
      <c r="K72" s="167">
        <v>1</v>
      </c>
      <c r="L72" s="168" t="s">
        <v>63</v>
      </c>
      <c r="M72" s="169">
        <f t="shared" si="4"/>
        <v>350</v>
      </c>
      <c r="N72" s="171"/>
      <c r="O72" s="277"/>
      <c r="P72" s="169" t="s">
        <v>63</v>
      </c>
      <c r="Q72" s="377"/>
      <c r="R72" s="277">
        <v>350</v>
      </c>
      <c r="S72" s="169" t="s">
        <v>63</v>
      </c>
      <c r="T72" s="278">
        <f>R72-M72</f>
        <v>0</v>
      </c>
      <c r="U72" s="281"/>
      <c r="V72" s="282"/>
      <c r="W72" s="278"/>
      <c r="X72" s="278"/>
      <c r="Y72" s="375"/>
      <c r="Z72" s="375"/>
      <c r="AA72" s="375"/>
      <c r="AB72" s="405"/>
    </row>
    <row r="73" spans="1:28" s="176" customFormat="1" ht="54.95" customHeight="1" x14ac:dyDescent="0.15">
      <c r="A73" s="573"/>
      <c r="B73" s="164">
        <f>E6</f>
        <v>112</v>
      </c>
      <c r="C73" s="410"/>
      <c r="D73" s="411"/>
      <c r="E73" s="412"/>
      <c r="F73" s="371"/>
      <c r="G73" s="372"/>
      <c r="H73" s="373"/>
      <c r="I73" s="276"/>
      <c r="J73" s="276"/>
      <c r="K73" s="167">
        <v>1</v>
      </c>
      <c r="L73" s="168" t="s">
        <v>63</v>
      </c>
      <c r="M73" s="169">
        <f t="shared" si="4"/>
        <v>112</v>
      </c>
      <c r="N73" s="171"/>
      <c r="O73" s="277"/>
      <c r="P73" s="169" t="s">
        <v>63</v>
      </c>
      <c r="Q73" s="377"/>
      <c r="R73" s="277">
        <v>112</v>
      </c>
      <c r="S73" s="169" t="s">
        <v>63</v>
      </c>
      <c r="T73" s="278">
        <f>R73-M73</f>
        <v>0</v>
      </c>
      <c r="U73" s="281"/>
      <c r="V73" s="282"/>
      <c r="W73" s="278"/>
      <c r="X73" s="278"/>
      <c r="Y73" s="375"/>
      <c r="Z73" s="375"/>
      <c r="AA73" s="375"/>
      <c r="AB73" s="405"/>
    </row>
    <row r="74" spans="1:28" s="176" customFormat="1" ht="54.95" customHeight="1" x14ac:dyDescent="0.15">
      <c r="A74" s="573"/>
      <c r="B74" s="164"/>
      <c r="C74" s="410"/>
      <c r="D74" s="411"/>
      <c r="E74" s="412"/>
      <c r="F74" s="371"/>
      <c r="G74" s="372"/>
      <c r="H74" s="373"/>
      <c r="I74" s="276"/>
      <c r="J74" s="276"/>
      <c r="K74" s="167">
        <v>1</v>
      </c>
      <c r="L74" s="168" t="s">
        <v>63</v>
      </c>
      <c r="M74" s="169">
        <f t="shared" si="4"/>
        <v>0</v>
      </c>
      <c r="N74" s="171"/>
      <c r="O74" s="277"/>
      <c r="P74" s="169" t="s">
        <v>63</v>
      </c>
      <c r="Q74" s="377"/>
      <c r="R74" s="168"/>
      <c r="S74" s="169" t="s">
        <v>63</v>
      </c>
      <c r="T74" s="278">
        <f>R74-M74</f>
        <v>0</v>
      </c>
      <c r="U74" s="281"/>
      <c r="V74" s="282"/>
      <c r="W74" s="278"/>
      <c r="X74" s="278"/>
      <c r="Y74" s="375"/>
      <c r="Z74" s="375"/>
      <c r="AA74" s="375"/>
      <c r="AB74" s="405"/>
    </row>
    <row r="75" spans="1:28" s="176" customFormat="1" ht="54.95" customHeight="1" x14ac:dyDescent="0.15">
      <c r="A75" s="574"/>
      <c r="B75" s="164">
        <f>G10+G13</f>
        <v>0</v>
      </c>
      <c r="C75" s="413"/>
      <c r="D75" s="414"/>
      <c r="E75" s="415"/>
      <c r="F75" s="371"/>
      <c r="G75" s="372"/>
      <c r="H75" s="373"/>
      <c r="I75" s="276"/>
      <c r="J75" s="276"/>
      <c r="K75" s="167">
        <v>1</v>
      </c>
      <c r="L75" s="168" t="s">
        <v>63</v>
      </c>
      <c r="M75" s="169">
        <f t="shared" si="4"/>
        <v>0</v>
      </c>
      <c r="N75" s="171"/>
      <c r="O75" s="277"/>
      <c r="P75" s="169" t="s">
        <v>63</v>
      </c>
      <c r="Q75" s="378"/>
      <c r="R75" s="168"/>
      <c r="S75" s="169" t="s">
        <v>63</v>
      </c>
      <c r="T75" s="278">
        <f>R75-M75</f>
        <v>0</v>
      </c>
      <c r="U75" s="281"/>
      <c r="V75" s="282"/>
      <c r="W75" s="278"/>
      <c r="X75" s="278"/>
      <c r="Y75" s="379"/>
      <c r="Z75" s="379"/>
      <c r="AA75" s="379"/>
      <c r="AB75" s="406"/>
    </row>
    <row r="76" spans="1:28" s="176" customFormat="1" ht="54.95" customHeight="1" x14ac:dyDescent="0.15">
      <c r="A76" s="572" t="s">
        <v>69</v>
      </c>
      <c r="B76" s="164">
        <f>C5</f>
        <v>240</v>
      </c>
      <c r="C76" s="407" t="str">
        <f>A5</f>
        <v>KH</v>
      </c>
      <c r="D76" s="408"/>
      <c r="E76" s="409"/>
      <c r="F76" s="371"/>
      <c r="G76" s="372"/>
      <c r="H76" s="373"/>
      <c r="I76" s="276"/>
      <c r="J76" s="276"/>
      <c r="K76" s="167">
        <v>1</v>
      </c>
      <c r="L76" s="168" t="s">
        <v>63</v>
      </c>
      <c r="M76" s="169">
        <f t="shared" si="4"/>
        <v>240</v>
      </c>
      <c r="N76" s="171"/>
      <c r="O76" s="277"/>
      <c r="P76" s="169" t="s">
        <v>63</v>
      </c>
      <c r="Q76" s="376">
        <v>46045</v>
      </c>
      <c r="R76" s="277">
        <v>240</v>
      </c>
      <c r="S76" s="169" t="s">
        <v>63</v>
      </c>
      <c r="T76" s="278">
        <f t="shared" si="3"/>
        <v>0</v>
      </c>
      <c r="U76" s="281"/>
      <c r="V76" s="282"/>
      <c r="W76" s="278"/>
      <c r="X76" s="278"/>
      <c r="Y76" s="374" t="s">
        <v>67</v>
      </c>
      <c r="Z76" s="374"/>
      <c r="AA76" s="374"/>
      <c r="AB76" s="404" t="s">
        <v>238</v>
      </c>
    </row>
    <row r="77" spans="1:28" s="176" customFormat="1" ht="54.95" customHeight="1" x14ac:dyDescent="0.15">
      <c r="A77" s="573"/>
      <c r="B77" s="164">
        <f>D5</f>
        <v>250</v>
      </c>
      <c r="C77" s="410"/>
      <c r="D77" s="411"/>
      <c r="E77" s="412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250</v>
      </c>
      <c r="N77" s="171"/>
      <c r="O77" s="277"/>
      <c r="P77" s="169" t="s">
        <v>63</v>
      </c>
      <c r="Q77" s="377"/>
      <c r="R77" s="277">
        <v>250</v>
      </c>
      <c r="S77" s="169" t="s">
        <v>63</v>
      </c>
      <c r="T77" s="278">
        <f t="shared" si="3"/>
        <v>0</v>
      </c>
      <c r="U77" s="281"/>
      <c r="V77" s="282"/>
      <c r="W77" s="278"/>
      <c r="X77" s="278"/>
      <c r="Y77" s="375"/>
      <c r="Z77" s="375"/>
      <c r="AA77" s="375"/>
      <c r="AB77" s="405"/>
    </row>
    <row r="78" spans="1:28" s="176" customFormat="1" ht="54.95" customHeight="1" x14ac:dyDescent="0.15">
      <c r="A78" s="573"/>
      <c r="B78" s="164">
        <f>E5</f>
        <v>74</v>
      </c>
      <c r="C78" s="410"/>
      <c r="D78" s="411"/>
      <c r="E78" s="412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74</v>
      </c>
      <c r="N78" s="171"/>
      <c r="O78" s="277"/>
      <c r="P78" s="169" t="s">
        <v>63</v>
      </c>
      <c r="Q78" s="377"/>
      <c r="R78" s="277">
        <v>74</v>
      </c>
      <c r="S78" s="169" t="s">
        <v>63</v>
      </c>
      <c r="T78" s="278">
        <f t="shared" si="3"/>
        <v>0</v>
      </c>
      <c r="U78" s="281"/>
      <c r="V78" s="282"/>
      <c r="W78" s="278"/>
      <c r="X78" s="278"/>
      <c r="Y78" s="375"/>
      <c r="Z78" s="375"/>
      <c r="AA78" s="375"/>
      <c r="AB78" s="405"/>
    </row>
    <row r="79" spans="1:28" s="176" customFormat="1" ht="54.95" customHeight="1" x14ac:dyDescent="0.15">
      <c r="A79" s="573"/>
      <c r="B79" s="164">
        <f>F5</f>
        <v>0</v>
      </c>
      <c r="C79" s="410"/>
      <c r="D79" s="411"/>
      <c r="E79" s="412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0</v>
      </c>
      <c r="N79" s="171"/>
      <c r="O79" s="277"/>
      <c r="P79" s="169" t="s">
        <v>63</v>
      </c>
      <c r="Q79" s="377"/>
      <c r="R79" s="168"/>
      <c r="S79" s="169" t="s">
        <v>63</v>
      </c>
      <c r="T79" s="278">
        <f t="shared" si="3"/>
        <v>0</v>
      </c>
      <c r="U79" s="281"/>
      <c r="V79" s="282"/>
      <c r="W79" s="278"/>
      <c r="X79" s="278"/>
      <c r="Y79" s="375"/>
      <c r="Z79" s="375"/>
      <c r="AA79" s="375"/>
      <c r="AB79" s="405"/>
    </row>
    <row r="80" spans="1:28" s="176" customFormat="1" ht="54.95" customHeight="1" x14ac:dyDescent="0.15">
      <c r="A80" s="573"/>
      <c r="B80" s="164">
        <f>G5</f>
        <v>0</v>
      </c>
      <c r="C80" s="413"/>
      <c r="D80" s="414"/>
      <c r="E80" s="415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168"/>
      <c r="S80" s="169" t="s">
        <v>63</v>
      </c>
      <c r="T80" s="278">
        <f t="shared" si="3"/>
        <v>0</v>
      </c>
      <c r="U80" s="281"/>
      <c r="V80" s="282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573"/>
      <c r="B81" s="164">
        <f>C6</f>
        <v>340</v>
      </c>
      <c r="C81" s="407" t="str">
        <f>A6</f>
        <v>BK</v>
      </c>
      <c r="D81" s="408"/>
      <c r="E81" s="409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340</v>
      </c>
      <c r="N81" s="171"/>
      <c r="O81" s="277"/>
      <c r="P81" s="169" t="s">
        <v>63</v>
      </c>
      <c r="Q81" s="377"/>
      <c r="R81" s="277">
        <v>340</v>
      </c>
      <c r="S81" s="169" t="s">
        <v>63</v>
      </c>
      <c r="T81" s="278">
        <f t="shared" si="3"/>
        <v>0</v>
      </c>
      <c r="U81" s="281"/>
      <c r="V81" s="282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573"/>
      <c r="B82" s="164">
        <f>D6</f>
        <v>350</v>
      </c>
      <c r="C82" s="410"/>
      <c r="D82" s="411"/>
      <c r="E82" s="412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350</v>
      </c>
      <c r="N82" s="171"/>
      <c r="O82" s="277"/>
      <c r="P82" s="169" t="s">
        <v>63</v>
      </c>
      <c r="Q82" s="377"/>
      <c r="R82" s="277">
        <v>350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573"/>
      <c r="B83" s="164">
        <f>E6</f>
        <v>112</v>
      </c>
      <c r="C83" s="410"/>
      <c r="D83" s="411"/>
      <c r="E83" s="412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112</v>
      </c>
      <c r="N83" s="171"/>
      <c r="O83" s="277"/>
      <c r="P83" s="169" t="s">
        <v>63</v>
      </c>
      <c r="Q83" s="377"/>
      <c r="R83" s="277">
        <v>112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405"/>
    </row>
    <row r="84" spans="1:28" s="55" customFormat="1" ht="54.95" customHeight="1" x14ac:dyDescent="0.15">
      <c r="A84" s="573"/>
      <c r="B84" s="164">
        <f>F10</f>
        <v>0</v>
      </c>
      <c r="C84" s="410"/>
      <c r="D84" s="411"/>
      <c r="E84" s="412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7"/>
      <c r="R84" s="168"/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405"/>
    </row>
    <row r="85" spans="1:28" s="55" customFormat="1" ht="54.95" customHeight="1" x14ac:dyDescent="0.15">
      <c r="A85" s="574"/>
      <c r="B85" s="164">
        <f>G10</f>
        <v>0</v>
      </c>
      <c r="C85" s="413"/>
      <c r="D85" s="414"/>
      <c r="E85" s="415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8"/>
      <c r="R85" s="168"/>
      <c r="S85" s="169" t="s">
        <v>63</v>
      </c>
      <c r="T85" s="278">
        <f t="shared" si="3"/>
        <v>0</v>
      </c>
      <c r="U85" s="281"/>
      <c r="V85" s="282"/>
      <c r="W85" s="278"/>
      <c r="X85" s="278"/>
      <c r="Y85" s="379"/>
      <c r="Z85" s="379"/>
      <c r="AA85" s="379"/>
      <c r="AB85" s="406"/>
    </row>
    <row r="86" spans="1:28" s="55" customFormat="1" ht="54.95" customHeight="1" x14ac:dyDescent="0.15">
      <c r="A86" s="572" t="s">
        <v>70</v>
      </c>
      <c r="B86" s="87">
        <f>C11</f>
        <v>580</v>
      </c>
      <c r="C86" s="389" t="s">
        <v>71</v>
      </c>
      <c r="D86" s="390"/>
      <c r="E86" s="391"/>
      <c r="F86" s="368"/>
      <c r="G86" s="369"/>
      <c r="H86" s="370"/>
      <c r="I86" s="152"/>
      <c r="J86" s="90"/>
      <c r="K86" s="156">
        <v>1</v>
      </c>
      <c r="L86" s="77" t="s">
        <v>63</v>
      </c>
      <c r="M86" s="88">
        <f t="shared" si="4"/>
        <v>580</v>
      </c>
      <c r="N86" s="89"/>
      <c r="O86" s="153"/>
      <c r="P86" s="88" t="s">
        <v>63</v>
      </c>
      <c r="Q86" s="398">
        <v>46045</v>
      </c>
      <c r="R86" s="93">
        <v>580</v>
      </c>
      <c r="S86" s="88" t="s">
        <v>63</v>
      </c>
      <c r="T86" s="154">
        <f t="shared" si="3"/>
        <v>0</v>
      </c>
      <c r="U86" s="91"/>
      <c r="V86" s="159"/>
      <c r="W86" s="159"/>
      <c r="X86" s="159"/>
      <c r="Y86" s="401" t="s">
        <v>94</v>
      </c>
      <c r="Z86" s="416"/>
      <c r="AA86" s="416"/>
      <c r="AB86" s="419" t="s">
        <v>238</v>
      </c>
    </row>
    <row r="87" spans="1:28" s="55" customFormat="1" ht="54.95" customHeight="1" x14ac:dyDescent="0.15">
      <c r="A87" s="573"/>
      <c r="B87" s="87">
        <f>D11</f>
        <v>600</v>
      </c>
      <c r="C87" s="392"/>
      <c r="D87" s="393"/>
      <c r="E87" s="394"/>
      <c r="F87" s="368"/>
      <c r="G87" s="369"/>
      <c r="H87" s="370"/>
      <c r="I87" s="152"/>
      <c r="J87" s="90"/>
      <c r="K87" s="156">
        <v>1</v>
      </c>
      <c r="L87" s="77" t="s">
        <v>63</v>
      </c>
      <c r="M87" s="88">
        <f t="shared" si="4"/>
        <v>600</v>
      </c>
      <c r="N87" s="89"/>
      <c r="O87" s="153"/>
      <c r="P87" s="88" t="s">
        <v>63</v>
      </c>
      <c r="Q87" s="399"/>
      <c r="R87" s="93">
        <v>600</v>
      </c>
      <c r="S87" s="88" t="s">
        <v>63</v>
      </c>
      <c r="T87" s="154">
        <f t="shared" si="3"/>
        <v>0</v>
      </c>
      <c r="U87" s="91"/>
      <c r="V87" s="159"/>
      <c r="W87" s="159"/>
      <c r="X87" s="159"/>
      <c r="Y87" s="402"/>
      <c r="Z87" s="417"/>
      <c r="AA87" s="417"/>
      <c r="AB87" s="420"/>
    </row>
    <row r="88" spans="1:28" s="176" customFormat="1" ht="54.95" customHeight="1" x14ac:dyDescent="0.15">
      <c r="A88" s="573"/>
      <c r="B88" s="87">
        <f>E11</f>
        <v>186</v>
      </c>
      <c r="C88" s="392"/>
      <c r="D88" s="393"/>
      <c r="E88" s="394"/>
      <c r="F88" s="368"/>
      <c r="G88" s="369"/>
      <c r="H88" s="370"/>
      <c r="I88" s="152"/>
      <c r="J88" s="90"/>
      <c r="K88" s="156">
        <v>1</v>
      </c>
      <c r="L88" s="77" t="s">
        <v>63</v>
      </c>
      <c r="M88" s="88">
        <f t="shared" si="4"/>
        <v>186</v>
      </c>
      <c r="N88" s="89"/>
      <c r="O88" s="153"/>
      <c r="P88" s="88" t="s">
        <v>63</v>
      </c>
      <c r="Q88" s="399"/>
      <c r="R88" s="93">
        <v>186</v>
      </c>
      <c r="S88" s="88" t="s">
        <v>63</v>
      </c>
      <c r="T88" s="154">
        <f t="shared" si="3"/>
        <v>0</v>
      </c>
      <c r="U88" s="91"/>
      <c r="V88" s="159"/>
      <c r="W88" s="159"/>
      <c r="X88" s="159"/>
      <c r="Y88" s="402"/>
      <c r="Z88" s="417"/>
      <c r="AA88" s="417"/>
      <c r="AB88" s="420"/>
    </row>
    <row r="89" spans="1:28" s="55" customFormat="1" ht="54.95" customHeight="1" x14ac:dyDescent="0.15">
      <c r="A89" s="574"/>
      <c r="B89" s="87">
        <f>F11</f>
        <v>0</v>
      </c>
      <c r="C89" s="395"/>
      <c r="D89" s="396"/>
      <c r="E89" s="397"/>
      <c r="F89" s="368"/>
      <c r="G89" s="369"/>
      <c r="H89" s="370"/>
      <c r="I89" s="152"/>
      <c r="J89" s="90"/>
      <c r="K89" s="156"/>
      <c r="L89" s="77" t="s">
        <v>63</v>
      </c>
      <c r="M89" s="88">
        <f t="shared" si="4"/>
        <v>0</v>
      </c>
      <c r="N89" s="89"/>
      <c r="O89" s="153"/>
      <c r="P89" s="88" t="s">
        <v>63</v>
      </c>
      <c r="Q89" s="400"/>
      <c r="R89" s="162"/>
      <c r="S89" s="88" t="s">
        <v>63</v>
      </c>
      <c r="T89" s="154">
        <f t="shared" si="3"/>
        <v>0</v>
      </c>
      <c r="U89" s="91"/>
      <c r="V89" s="159"/>
      <c r="W89" s="159"/>
      <c r="X89" s="159"/>
      <c r="Y89" s="403"/>
      <c r="Z89" s="418"/>
      <c r="AA89" s="418"/>
      <c r="AB89" s="421"/>
    </row>
    <row r="90" spans="1:28" s="55" customFormat="1" ht="54.95" customHeight="1" x14ac:dyDescent="0.15">
      <c r="A90" s="163" t="s">
        <v>73</v>
      </c>
      <c r="B90" s="164">
        <f>I11</f>
        <v>1366</v>
      </c>
      <c r="C90" s="371" t="s">
        <v>71</v>
      </c>
      <c r="D90" s="372"/>
      <c r="E90" s="373"/>
      <c r="F90" s="371"/>
      <c r="G90" s="372"/>
      <c r="H90" s="373"/>
      <c r="I90" s="165"/>
      <c r="J90" s="166"/>
      <c r="K90" s="167">
        <v>1</v>
      </c>
      <c r="L90" s="168" t="s">
        <v>63</v>
      </c>
      <c r="M90" s="88">
        <f t="shared" si="4"/>
        <v>1366</v>
      </c>
      <c r="N90" s="170"/>
      <c r="O90" s="170"/>
      <c r="P90" s="169" t="s">
        <v>63</v>
      </c>
      <c r="Q90" s="363">
        <v>46045</v>
      </c>
      <c r="R90" s="165">
        <v>1366</v>
      </c>
      <c r="S90" s="169" t="s">
        <v>63</v>
      </c>
      <c r="T90" s="154">
        <f t="shared" si="3"/>
        <v>0</v>
      </c>
      <c r="U90" s="170"/>
      <c r="V90" s="172"/>
      <c r="W90" s="172"/>
      <c r="X90" s="172"/>
      <c r="Y90" s="173" t="s">
        <v>72</v>
      </c>
      <c r="Z90" s="97"/>
      <c r="AA90" s="98"/>
      <c r="AB90" s="575" t="s">
        <v>238</v>
      </c>
    </row>
    <row r="91" spans="1:28" ht="54.95" customHeight="1" x14ac:dyDescent="0.15">
      <c r="A91" s="163" t="s">
        <v>81</v>
      </c>
      <c r="B91" s="87">
        <f>I11</f>
        <v>1366</v>
      </c>
      <c r="C91" s="368" t="s">
        <v>71</v>
      </c>
      <c r="D91" s="369"/>
      <c r="E91" s="370"/>
      <c r="F91" s="368"/>
      <c r="G91" s="369"/>
      <c r="H91" s="370"/>
      <c r="I91" s="93"/>
      <c r="J91" s="90"/>
      <c r="K91" s="156">
        <v>1</v>
      </c>
      <c r="L91" s="77" t="s">
        <v>63</v>
      </c>
      <c r="M91" s="88">
        <f>K91*B91</f>
        <v>1366</v>
      </c>
      <c r="N91" s="91"/>
      <c r="O91" s="91"/>
      <c r="P91" s="169" t="s">
        <v>63</v>
      </c>
      <c r="Q91" s="364"/>
      <c r="R91" s="93">
        <v>1366</v>
      </c>
      <c r="S91" s="169" t="s">
        <v>63</v>
      </c>
      <c r="T91" s="154">
        <f t="shared" si="3"/>
        <v>0</v>
      </c>
      <c r="U91" s="91"/>
      <c r="V91" s="91"/>
      <c r="W91" s="91"/>
      <c r="X91" s="91"/>
      <c r="Y91" s="160" t="s">
        <v>72</v>
      </c>
      <c r="Z91" s="289"/>
      <c r="AA91" s="289"/>
      <c r="AB91" s="589"/>
    </row>
    <row r="92" spans="1:28" ht="54.95" customHeight="1" x14ac:dyDescent="0.15">
      <c r="A92" s="284" t="s">
        <v>74</v>
      </c>
      <c r="B92" s="87">
        <f>I11</f>
        <v>1366</v>
      </c>
      <c r="C92" s="368" t="s">
        <v>71</v>
      </c>
      <c r="D92" s="369"/>
      <c r="E92" s="370"/>
      <c r="F92" s="368"/>
      <c r="G92" s="369"/>
      <c r="H92" s="370"/>
      <c r="I92" s="93" t="s">
        <v>236</v>
      </c>
      <c r="J92" s="93"/>
      <c r="K92" s="156">
        <v>1</v>
      </c>
      <c r="L92" s="77" t="s">
        <v>63</v>
      </c>
      <c r="M92" s="88">
        <f t="shared" si="4"/>
        <v>1366</v>
      </c>
      <c r="N92" s="91"/>
      <c r="O92" s="91"/>
      <c r="P92" s="89" t="s">
        <v>63</v>
      </c>
      <c r="Q92" s="365"/>
      <c r="R92" s="93">
        <v>1400</v>
      </c>
      <c r="S92" s="89" t="s">
        <v>63</v>
      </c>
      <c r="T92" s="154">
        <f t="shared" si="3"/>
        <v>34</v>
      </c>
      <c r="U92" s="91"/>
      <c r="V92" s="91"/>
      <c r="W92" s="91"/>
      <c r="X92" s="91"/>
      <c r="Y92" s="160" t="s">
        <v>72</v>
      </c>
      <c r="Z92" s="289"/>
      <c r="AA92" s="289"/>
      <c r="AB92" s="576"/>
    </row>
    <row r="93" spans="1:28" x14ac:dyDescent="0.15">
      <c r="A93" s="285"/>
      <c r="B93" s="366"/>
      <c r="C93" s="366"/>
      <c r="D93" s="177"/>
      <c r="E93" s="177"/>
      <c r="F93" s="100"/>
      <c r="G93" s="100"/>
      <c r="H93" s="100"/>
      <c r="I93" s="177"/>
      <c r="J93" s="177"/>
      <c r="K93" s="101"/>
      <c r="L93" s="102"/>
      <c r="M93" s="103"/>
      <c r="N93" s="104"/>
      <c r="O93" s="104"/>
      <c r="P93" s="177"/>
      <c r="Q93" s="105"/>
      <c r="R93" s="105"/>
      <c r="S93" s="106"/>
      <c r="T93" s="107"/>
      <c r="U93" s="108"/>
      <c r="V93" s="108"/>
      <c r="W93" s="109"/>
      <c r="X93" s="107"/>
      <c r="Y93" s="110"/>
    </row>
    <row r="94" spans="1:28" x14ac:dyDescent="0.15">
      <c r="A94" s="285"/>
      <c r="B94" s="366"/>
      <c r="C94" s="366"/>
      <c r="D94" s="177"/>
      <c r="E94" s="177"/>
      <c r="F94" s="367"/>
      <c r="G94" s="367"/>
      <c r="H94" s="367"/>
      <c r="I94" s="177"/>
      <c r="J94" s="177"/>
      <c r="K94" s="101"/>
      <c r="L94" s="102"/>
      <c r="M94" s="103"/>
      <c r="N94" s="104"/>
      <c r="O94" s="104"/>
      <c r="P94" s="177"/>
      <c r="Q94" s="105"/>
      <c r="R94" s="105"/>
      <c r="S94" s="106"/>
      <c r="T94" s="107"/>
      <c r="U94" s="108"/>
      <c r="V94" s="108"/>
      <c r="W94" s="109"/>
      <c r="X94" s="107"/>
      <c r="Y94" s="112"/>
    </row>
    <row r="95" spans="1:28" x14ac:dyDescent="0.15">
      <c r="J95" s="177"/>
    </row>
    <row r="96" spans="1:28" x14ac:dyDescent="0.15">
      <c r="J96" s="177"/>
    </row>
    <row r="101" spans="1:29" s="114" customFormat="1" x14ac:dyDescent="0.15">
      <c r="A101" s="286"/>
      <c r="B101" s="113"/>
      <c r="C101" s="1"/>
      <c r="D101" s="1"/>
      <c r="E101" s="1"/>
      <c r="F101" s="1"/>
      <c r="G101" s="1"/>
      <c r="H101" s="1"/>
      <c r="I101" s="1"/>
      <c r="J101" s="1"/>
      <c r="L101" s="115"/>
      <c r="M101" s="116"/>
      <c r="N101" s="117"/>
      <c r="O101" s="117"/>
      <c r="P101" s="1"/>
      <c r="Q101" s="118"/>
      <c r="R101" s="118"/>
      <c r="S101" s="115"/>
      <c r="T101" s="119"/>
      <c r="U101" s="1"/>
      <c r="V101" s="1"/>
      <c r="W101" s="120"/>
      <c r="X101" s="121"/>
      <c r="Y101" s="1"/>
      <c r="Z101" s="1"/>
      <c r="AA101" s="1"/>
      <c r="AB101" s="1"/>
      <c r="AC101" s="1"/>
    </row>
    <row r="102" spans="1:29" s="114" customFormat="1" x14ac:dyDescent="0.15">
      <c r="A102" s="286"/>
      <c r="B102" s="113"/>
      <c r="C102" s="1"/>
      <c r="D102" s="1"/>
      <c r="E102" s="1"/>
      <c r="F102" s="1"/>
      <c r="G102" s="1"/>
      <c r="H102" s="1"/>
      <c r="I102" s="1"/>
      <c r="J102" s="1"/>
      <c r="L102" s="115"/>
      <c r="M102" s="116"/>
      <c r="N102" s="117"/>
      <c r="O102" s="117"/>
      <c r="P102" s="1"/>
      <c r="Q102" s="118"/>
      <c r="R102" s="118"/>
      <c r="S102" s="115"/>
      <c r="T102" s="119"/>
      <c r="U102" s="1"/>
      <c r="V102" s="1"/>
      <c r="W102" s="120"/>
      <c r="X102" s="121"/>
      <c r="Y102" s="1"/>
      <c r="Z102" s="1"/>
      <c r="AA102" s="1"/>
      <c r="AB102" s="1"/>
      <c r="AC102" s="1"/>
    </row>
  </sheetData>
  <mergeCells count="332">
    <mergeCell ref="AB53:AB54"/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Q15:Q16"/>
    <mergeCell ref="Y15:Y16"/>
    <mergeCell ref="N13:P13"/>
    <mergeCell ref="C20:E20"/>
    <mergeCell ref="F20:H20"/>
    <mergeCell ref="A21:A22"/>
    <mergeCell ref="C21:E21"/>
    <mergeCell ref="F21:H21"/>
    <mergeCell ref="I21:I22"/>
    <mergeCell ref="AB17:AB18"/>
    <mergeCell ref="C18:E18"/>
    <mergeCell ref="F18:H18"/>
    <mergeCell ref="A19:A20"/>
    <mergeCell ref="C19:E19"/>
    <mergeCell ref="F19:H19"/>
    <mergeCell ref="I19:I20"/>
    <mergeCell ref="Q19:Q20"/>
    <mergeCell ref="Y19:Y20"/>
    <mergeCell ref="AB19:AB20"/>
    <mergeCell ref="Q21:Q22"/>
    <mergeCell ref="Y21:Y22"/>
    <mergeCell ref="AB21:AB22"/>
    <mergeCell ref="C22:E22"/>
    <mergeCell ref="F22:H22"/>
    <mergeCell ref="AB15:AB16"/>
    <mergeCell ref="AB23:AB24"/>
    <mergeCell ref="C24:E24"/>
    <mergeCell ref="F24:H24"/>
    <mergeCell ref="A25:A26"/>
    <mergeCell ref="C25:E25"/>
    <mergeCell ref="F25:H25"/>
    <mergeCell ref="Q25:Q26"/>
    <mergeCell ref="Y25:Y26"/>
    <mergeCell ref="AB25:AB26"/>
    <mergeCell ref="C26:E26"/>
    <mergeCell ref="A23:A24"/>
    <mergeCell ref="C23:E23"/>
    <mergeCell ref="F23:H23"/>
    <mergeCell ref="Q23:Q24"/>
    <mergeCell ref="Y23:Y24"/>
    <mergeCell ref="F26:H26"/>
    <mergeCell ref="I25:I26"/>
    <mergeCell ref="AB27:AB28"/>
    <mergeCell ref="C28:E28"/>
    <mergeCell ref="F28:H28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27:A28"/>
    <mergeCell ref="C27:E27"/>
    <mergeCell ref="F27:H27"/>
    <mergeCell ref="I27:I28"/>
    <mergeCell ref="Q27:Q28"/>
    <mergeCell ref="Y27:Y28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B41:AB42"/>
    <mergeCell ref="C42:E42"/>
    <mergeCell ref="F42:H42"/>
    <mergeCell ref="AC42:AF42"/>
    <mergeCell ref="A39:A40"/>
    <mergeCell ref="A33:A34"/>
    <mergeCell ref="C33:E33"/>
    <mergeCell ref="F33:H33"/>
    <mergeCell ref="I33:I34"/>
    <mergeCell ref="Q33:Q34"/>
    <mergeCell ref="Y33:Y34"/>
    <mergeCell ref="AB33:AB34"/>
    <mergeCell ref="C34:E34"/>
    <mergeCell ref="F34:H34"/>
    <mergeCell ref="A41:A42"/>
    <mergeCell ref="C41:E41"/>
    <mergeCell ref="F41:H41"/>
    <mergeCell ref="I41:I42"/>
    <mergeCell ref="Q41:Q42"/>
    <mergeCell ref="A37:A38"/>
    <mergeCell ref="C37:E37"/>
    <mergeCell ref="F37:H37"/>
    <mergeCell ref="I37:I38"/>
    <mergeCell ref="Q37:Q38"/>
    <mergeCell ref="AB43:AB44"/>
    <mergeCell ref="C44:E44"/>
    <mergeCell ref="F44:H44"/>
    <mergeCell ref="A45:A46"/>
    <mergeCell ref="C45:E45"/>
    <mergeCell ref="F45:H45"/>
    <mergeCell ref="Q45:Q46"/>
    <mergeCell ref="Y45:Y46"/>
    <mergeCell ref="AB45:AB46"/>
    <mergeCell ref="A43:A44"/>
    <mergeCell ref="C43:E43"/>
    <mergeCell ref="F43:H43"/>
    <mergeCell ref="I43:I44"/>
    <mergeCell ref="Q43:Q44"/>
    <mergeCell ref="AB47:AB48"/>
    <mergeCell ref="C48:E48"/>
    <mergeCell ref="F48:H48"/>
    <mergeCell ref="A49:A50"/>
    <mergeCell ref="C49:E49"/>
    <mergeCell ref="F49:H49"/>
    <mergeCell ref="Q49:Q50"/>
    <mergeCell ref="Y49:Y50"/>
    <mergeCell ref="AB49:AB50"/>
    <mergeCell ref="A47:A48"/>
    <mergeCell ref="C47:E47"/>
    <mergeCell ref="F47:H47"/>
    <mergeCell ref="Q47:Q48"/>
    <mergeCell ref="I49:I50"/>
    <mergeCell ref="AB51:AB52"/>
    <mergeCell ref="C52:E52"/>
    <mergeCell ref="F52:H52"/>
    <mergeCell ref="A55:A56"/>
    <mergeCell ref="C55:E55"/>
    <mergeCell ref="F55:H55"/>
    <mergeCell ref="I55:I56"/>
    <mergeCell ref="Q55:Q56"/>
    <mergeCell ref="Y55:Y56"/>
    <mergeCell ref="A51:A52"/>
    <mergeCell ref="C51:E51"/>
    <mergeCell ref="F51:H51"/>
    <mergeCell ref="Q51:Q52"/>
    <mergeCell ref="AB55:AB56"/>
    <mergeCell ref="C56:E56"/>
    <mergeCell ref="F56:H56"/>
    <mergeCell ref="Y53:Y54"/>
    <mergeCell ref="C54:E54"/>
    <mergeCell ref="F54:H54"/>
    <mergeCell ref="I51:I52"/>
    <mergeCell ref="A53:A54"/>
    <mergeCell ref="C53:E53"/>
    <mergeCell ref="F53:H53"/>
    <mergeCell ref="I53:I54"/>
    <mergeCell ref="A57:A58"/>
    <mergeCell ref="C57:E57"/>
    <mergeCell ref="F57:H57"/>
    <mergeCell ref="I57:I58"/>
    <mergeCell ref="Q57:Q58"/>
    <mergeCell ref="Y57:Y58"/>
    <mergeCell ref="AB57:AB58"/>
    <mergeCell ref="Y59:Y60"/>
    <mergeCell ref="AB59:AB60"/>
    <mergeCell ref="C60:E60"/>
    <mergeCell ref="F60:H60"/>
    <mergeCell ref="C58:E58"/>
    <mergeCell ref="F58:H58"/>
    <mergeCell ref="A59:A60"/>
    <mergeCell ref="C59:E59"/>
    <mergeCell ref="F59:H59"/>
    <mergeCell ref="Q59:Q60"/>
    <mergeCell ref="AA61:AA65"/>
    <mergeCell ref="AB61:AB65"/>
    <mergeCell ref="F62:H62"/>
    <mergeCell ref="F63:H63"/>
    <mergeCell ref="F64:H64"/>
    <mergeCell ref="F65:H65"/>
    <mergeCell ref="A61:A65"/>
    <mergeCell ref="C61:E65"/>
    <mergeCell ref="F61:H61"/>
    <mergeCell ref="Q61:Q65"/>
    <mergeCell ref="Y61:Y65"/>
    <mergeCell ref="A66:A75"/>
    <mergeCell ref="C66:E70"/>
    <mergeCell ref="F66:H66"/>
    <mergeCell ref="Q66:Q75"/>
    <mergeCell ref="Y66:Y75"/>
    <mergeCell ref="Z66:Z75"/>
    <mergeCell ref="C71:E75"/>
    <mergeCell ref="F75:H75"/>
    <mergeCell ref="Z61:Z65"/>
    <mergeCell ref="AA66:AA75"/>
    <mergeCell ref="AB66:AB75"/>
    <mergeCell ref="F67:H67"/>
    <mergeCell ref="F68:H68"/>
    <mergeCell ref="F69:H69"/>
    <mergeCell ref="F70:H70"/>
    <mergeCell ref="F71:H71"/>
    <mergeCell ref="F72:H72"/>
    <mergeCell ref="F73:H73"/>
    <mergeCell ref="F74:H74"/>
    <mergeCell ref="A86:A89"/>
    <mergeCell ref="C86:E89"/>
    <mergeCell ref="F86:H86"/>
    <mergeCell ref="Q86:Q89"/>
    <mergeCell ref="Y86:Y89"/>
    <mergeCell ref="Z86:Z89"/>
    <mergeCell ref="AA76:AA85"/>
    <mergeCell ref="AB76:AB85"/>
    <mergeCell ref="F77:H77"/>
    <mergeCell ref="F78:H78"/>
    <mergeCell ref="F79:H79"/>
    <mergeCell ref="F80:H80"/>
    <mergeCell ref="F81:H81"/>
    <mergeCell ref="F82:H82"/>
    <mergeCell ref="F83:H83"/>
    <mergeCell ref="F84:H84"/>
    <mergeCell ref="A76:A85"/>
    <mergeCell ref="C76:E80"/>
    <mergeCell ref="F76:H76"/>
    <mergeCell ref="Q76:Q85"/>
    <mergeCell ref="Y76:Y85"/>
    <mergeCell ref="Z76:Z85"/>
    <mergeCell ref="C81:E85"/>
    <mergeCell ref="F85:H85"/>
    <mergeCell ref="F91:H91"/>
    <mergeCell ref="C92:E92"/>
    <mergeCell ref="F92:H92"/>
    <mergeCell ref="B93:C93"/>
    <mergeCell ref="B94:C94"/>
    <mergeCell ref="F94:H94"/>
    <mergeCell ref="AA86:AA89"/>
    <mergeCell ref="AB86:AB89"/>
    <mergeCell ref="F87:H87"/>
    <mergeCell ref="F88:H88"/>
    <mergeCell ref="F89:H89"/>
    <mergeCell ref="C90:E90"/>
    <mergeCell ref="F90:H90"/>
    <mergeCell ref="Q90:Q92"/>
    <mergeCell ref="AB90:AB92"/>
    <mergeCell ref="C91:E91"/>
    <mergeCell ref="AB35:AB36"/>
    <mergeCell ref="C36:E36"/>
    <mergeCell ref="F36:H36"/>
    <mergeCell ref="Q39:Q40"/>
    <mergeCell ref="I39:I40"/>
    <mergeCell ref="F39:H39"/>
    <mergeCell ref="C39:E39"/>
    <mergeCell ref="A35:A36"/>
    <mergeCell ref="C35:E35"/>
    <mergeCell ref="F35:H35"/>
    <mergeCell ref="I35:I36"/>
    <mergeCell ref="Q35:Q36"/>
    <mergeCell ref="Y35:Y36"/>
    <mergeCell ref="Y39:Y40"/>
    <mergeCell ref="AB39:AB40"/>
    <mergeCell ref="C40:E40"/>
    <mergeCell ref="F40:H40"/>
    <mergeCell ref="Y37:Y38"/>
    <mergeCell ref="AB37:AB38"/>
    <mergeCell ref="C38:E38"/>
    <mergeCell ref="F38:H38"/>
    <mergeCell ref="Q53:Q54"/>
    <mergeCell ref="Y51:Y52"/>
    <mergeCell ref="C50:E50"/>
    <mergeCell ref="F50:H50"/>
    <mergeCell ref="Y47:Y48"/>
    <mergeCell ref="C46:E46"/>
    <mergeCell ref="F46:H46"/>
    <mergeCell ref="Y43:Y44"/>
    <mergeCell ref="Y41:Y4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3" orientation="portrait" r:id="rId1"/>
  <headerFooter alignWithMargins="0"/>
  <rowBreaks count="1" manualBreakCount="1">
    <brk id="63" max="27" man="1"/>
  </rowBreaks>
  <colBreaks count="1" manualBreakCount="1">
    <brk id="2" max="87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98F7-A6C7-4721-BAD7-AAFF3E46AAF5}">
  <sheetPr>
    <pageSetUpPr fitToPage="1"/>
  </sheetPr>
  <dimension ref="A1:AF118"/>
  <sheetViews>
    <sheetView view="pageBreakPreview" topLeftCell="A44" zoomScale="75" zoomScaleNormal="100" zoomScaleSheetLayoutView="75" workbookViewId="0">
      <selection activeCell="P7" sqref="P7:V8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234</v>
      </c>
      <c r="C2" s="548"/>
      <c r="D2" s="548"/>
      <c r="E2" s="548"/>
      <c r="F2" s="548"/>
      <c r="G2" s="549"/>
      <c r="H2" s="180" t="s">
        <v>1</v>
      </c>
      <c r="I2" s="550">
        <f>I11</f>
        <v>1346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223</v>
      </c>
      <c r="B5" s="480"/>
      <c r="C5" s="182">
        <v>240</v>
      </c>
      <c r="D5" s="182">
        <v>250</v>
      </c>
      <c r="E5" s="182">
        <f>48+27</f>
        <v>75</v>
      </c>
      <c r="F5" s="182"/>
      <c r="G5" s="182"/>
      <c r="H5" s="542" t="s">
        <v>24</v>
      </c>
      <c r="I5" s="524">
        <f t="shared" ref="I5:I11" si="0">SUM(C5:G5)</f>
        <v>565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98</v>
      </c>
      <c r="B6" s="523"/>
      <c r="C6" s="182">
        <v>320</v>
      </c>
      <c r="D6" s="182">
        <v>350</v>
      </c>
      <c r="E6" s="182">
        <f>40+71</f>
        <v>111</v>
      </c>
      <c r="F6" s="182"/>
      <c r="G6" s="182"/>
      <c r="H6" s="537"/>
      <c r="I6" s="524">
        <f t="shared" si="0"/>
        <v>781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 t="s">
        <v>247</v>
      </c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46030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560</v>
      </c>
      <c r="D11" s="181">
        <f>SUM(D5:D10)</f>
        <v>600</v>
      </c>
      <c r="E11" s="181">
        <f>SUM(E5:E10)</f>
        <v>186</v>
      </c>
      <c r="F11" s="181">
        <f>SUM(F5:F10)</f>
        <v>0</v>
      </c>
      <c r="G11" s="181">
        <f>SUM(G5:G10)</f>
        <v>0</v>
      </c>
      <c r="H11" s="182"/>
      <c r="I11" s="481">
        <f t="shared" si="0"/>
        <v>1346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46141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571.20000000000005</v>
      </c>
      <c r="D12" s="43">
        <f>D11*1.02</f>
        <v>612</v>
      </c>
      <c r="E12" s="43">
        <f>E11*1.02</f>
        <v>189.72</v>
      </c>
      <c r="F12" s="43">
        <f>F11*1.02</f>
        <v>0</v>
      </c>
      <c r="G12" s="43">
        <f>G11*1.02</f>
        <v>0</v>
      </c>
      <c r="H12" s="44"/>
      <c r="I12" s="486">
        <f>I11*1.02</f>
        <v>1372.92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565</v>
      </c>
      <c r="C15" s="474" t="str">
        <f t="shared" ref="C15:C29" si="2">$A$5</f>
        <v>KH</v>
      </c>
      <c r="D15" s="475"/>
      <c r="E15" s="476"/>
      <c r="F15" s="474"/>
      <c r="G15" s="475"/>
      <c r="H15" s="476"/>
      <c r="I15" s="297" t="s">
        <v>92</v>
      </c>
      <c r="J15" s="65" t="s">
        <v>6</v>
      </c>
      <c r="K15" s="66">
        <v>1.51</v>
      </c>
      <c r="L15" s="67" t="s">
        <v>7</v>
      </c>
      <c r="M15" s="68">
        <f>K15*B15</f>
        <v>853.15</v>
      </c>
      <c r="N15" s="69"/>
      <c r="O15" s="70"/>
      <c r="P15" s="67" t="s">
        <v>7</v>
      </c>
      <c r="Q15" s="478">
        <v>46045</v>
      </c>
      <c r="R15" s="122">
        <v>854.75</v>
      </c>
      <c r="S15" s="71" t="s">
        <v>7</v>
      </c>
      <c r="T15" s="123">
        <f t="shared" ref="T15:T106" si="3">R15-M15</f>
        <v>1.6000000000000227</v>
      </c>
      <c r="U15" s="72"/>
      <c r="V15" s="72"/>
      <c r="W15" s="73"/>
      <c r="X15" s="74"/>
      <c r="Y15" s="479" t="s">
        <v>126</v>
      </c>
      <c r="Z15" s="63"/>
      <c r="AA15" s="64"/>
      <c r="AB15" s="360" t="s">
        <v>238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781</v>
      </c>
      <c r="C16" s="368" t="str">
        <f>$A$6</f>
        <v>BK</v>
      </c>
      <c r="D16" s="369"/>
      <c r="E16" s="370"/>
      <c r="F16" s="368"/>
      <c r="G16" s="369"/>
      <c r="H16" s="370"/>
      <c r="I16" s="75" t="s">
        <v>229</v>
      </c>
      <c r="J16" s="76" t="s">
        <v>6</v>
      </c>
      <c r="K16" s="83">
        <v>1.51</v>
      </c>
      <c r="L16" s="77" t="s">
        <v>7</v>
      </c>
      <c r="M16" s="78">
        <f t="shared" ref="M16:M85" si="4">K16*B16</f>
        <v>1179.31</v>
      </c>
      <c r="N16" s="79"/>
      <c r="O16" s="128"/>
      <c r="P16" s="77" t="s">
        <v>7</v>
      </c>
      <c r="Q16" s="447"/>
      <c r="R16" s="130">
        <v>1181.25</v>
      </c>
      <c r="S16" s="75" t="s">
        <v>7</v>
      </c>
      <c r="T16" s="81">
        <f t="shared" si="3"/>
        <v>1.9400000000000546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296" t="s">
        <v>58</v>
      </c>
      <c r="J17" s="76" t="s">
        <v>6</v>
      </c>
      <c r="K17" s="83"/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565</v>
      </c>
      <c r="C18" s="461" t="str">
        <f t="shared" si="2"/>
        <v>KH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781</v>
      </c>
      <c r="C19" s="461" t="str">
        <f>$A$6</f>
        <v>BK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565</v>
      </c>
      <c r="C20" s="465" t="str">
        <f t="shared" ref="C20" si="6">$A$5</f>
        <v>KH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/>
      <c r="L20" s="194" t="s">
        <v>7</v>
      </c>
      <c r="M20" s="195">
        <f t="shared" si="4"/>
        <v>0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0</v>
      </c>
      <c r="U20" s="199"/>
      <c r="V20" s="200"/>
      <c r="W20" s="195"/>
      <c r="X20" s="195"/>
      <c r="Y20" s="437" t="s">
        <v>93</v>
      </c>
      <c r="Z20" s="235"/>
      <c r="AA20" s="202"/>
      <c r="AB20" s="439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781</v>
      </c>
      <c r="C21" s="465" t="str">
        <f>$A$6</f>
        <v>BK</v>
      </c>
      <c r="D21" s="465"/>
      <c r="E21" s="465"/>
      <c r="F21" s="465"/>
      <c r="G21" s="465"/>
      <c r="H21" s="465"/>
      <c r="I21" s="560"/>
      <c r="J21" s="192" t="s">
        <v>6</v>
      </c>
      <c r="K21" s="209"/>
      <c r="L21" s="194" t="s">
        <v>7</v>
      </c>
      <c r="M21" s="195">
        <f t="shared" si="4"/>
        <v>0</v>
      </c>
      <c r="N21" s="196"/>
      <c r="O21" s="210"/>
      <c r="P21" s="194" t="s">
        <v>7</v>
      </c>
      <c r="Q21" s="561"/>
      <c r="R21" s="236"/>
      <c r="S21" s="207" t="s">
        <v>7</v>
      </c>
      <c r="T21" s="198">
        <f t="shared" si="3"/>
        <v>0</v>
      </c>
      <c r="U21" s="211"/>
      <c r="V21" s="211"/>
      <c r="W21" s="212"/>
      <c r="X21" s="213"/>
      <c r="Y21" s="562"/>
      <c r="Z21" s="214"/>
      <c r="AA21" s="202"/>
      <c r="AB21" s="55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0</v>
      </c>
      <c r="C22" s="465">
        <f>$A$7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440"/>
      <c r="AC22" s="229"/>
      <c r="AD22" s="230"/>
      <c r="AE22" s="230"/>
      <c r="AF22" s="230"/>
    </row>
    <row r="23" spans="1:32" s="55" customFormat="1" ht="69.95" customHeight="1" x14ac:dyDescent="0.15">
      <c r="A23" s="431" t="s">
        <v>85</v>
      </c>
      <c r="B23" s="182">
        <f t="shared" si="1"/>
        <v>565</v>
      </c>
      <c r="C23" s="461" t="str">
        <f t="shared" si="2"/>
        <v>KH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146.9</v>
      </c>
      <c r="N23" s="79"/>
      <c r="O23" s="78"/>
      <c r="P23" s="80" t="s">
        <v>7</v>
      </c>
      <c r="Q23" s="443">
        <v>46045</v>
      </c>
      <c r="R23" s="78">
        <v>147</v>
      </c>
      <c r="S23" s="80" t="s">
        <v>7</v>
      </c>
      <c r="T23" s="81">
        <f t="shared" si="3"/>
        <v>9.9999999999994316E-2</v>
      </c>
      <c r="U23" s="82"/>
      <c r="V23" s="137"/>
      <c r="W23" s="78"/>
      <c r="X23" s="78"/>
      <c r="Y23" s="445" t="s">
        <v>93</v>
      </c>
      <c r="Z23" s="138"/>
      <c r="AA23" s="135"/>
      <c r="AB23" s="360" t="s">
        <v>238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781</v>
      </c>
      <c r="C24" s="461" t="str">
        <f>$A$6</f>
        <v>BK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203.06</v>
      </c>
      <c r="N24" s="79"/>
      <c r="O24" s="128"/>
      <c r="P24" s="77" t="s">
        <v>7</v>
      </c>
      <c r="Q24" s="447"/>
      <c r="R24" s="137">
        <v>204</v>
      </c>
      <c r="S24" s="75" t="s">
        <v>7</v>
      </c>
      <c r="T24" s="81">
        <f t="shared" si="3"/>
        <v>0.93999999999999773</v>
      </c>
      <c r="U24" s="131"/>
      <c r="V24" s="131"/>
      <c r="W24" s="132"/>
      <c r="X24" s="133"/>
      <c r="Y24" s="557"/>
      <c r="Z24" s="228"/>
      <c r="AA24" s="228"/>
      <c r="AB24" s="361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/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362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565</v>
      </c>
      <c r="C26" s="465" t="str">
        <f t="shared" si="2"/>
        <v>KH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781</v>
      </c>
      <c r="C27" s="465" t="str">
        <f>$A$6</f>
        <v>BK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0</v>
      </c>
      <c r="C28" s="465">
        <f>$A$7</f>
        <v>0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107</v>
      </c>
      <c r="B29" s="239">
        <f t="shared" si="1"/>
        <v>565</v>
      </c>
      <c r="C29" s="456" t="str">
        <f t="shared" si="2"/>
        <v>KH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0.1</v>
      </c>
      <c r="L29" s="168" t="s">
        <v>7</v>
      </c>
      <c r="M29" s="242">
        <f t="shared" si="4"/>
        <v>56.5</v>
      </c>
      <c r="N29" s="243"/>
      <c r="O29" s="242"/>
      <c r="P29" s="244" t="s">
        <v>7</v>
      </c>
      <c r="Q29" s="376">
        <v>46045</v>
      </c>
      <c r="R29" s="242">
        <v>57</v>
      </c>
      <c r="S29" s="244" t="s">
        <v>7</v>
      </c>
      <c r="T29" s="245">
        <f t="shared" si="3"/>
        <v>0.5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237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781</v>
      </c>
      <c r="C30" s="456" t="str">
        <f>$A$6</f>
        <v>BK</v>
      </c>
      <c r="D30" s="456"/>
      <c r="E30" s="456"/>
      <c r="F30" s="456"/>
      <c r="G30" s="456"/>
      <c r="H30" s="456"/>
      <c r="I30" s="564"/>
      <c r="J30" s="240" t="s">
        <v>6</v>
      </c>
      <c r="K30" s="241">
        <v>0.1</v>
      </c>
      <c r="L30" s="168" t="s">
        <v>7</v>
      </c>
      <c r="M30" s="242">
        <f t="shared" si="4"/>
        <v>78.100000000000009</v>
      </c>
      <c r="N30" s="243"/>
      <c r="O30" s="253"/>
      <c r="P30" s="168" t="s">
        <v>7</v>
      </c>
      <c r="Q30" s="377"/>
      <c r="R30" s="247">
        <v>78</v>
      </c>
      <c r="S30" s="255" t="s">
        <v>7</v>
      </c>
      <c r="T30" s="245">
        <f t="shared" si="3"/>
        <v>-0.10000000000000853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/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8"/>
      <c r="R31" s="254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108</v>
      </c>
      <c r="B32" s="239">
        <f>$I$5</f>
        <v>565</v>
      </c>
      <c r="C32" s="456" t="str">
        <f>$A$5</f>
        <v>KH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0.1</v>
      </c>
      <c r="L32" s="168" t="s">
        <v>7</v>
      </c>
      <c r="M32" s="242">
        <f>K32*B32</f>
        <v>56.5</v>
      </c>
      <c r="N32" s="243"/>
      <c r="O32" s="242"/>
      <c r="P32" s="244" t="s">
        <v>7</v>
      </c>
      <c r="Q32" s="376">
        <v>46045</v>
      </c>
      <c r="R32" s="242">
        <v>57</v>
      </c>
      <c r="S32" s="244" t="s">
        <v>7</v>
      </c>
      <c r="T32" s="245">
        <f t="shared" si="3"/>
        <v>0.5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781</v>
      </c>
      <c r="C33" s="456" t="str">
        <f>$A$6</f>
        <v>BK</v>
      </c>
      <c r="D33" s="456"/>
      <c r="E33" s="456"/>
      <c r="F33" s="456"/>
      <c r="G33" s="456"/>
      <c r="H33" s="456"/>
      <c r="I33" s="564"/>
      <c r="J33" s="240" t="s">
        <v>6</v>
      </c>
      <c r="K33" s="241">
        <v>0.1</v>
      </c>
      <c r="L33" s="168" t="s">
        <v>7</v>
      </c>
      <c r="M33" s="242">
        <f>K33*B33</f>
        <v>78.100000000000009</v>
      </c>
      <c r="N33" s="243"/>
      <c r="O33" s="253"/>
      <c r="P33" s="168" t="s">
        <v>7</v>
      </c>
      <c r="Q33" s="377"/>
      <c r="R33" s="247">
        <v>78</v>
      </c>
      <c r="S33" s="255" t="s">
        <v>7</v>
      </c>
      <c r="T33" s="245">
        <f t="shared" si="3"/>
        <v>-0.10000000000000853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/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7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565</v>
      </c>
      <c r="C35" s="465" t="str">
        <f>$A$5</f>
        <v>KH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781</v>
      </c>
      <c r="C36" s="465" t="str">
        <f>$A$6</f>
        <v>BK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86</v>
      </c>
      <c r="B38" s="239">
        <f>$I$5</f>
        <v>565</v>
      </c>
      <c r="C38" s="456" t="str">
        <f>$A$5</f>
        <v>KH</v>
      </c>
      <c r="D38" s="456"/>
      <c r="E38" s="456"/>
      <c r="F38" s="456"/>
      <c r="G38" s="456"/>
      <c r="H38" s="456"/>
      <c r="I38" s="457" t="s">
        <v>76</v>
      </c>
      <c r="J38" s="240"/>
      <c r="K38" s="308">
        <v>2.4</v>
      </c>
      <c r="L38" s="168" t="s">
        <v>7</v>
      </c>
      <c r="M38" s="242">
        <f t="shared" ref="M38:M43" si="7">K38*B38/50</f>
        <v>27.12</v>
      </c>
      <c r="N38" s="243"/>
      <c r="O38" s="242"/>
      <c r="P38" s="244" t="s">
        <v>7</v>
      </c>
      <c r="Q38" s="376">
        <v>46045</v>
      </c>
      <c r="R38" s="78">
        <v>28</v>
      </c>
      <c r="S38" s="244" t="s">
        <v>9</v>
      </c>
      <c r="T38" s="245">
        <f t="shared" si="3"/>
        <v>0.87999999999999901</v>
      </c>
      <c r="U38" s="246"/>
      <c r="V38" s="247"/>
      <c r="W38" s="242"/>
      <c r="X38" s="242"/>
      <c r="Y38" s="459" t="s">
        <v>94</v>
      </c>
      <c r="Z38" s="260"/>
      <c r="AA38" s="249"/>
      <c r="AB38" s="448" t="s">
        <v>238</v>
      </c>
    </row>
    <row r="39" spans="1:32" s="261" customFormat="1" ht="69.95" customHeight="1" x14ac:dyDescent="0.15">
      <c r="A39" s="464"/>
      <c r="B39" s="239">
        <f>$I$6</f>
        <v>781</v>
      </c>
      <c r="C39" s="456" t="str">
        <f>$A$6</f>
        <v>BK</v>
      </c>
      <c r="D39" s="456"/>
      <c r="E39" s="456"/>
      <c r="F39" s="456"/>
      <c r="G39" s="456"/>
      <c r="H39" s="456"/>
      <c r="I39" s="564"/>
      <c r="J39" s="240"/>
      <c r="K39" s="308">
        <v>2.4</v>
      </c>
      <c r="L39" s="168" t="s">
        <v>7</v>
      </c>
      <c r="M39" s="242">
        <f t="shared" si="7"/>
        <v>37.488</v>
      </c>
      <c r="N39" s="243"/>
      <c r="O39" s="253"/>
      <c r="P39" s="168" t="s">
        <v>7</v>
      </c>
      <c r="Q39" s="377"/>
      <c r="R39" s="137">
        <v>38</v>
      </c>
      <c r="S39" s="255" t="s">
        <v>9</v>
      </c>
      <c r="T39" s="245">
        <f t="shared" si="3"/>
        <v>0.51200000000000045</v>
      </c>
      <c r="U39" s="256"/>
      <c r="V39" s="256"/>
      <c r="W39" s="257"/>
      <c r="X39" s="258"/>
      <c r="Y39" s="565"/>
      <c r="Z39" s="259"/>
      <c r="AA39" s="249"/>
      <c r="AB39" s="449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262"/>
      <c r="L40" s="168" t="s">
        <v>7</v>
      </c>
      <c r="M40" s="242">
        <f t="shared" si="7"/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450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565</v>
      </c>
      <c r="C41" s="465" t="str">
        <f>$A$5</f>
        <v>KH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781</v>
      </c>
      <c r="C42" s="465" t="str">
        <f>$A$6</f>
        <v>BK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565</v>
      </c>
      <c r="C44" s="456" t="str">
        <f>$A$5</f>
        <v>KH</v>
      </c>
      <c r="D44" s="456"/>
      <c r="E44" s="456"/>
      <c r="F44" s="456" t="str">
        <f>$A$5</f>
        <v>KH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29.38</v>
      </c>
      <c r="N44" s="243"/>
      <c r="O44" s="242"/>
      <c r="P44" s="244" t="s">
        <v>10</v>
      </c>
      <c r="Q44" s="443">
        <v>46045</v>
      </c>
      <c r="R44" s="242">
        <v>30</v>
      </c>
      <c r="S44" s="244" t="s">
        <v>10</v>
      </c>
      <c r="T44" s="245">
        <f t="shared" si="3"/>
        <v>0.62000000000000099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238</v>
      </c>
    </row>
    <row r="45" spans="1:32" s="176" customFormat="1" ht="69.95" customHeight="1" x14ac:dyDescent="0.15">
      <c r="A45" s="559"/>
      <c r="B45" s="264">
        <f>$I$6</f>
        <v>781</v>
      </c>
      <c r="C45" s="413" t="str">
        <f>$A$6</f>
        <v>BK</v>
      </c>
      <c r="D45" s="414"/>
      <c r="E45" s="415"/>
      <c r="F45" s="413" t="str">
        <f>$A$6</f>
        <v>BK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40.612000000000002</v>
      </c>
      <c r="N45" s="267"/>
      <c r="O45" s="268"/>
      <c r="P45" s="266" t="s">
        <v>10</v>
      </c>
      <c r="Q45" s="447"/>
      <c r="R45" s="269">
        <v>41</v>
      </c>
      <c r="S45" s="252" t="s">
        <v>10</v>
      </c>
      <c r="T45" s="270">
        <f t="shared" si="3"/>
        <v>0.38799999999999812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/>
      <c r="L46" s="266" t="s">
        <v>61</v>
      </c>
      <c r="M46" s="242">
        <f t="shared" si="8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565</v>
      </c>
      <c r="C47" s="456" t="str">
        <f>$A$5</f>
        <v>KH</v>
      </c>
      <c r="D47" s="456"/>
      <c r="E47" s="456"/>
      <c r="F47" s="456" t="str">
        <f>$A$5</f>
        <v>KH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31.074999999999999</v>
      </c>
      <c r="N47" s="243"/>
      <c r="O47" s="242"/>
      <c r="P47" s="244" t="s">
        <v>10</v>
      </c>
      <c r="Q47" s="447"/>
      <c r="R47" s="242">
        <v>32</v>
      </c>
      <c r="S47" s="244" t="s">
        <v>10</v>
      </c>
      <c r="T47" s="245">
        <f t="shared" si="3"/>
        <v>0.92500000000000071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781</v>
      </c>
      <c r="C48" s="413" t="str">
        <f>$A$6</f>
        <v>BK</v>
      </c>
      <c r="D48" s="414"/>
      <c r="E48" s="415"/>
      <c r="F48" s="413" t="str">
        <f>$A$6</f>
        <v>BK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42.954999999999998</v>
      </c>
      <c r="N48" s="267"/>
      <c r="O48" s="268"/>
      <c r="P48" s="266" t="s">
        <v>10</v>
      </c>
      <c r="Q48" s="447"/>
      <c r="R48" s="269">
        <v>43</v>
      </c>
      <c r="S48" s="252" t="s">
        <v>10</v>
      </c>
      <c r="T48" s="270">
        <f t="shared" si="3"/>
        <v>4.5000000000001705E-2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>
        <f>$A$7</f>
        <v>0</v>
      </c>
      <c r="G49" s="414"/>
      <c r="H49" s="415"/>
      <c r="I49" s="458"/>
      <c r="J49" s="265"/>
      <c r="K49" s="263"/>
      <c r="L49" s="266" t="s">
        <v>61</v>
      </c>
      <c r="M49" s="242">
        <f t="shared" si="9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208</v>
      </c>
      <c r="B50" s="182">
        <f>$I$5</f>
        <v>565</v>
      </c>
      <c r="C50" s="461" t="str">
        <f>$A$5</f>
        <v>KH</v>
      </c>
      <c r="D50" s="461"/>
      <c r="E50" s="461"/>
      <c r="F50" s="461" t="str">
        <f>$A$5</f>
        <v>KH</v>
      </c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9"/>
        <v>1.4125000000000001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si="3"/>
        <v>0.58749999999999991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781</v>
      </c>
      <c r="C51" s="395" t="str">
        <f>$A$6</f>
        <v>BK</v>
      </c>
      <c r="D51" s="396"/>
      <c r="E51" s="397"/>
      <c r="F51" s="395" t="str">
        <f>$A$6</f>
        <v>BK</v>
      </c>
      <c r="G51" s="396"/>
      <c r="H51" s="397"/>
      <c r="I51" s="563"/>
      <c r="J51" s="144"/>
      <c r="K51" s="139">
        <v>10</v>
      </c>
      <c r="L51" s="145" t="s">
        <v>61</v>
      </c>
      <c r="M51" s="78">
        <f t="shared" si="9"/>
        <v>1.9524999999999999</v>
      </c>
      <c r="N51" s="146"/>
      <c r="O51" s="147"/>
      <c r="P51" s="145" t="s">
        <v>10</v>
      </c>
      <c r="Q51" s="447"/>
      <c r="R51" s="161">
        <v>2</v>
      </c>
      <c r="S51" s="148" t="s">
        <v>10</v>
      </c>
      <c r="T51" s="84">
        <f t="shared" si="3"/>
        <v>4.7500000000000098E-2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 t="str">
        <f>$A$6</f>
        <v>BK</v>
      </c>
      <c r="G52" s="396"/>
      <c r="H52" s="397"/>
      <c r="I52" s="442"/>
      <c r="J52" s="144"/>
      <c r="K52" s="139"/>
      <c r="L52" s="145" t="s">
        <v>61</v>
      </c>
      <c r="M52" s="78">
        <f t="shared" si="9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139</v>
      </c>
      <c r="B53" s="191">
        <f t="shared" ref="B53" si="10">$I$5</f>
        <v>565</v>
      </c>
      <c r="C53" s="422" t="str">
        <f t="shared" ref="C53" si="11">$A$5</f>
        <v>KH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ref="M53:M73" si="12">K53*B53</f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140</v>
      </c>
      <c r="Z53" s="231"/>
      <c r="AA53" s="232"/>
      <c r="AB53" s="439"/>
    </row>
    <row r="54" spans="1:32" s="206" customFormat="1" ht="69.95" customHeight="1" x14ac:dyDescent="0.15">
      <c r="A54" s="559"/>
      <c r="B54" s="204">
        <f>$I$6</f>
        <v>781</v>
      </c>
      <c r="C54" s="453" t="str">
        <f>$A$6</f>
        <v>BK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2"/>
        <v>0</v>
      </c>
      <c r="N54" s="233"/>
      <c r="O54" s="195"/>
      <c r="P54" s="194" t="s">
        <v>65</v>
      </c>
      <c r="Q54" s="561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562"/>
      <c r="Z54" s="201"/>
      <c r="AA54" s="202"/>
      <c r="AB54" s="558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91">
        <f>$I$7</f>
        <v>0</v>
      </c>
      <c r="C55" s="465">
        <f>$A$7</f>
        <v>0</v>
      </c>
      <c r="D55" s="465"/>
      <c r="E55" s="465"/>
      <c r="F55" s="425"/>
      <c r="G55" s="423"/>
      <c r="H55" s="424"/>
      <c r="I55" s="207"/>
      <c r="J55" s="192"/>
      <c r="K55" s="193"/>
      <c r="L55" s="194" t="s">
        <v>65</v>
      </c>
      <c r="M55" s="195">
        <f t="shared" si="12"/>
        <v>0</v>
      </c>
      <c r="N55" s="233"/>
      <c r="O55" s="195"/>
      <c r="P55" s="194" t="s">
        <v>65</v>
      </c>
      <c r="Q55" s="436"/>
      <c r="R55" s="195"/>
      <c r="S55" s="194" t="s">
        <v>65</v>
      </c>
      <c r="T55" s="198">
        <f t="shared" si="3"/>
        <v>0</v>
      </c>
      <c r="U55" s="199"/>
      <c r="V55" s="200"/>
      <c r="W55" s="195"/>
      <c r="X55" s="195"/>
      <c r="Y55" s="438"/>
      <c r="Z55" s="201"/>
      <c r="AA55" s="202"/>
      <c r="AB55" s="440"/>
      <c r="AC55" s="234"/>
      <c r="AD55" s="230"/>
      <c r="AE55" s="230"/>
      <c r="AF55" s="230"/>
    </row>
    <row r="56" spans="1:32" s="55" customFormat="1" ht="69.95" customHeight="1" x14ac:dyDescent="0.15">
      <c r="A56" s="431" t="s">
        <v>100</v>
      </c>
      <c r="B56" s="182">
        <f t="shared" ref="B56:B62" si="13">$I$5</f>
        <v>565</v>
      </c>
      <c r="C56" s="368" t="str">
        <f t="shared" ref="C56:C62" si="14">$A$5</f>
        <v>KH</v>
      </c>
      <c r="D56" s="369"/>
      <c r="E56" s="370"/>
      <c r="F56" s="428"/>
      <c r="G56" s="369"/>
      <c r="H56" s="370"/>
      <c r="I56" s="441" t="s">
        <v>230</v>
      </c>
      <c r="J56" s="76"/>
      <c r="K56" s="139">
        <v>1</v>
      </c>
      <c r="L56" s="77" t="s">
        <v>63</v>
      </c>
      <c r="M56" s="78">
        <f t="shared" si="12"/>
        <v>565</v>
      </c>
      <c r="N56" s="79"/>
      <c r="O56" s="78"/>
      <c r="P56" s="80" t="s">
        <v>63</v>
      </c>
      <c r="Q56" s="443">
        <v>46045</v>
      </c>
      <c r="R56" s="78">
        <v>565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240</v>
      </c>
    </row>
    <row r="57" spans="1:32" s="55" customFormat="1" ht="69.95" customHeight="1" x14ac:dyDescent="0.15">
      <c r="A57" s="559"/>
      <c r="B57" s="186">
        <f>$I$6</f>
        <v>781</v>
      </c>
      <c r="C57" s="395" t="str">
        <f>$A$6</f>
        <v>BK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781</v>
      </c>
      <c r="N57" s="140"/>
      <c r="O57" s="78"/>
      <c r="P57" s="80" t="s">
        <v>63</v>
      </c>
      <c r="Q57" s="447"/>
      <c r="R57" s="78">
        <v>781</v>
      </c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461">
        <f>$A$7</f>
        <v>0</v>
      </c>
      <c r="D58" s="461"/>
      <c r="E58" s="461"/>
      <c r="F58" s="428"/>
      <c r="G58" s="369"/>
      <c r="H58" s="370"/>
      <c r="I58" s="442"/>
      <c r="J58" s="76"/>
      <c r="K58" s="139"/>
      <c r="L58" s="77" t="s">
        <v>63</v>
      </c>
      <c r="M58" s="78">
        <f t="shared" si="12"/>
        <v>0</v>
      </c>
      <c r="N58" s="140"/>
      <c r="O58" s="78"/>
      <c r="P58" s="80" t="s">
        <v>63</v>
      </c>
      <c r="Q58" s="447"/>
      <c r="R58" s="78"/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103</v>
      </c>
      <c r="B59" s="182">
        <f t="shared" ref="B59" si="15">$I$5</f>
        <v>565</v>
      </c>
      <c r="C59" s="368" t="str">
        <f t="shared" ref="C59" si="16">$A$5</f>
        <v>KH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565</v>
      </c>
      <c r="N59" s="79"/>
      <c r="O59" s="78"/>
      <c r="P59" s="80" t="s">
        <v>65</v>
      </c>
      <c r="Q59" s="447"/>
      <c r="R59" s="78">
        <v>565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781</v>
      </c>
      <c r="C60" s="368" t="str">
        <f>$A$6</f>
        <v>BK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781</v>
      </c>
      <c r="N60" s="140"/>
      <c r="O60" s="78"/>
      <c r="P60" s="80" t="s">
        <v>65</v>
      </c>
      <c r="Q60" s="447"/>
      <c r="R60" s="78">
        <v>781</v>
      </c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368">
        <f>$A$7</f>
        <v>0</v>
      </c>
      <c r="D61" s="369"/>
      <c r="E61" s="370"/>
      <c r="F61" s="428"/>
      <c r="G61" s="429"/>
      <c r="H61" s="430"/>
      <c r="I61" s="75"/>
      <c r="J61" s="76"/>
      <c r="K61" s="139"/>
      <c r="L61" s="77" t="s">
        <v>65</v>
      </c>
      <c r="M61" s="78">
        <f t="shared" si="12"/>
        <v>0</v>
      </c>
      <c r="N61" s="140"/>
      <c r="O61" s="78"/>
      <c r="P61" s="80" t="s">
        <v>65</v>
      </c>
      <c r="Q61" s="444"/>
      <c r="R61" s="78"/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90</v>
      </c>
      <c r="B62" s="191">
        <f t="shared" si="13"/>
        <v>565</v>
      </c>
      <c r="C62" s="422" t="str">
        <f t="shared" si="14"/>
        <v>KH</v>
      </c>
      <c r="D62" s="423"/>
      <c r="E62" s="424"/>
      <c r="F62" s="425"/>
      <c r="G62" s="426"/>
      <c r="H62" s="427"/>
      <c r="I62" s="207" t="s">
        <v>79</v>
      </c>
      <c r="J62" s="192"/>
      <c r="K62" s="193"/>
      <c r="L62" s="194" t="s">
        <v>63</v>
      </c>
      <c r="M62" s="195">
        <f t="shared" si="12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</row>
    <row r="63" spans="1:32" s="55" customFormat="1" ht="69.95" customHeight="1" x14ac:dyDescent="0.15">
      <c r="A63" s="559"/>
      <c r="B63" s="204">
        <f>$I$6</f>
        <v>781</v>
      </c>
      <c r="C63" s="422" t="str">
        <f>$A$6</f>
        <v>BK</v>
      </c>
      <c r="D63" s="423"/>
      <c r="E63" s="424"/>
      <c r="F63" s="425"/>
      <c r="G63" s="426"/>
      <c r="H63" s="427"/>
      <c r="I63" s="207" t="s">
        <v>79</v>
      </c>
      <c r="J63" s="192"/>
      <c r="K63" s="193"/>
      <c r="L63" s="194" t="s">
        <v>63</v>
      </c>
      <c r="M63" s="195">
        <f t="shared" si="12"/>
        <v>0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0</v>
      </c>
      <c r="U63" s="199"/>
      <c r="V63" s="200"/>
      <c r="W63" s="195"/>
      <c r="X63" s="195"/>
      <c r="Y63" s="562"/>
      <c r="Z63" s="201"/>
      <c r="AA63" s="202"/>
      <c r="AB63" s="558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91">
        <f>$I$7</f>
        <v>0</v>
      </c>
      <c r="C64" s="465">
        <f>$A$7</f>
        <v>0</v>
      </c>
      <c r="D64" s="465"/>
      <c r="E64" s="465"/>
      <c r="F64" s="425"/>
      <c r="G64" s="426"/>
      <c r="H64" s="427"/>
      <c r="I64" s="207" t="s">
        <v>79</v>
      </c>
      <c r="J64" s="192"/>
      <c r="K64" s="193"/>
      <c r="L64" s="194" t="s">
        <v>63</v>
      </c>
      <c r="M64" s="195">
        <f t="shared" si="12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142"/>
      <c r="AD64" s="179"/>
      <c r="AE64" s="179"/>
      <c r="AF64" s="179"/>
    </row>
    <row r="65" spans="1:32" s="55" customFormat="1" ht="69.95" customHeight="1" x14ac:dyDescent="0.15">
      <c r="A65" s="431" t="s">
        <v>91</v>
      </c>
      <c r="B65" s="182">
        <f t="shared" ref="B65" si="17">$I$5</f>
        <v>565</v>
      </c>
      <c r="C65" s="368" t="str">
        <f t="shared" ref="C65" si="18">$A$5</f>
        <v>KH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565</v>
      </c>
      <c r="N65" s="79"/>
      <c r="O65" s="78"/>
      <c r="P65" s="80" t="s">
        <v>63</v>
      </c>
      <c r="Q65" s="443">
        <v>46045</v>
      </c>
      <c r="R65" s="78">
        <v>565</v>
      </c>
      <c r="S65" s="80" t="s">
        <v>63</v>
      </c>
      <c r="T65" s="84">
        <f t="shared" si="3"/>
        <v>0</v>
      </c>
      <c r="U65" s="82"/>
      <c r="V65" s="82"/>
      <c r="W65" s="83"/>
      <c r="X65" s="81"/>
      <c r="Y65" s="445" t="s">
        <v>64</v>
      </c>
      <c r="Z65" s="86"/>
      <c r="AA65" s="85"/>
      <c r="AB65" s="360" t="s">
        <v>240</v>
      </c>
    </row>
    <row r="66" spans="1:32" s="55" customFormat="1" ht="69.95" customHeight="1" x14ac:dyDescent="0.15">
      <c r="A66" s="559"/>
      <c r="B66" s="186">
        <f>$I$6</f>
        <v>781</v>
      </c>
      <c r="C66" s="368" t="str">
        <f>$A$6</f>
        <v>BK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781</v>
      </c>
      <c r="N66" s="140"/>
      <c r="O66" s="78"/>
      <c r="P66" s="80" t="s">
        <v>63</v>
      </c>
      <c r="Q66" s="447"/>
      <c r="R66" s="78">
        <v>781</v>
      </c>
      <c r="S66" s="80" t="s">
        <v>63</v>
      </c>
      <c r="T66" s="81">
        <f t="shared" si="3"/>
        <v>0</v>
      </c>
      <c r="U66" s="82"/>
      <c r="V66" s="137"/>
      <c r="W66" s="78"/>
      <c r="X66" s="78"/>
      <c r="Y66" s="557"/>
      <c r="Z66" s="141"/>
      <c r="AA66" s="135"/>
      <c r="AB66" s="361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0</v>
      </c>
      <c r="C67" s="456">
        <f>$A$7</f>
        <v>0</v>
      </c>
      <c r="D67" s="456"/>
      <c r="E67" s="456"/>
      <c r="F67" s="428"/>
      <c r="G67" s="429"/>
      <c r="H67" s="430"/>
      <c r="I67" s="442"/>
      <c r="J67" s="76"/>
      <c r="K67" s="139"/>
      <c r="L67" s="77" t="s">
        <v>63</v>
      </c>
      <c r="M67" s="78">
        <f t="shared" si="12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362"/>
      <c r="AC67" s="142"/>
      <c r="AD67" s="179"/>
      <c r="AE67" s="179"/>
      <c r="AF67" s="179"/>
    </row>
    <row r="68" spans="1:32" s="55" customFormat="1" ht="69.95" customHeight="1" x14ac:dyDescent="0.15">
      <c r="A68" s="431" t="s">
        <v>164</v>
      </c>
      <c r="B68" s="182">
        <f t="shared" ref="B68" si="19">$I$5</f>
        <v>565</v>
      </c>
      <c r="C68" s="368" t="str">
        <f t="shared" ref="C68" si="20">$A$5</f>
        <v>KH</v>
      </c>
      <c r="D68" s="369"/>
      <c r="E68" s="370"/>
      <c r="F68" s="428"/>
      <c r="G68" s="429"/>
      <c r="H68" s="430"/>
      <c r="I68" s="441" t="s">
        <v>104</v>
      </c>
      <c r="J68" s="76"/>
      <c r="K68" s="136">
        <v>0.5</v>
      </c>
      <c r="L68" s="77" t="s">
        <v>129</v>
      </c>
      <c r="M68" s="78">
        <f t="shared" si="12"/>
        <v>282.5</v>
      </c>
      <c r="N68" s="79"/>
      <c r="O68" s="78"/>
      <c r="P68" s="80" t="s">
        <v>63</v>
      </c>
      <c r="Q68" s="443">
        <v>46045</v>
      </c>
      <c r="R68" s="78">
        <v>300</v>
      </c>
      <c r="S68" s="77" t="s">
        <v>129</v>
      </c>
      <c r="T68" s="84">
        <f t="shared" si="3"/>
        <v>17.5</v>
      </c>
      <c r="U68" s="82"/>
      <c r="V68" s="82"/>
      <c r="W68" s="83"/>
      <c r="X68" s="81"/>
      <c r="Y68" s="445" t="s">
        <v>130</v>
      </c>
      <c r="Z68" s="86"/>
      <c r="AA68" s="85"/>
      <c r="AB68" s="360" t="s">
        <v>238</v>
      </c>
    </row>
    <row r="69" spans="1:32" s="55" customFormat="1" ht="69.95" customHeight="1" x14ac:dyDescent="0.15">
      <c r="A69" s="559"/>
      <c r="B69" s="186">
        <f>$I$6</f>
        <v>781</v>
      </c>
      <c r="C69" s="368" t="str">
        <f>$A$6</f>
        <v>BK</v>
      </c>
      <c r="D69" s="369"/>
      <c r="E69" s="370"/>
      <c r="F69" s="428"/>
      <c r="G69" s="429"/>
      <c r="H69" s="430"/>
      <c r="I69" s="563"/>
      <c r="J69" s="76"/>
      <c r="K69" s="136">
        <v>0.5</v>
      </c>
      <c r="L69" s="77" t="s">
        <v>129</v>
      </c>
      <c r="M69" s="78">
        <f t="shared" si="12"/>
        <v>390.5</v>
      </c>
      <c r="N69" s="140"/>
      <c r="O69" s="78"/>
      <c r="P69" s="80" t="s">
        <v>63</v>
      </c>
      <c r="Q69" s="447"/>
      <c r="R69" s="78">
        <v>400</v>
      </c>
      <c r="S69" s="77" t="s">
        <v>129</v>
      </c>
      <c r="T69" s="81">
        <f t="shared" si="3"/>
        <v>9.5</v>
      </c>
      <c r="U69" s="82"/>
      <c r="V69" s="137"/>
      <c r="W69" s="78"/>
      <c r="X69" s="78"/>
      <c r="Y69" s="557"/>
      <c r="Z69" s="141"/>
      <c r="AA69" s="135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432"/>
      <c r="B70" s="182">
        <f>$I$7</f>
        <v>0</v>
      </c>
      <c r="C70" s="461">
        <f>$A$7</f>
        <v>0</v>
      </c>
      <c r="D70" s="461"/>
      <c r="E70" s="461"/>
      <c r="F70" s="428"/>
      <c r="G70" s="429"/>
      <c r="H70" s="430"/>
      <c r="I70" s="442"/>
      <c r="J70" s="76"/>
      <c r="K70" s="136"/>
      <c r="L70" s="77" t="s">
        <v>129</v>
      </c>
      <c r="M70" s="78">
        <f t="shared" si="12"/>
        <v>0</v>
      </c>
      <c r="N70" s="140"/>
      <c r="O70" s="78"/>
      <c r="P70" s="80" t="s">
        <v>63</v>
      </c>
      <c r="Q70" s="444"/>
      <c r="R70" s="78"/>
      <c r="S70" s="77" t="s">
        <v>129</v>
      </c>
      <c r="T70" s="81">
        <f t="shared" si="3"/>
        <v>0</v>
      </c>
      <c r="U70" s="82"/>
      <c r="V70" s="137"/>
      <c r="W70" s="78"/>
      <c r="X70" s="78"/>
      <c r="Y70" s="446"/>
      <c r="Z70" s="141"/>
      <c r="AA70" s="135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431" t="s">
        <v>141</v>
      </c>
      <c r="B71" s="191">
        <f t="shared" ref="B71" si="21">$I$5</f>
        <v>565</v>
      </c>
      <c r="C71" s="422" t="str">
        <f t="shared" ref="C71" si="22">$A$5</f>
        <v>KH</v>
      </c>
      <c r="D71" s="423"/>
      <c r="E71" s="424"/>
      <c r="F71" s="425"/>
      <c r="G71" s="426"/>
      <c r="H71" s="427"/>
      <c r="I71" s="433" t="s">
        <v>204</v>
      </c>
      <c r="J71" s="192"/>
      <c r="K71" s="209"/>
      <c r="L71" s="194" t="s">
        <v>129</v>
      </c>
      <c r="M71" s="195">
        <f t="shared" si="12"/>
        <v>0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0</v>
      </c>
      <c r="U71" s="199"/>
      <c r="V71" s="199"/>
      <c r="W71" s="208"/>
      <c r="X71" s="198"/>
      <c r="Y71" s="437" t="s">
        <v>130</v>
      </c>
      <c r="Z71" s="231"/>
      <c r="AA71" s="232"/>
      <c r="AB71" s="439"/>
    </row>
    <row r="72" spans="1:32" s="55" customFormat="1" ht="69.95" customHeight="1" x14ac:dyDescent="0.15">
      <c r="A72" s="559"/>
      <c r="B72" s="204">
        <f>$I$6</f>
        <v>781</v>
      </c>
      <c r="C72" s="422" t="str">
        <f>$A$6</f>
        <v>BK</v>
      </c>
      <c r="D72" s="423"/>
      <c r="E72" s="424"/>
      <c r="F72" s="425"/>
      <c r="G72" s="426"/>
      <c r="H72" s="427"/>
      <c r="I72" s="560"/>
      <c r="J72" s="192"/>
      <c r="K72" s="209"/>
      <c r="L72" s="194" t="s">
        <v>129</v>
      </c>
      <c r="M72" s="195">
        <f t="shared" si="12"/>
        <v>0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0</v>
      </c>
      <c r="U72" s="199"/>
      <c r="V72" s="200"/>
      <c r="W72" s="195"/>
      <c r="X72" s="195"/>
      <c r="Y72" s="562"/>
      <c r="Z72" s="201"/>
      <c r="AA72" s="202"/>
      <c r="AB72" s="558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91">
        <f>$I$7</f>
        <v>0</v>
      </c>
      <c r="C73" s="465">
        <f>$A$7</f>
        <v>0</v>
      </c>
      <c r="D73" s="465"/>
      <c r="E73" s="465"/>
      <c r="F73" s="425"/>
      <c r="G73" s="426"/>
      <c r="H73" s="427"/>
      <c r="I73" s="434"/>
      <c r="J73" s="192"/>
      <c r="K73" s="209"/>
      <c r="L73" s="194" t="s">
        <v>129</v>
      </c>
      <c r="M73" s="195">
        <f t="shared" si="12"/>
        <v>0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0</v>
      </c>
      <c r="U73" s="199"/>
      <c r="V73" s="200"/>
      <c r="W73" s="195"/>
      <c r="X73" s="195"/>
      <c r="Y73" s="438"/>
      <c r="Z73" s="201"/>
      <c r="AA73" s="202"/>
      <c r="AB73" s="440"/>
      <c r="AC73" s="142"/>
      <c r="AD73" s="179"/>
      <c r="AE73" s="179"/>
      <c r="AF73" s="179"/>
    </row>
    <row r="74" spans="1:32" s="206" customFormat="1" ht="69.95" customHeight="1" x14ac:dyDescent="0.15">
      <c r="A74" s="431" t="s">
        <v>120</v>
      </c>
      <c r="B74" s="191">
        <f t="shared" ref="B74" si="23">$I$5</f>
        <v>565</v>
      </c>
      <c r="C74" s="422" t="str">
        <f t="shared" ref="C74" si="24">$A$5</f>
        <v>KH</v>
      </c>
      <c r="D74" s="423"/>
      <c r="E74" s="424"/>
      <c r="F74" s="425"/>
      <c r="G74" s="426"/>
      <c r="H74" s="427"/>
      <c r="I74" s="433" t="s">
        <v>75</v>
      </c>
      <c r="J74" s="192"/>
      <c r="K74" s="193"/>
      <c r="L74" s="194" t="s">
        <v>63</v>
      </c>
      <c r="M74" s="195">
        <f t="shared" si="4"/>
        <v>0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0</v>
      </c>
      <c r="U74" s="199"/>
      <c r="V74" s="199"/>
      <c r="W74" s="208"/>
      <c r="X74" s="198"/>
      <c r="Y74" s="437" t="s">
        <v>64</v>
      </c>
      <c r="Z74" s="231"/>
      <c r="AA74" s="232"/>
      <c r="AB74" s="439"/>
    </row>
    <row r="75" spans="1:32" s="206" customFormat="1" ht="69.95" customHeight="1" x14ac:dyDescent="0.15">
      <c r="A75" s="559"/>
      <c r="B75" s="204">
        <f>$I$6</f>
        <v>781</v>
      </c>
      <c r="C75" s="422" t="str">
        <f>$A$6</f>
        <v>BK</v>
      </c>
      <c r="D75" s="423"/>
      <c r="E75" s="424"/>
      <c r="F75" s="425"/>
      <c r="G75" s="426"/>
      <c r="H75" s="427"/>
      <c r="I75" s="560"/>
      <c r="J75" s="192"/>
      <c r="K75" s="193"/>
      <c r="L75" s="194" t="s">
        <v>63</v>
      </c>
      <c r="M75" s="195">
        <f t="shared" si="4"/>
        <v>0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0</v>
      </c>
      <c r="U75" s="199"/>
      <c r="V75" s="200"/>
      <c r="W75" s="195"/>
      <c r="X75" s="195"/>
      <c r="Y75" s="562"/>
      <c r="Z75" s="201"/>
      <c r="AA75" s="202"/>
      <c r="AB75" s="558"/>
      <c r="AC75" s="234"/>
      <c r="AD75" s="230"/>
      <c r="AE75" s="230"/>
      <c r="AF75" s="230"/>
    </row>
    <row r="76" spans="1:32" s="206" customFormat="1" ht="69.95" customHeight="1" x14ac:dyDescent="0.15">
      <c r="A76" s="432"/>
      <c r="B76" s="191">
        <f>$I$7</f>
        <v>0</v>
      </c>
      <c r="C76" s="465">
        <f>$A$7</f>
        <v>0</v>
      </c>
      <c r="D76" s="465"/>
      <c r="E76" s="465"/>
      <c r="F76" s="425"/>
      <c r="G76" s="426"/>
      <c r="H76" s="427"/>
      <c r="I76" s="434"/>
      <c r="J76" s="192"/>
      <c r="K76" s="193"/>
      <c r="L76" s="194" t="s">
        <v>63</v>
      </c>
      <c r="M76" s="195">
        <f t="shared" si="4"/>
        <v>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0</v>
      </c>
      <c r="U76" s="199"/>
      <c r="V76" s="200"/>
      <c r="W76" s="195"/>
      <c r="X76" s="195"/>
      <c r="Y76" s="438"/>
      <c r="Z76" s="201"/>
      <c r="AA76" s="202"/>
      <c r="AB76" s="440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560</v>
      </c>
      <c r="C77" s="407" t="e">
        <f>#REF!</f>
        <v>#REF!</v>
      </c>
      <c r="D77" s="408"/>
      <c r="E77" s="409"/>
      <c r="F77" s="371"/>
      <c r="G77" s="372"/>
      <c r="H77" s="373"/>
      <c r="I77" s="276"/>
      <c r="J77" s="255"/>
      <c r="K77" s="263">
        <v>1</v>
      </c>
      <c r="L77" s="168" t="s">
        <v>63</v>
      </c>
      <c r="M77" s="169">
        <f t="shared" si="4"/>
        <v>560</v>
      </c>
      <c r="N77" s="171"/>
      <c r="O77" s="277"/>
      <c r="P77" s="169" t="s">
        <v>63</v>
      </c>
      <c r="Q77" s="376">
        <v>46045</v>
      </c>
      <c r="R77" s="277">
        <v>560</v>
      </c>
      <c r="S77" s="169" t="s">
        <v>63</v>
      </c>
      <c r="T77" s="278">
        <f t="shared" si="3"/>
        <v>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238</v>
      </c>
    </row>
    <row r="78" spans="1:32" s="176" customFormat="1" ht="54.95" customHeight="1" x14ac:dyDescent="0.15">
      <c r="A78" s="387"/>
      <c r="B78" s="164">
        <f>D11</f>
        <v>600</v>
      </c>
      <c r="C78" s="410"/>
      <c r="D78" s="411"/>
      <c r="E78" s="412"/>
      <c r="F78" s="371"/>
      <c r="G78" s="372"/>
      <c r="H78" s="373"/>
      <c r="I78" s="276"/>
      <c r="J78" s="255"/>
      <c r="K78" s="167">
        <v>1</v>
      </c>
      <c r="L78" s="168" t="s">
        <v>63</v>
      </c>
      <c r="M78" s="169">
        <f t="shared" si="4"/>
        <v>600</v>
      </c>
      <c r="N78" s="171"/>
      <c r="O78" s="277"/>
      <c r="P78" s="169" t="s">
        <v>63</v>
      </c>
      <c r="Q78" s="377"/>
      <c r="R78" s="277">
        <v>600</v>
      </c>
      <c r="S78" s="169" t="s">
        <v>63</v>
      </c>
      <c r="T78" s="278">
        <f t="shared" si="3"/>
        <v>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186</v>
      </c>
      <c r="C79" s="410"/>
      <c r="D79" s="411"/>
      <c r="E79" s="412"/>
      <c r="F79" s="371"/>
      <c r="G79" s="372"/>
      <c r="H79" s="373"/>
      <c r="I79" s="276"/>
      <c r="J79" s="255"/>
      <c r="K79" s="167">
        <v>1</v>
      </c>
      <c r="L79" s="168" t="s">
        <v>63</v>
      </c>
      <c r="M79" s="169">
        <f t="shared" si="4"/>
        <v>186</v>
      </c>
      <c r="N79" s="171"/>
      <c r="O79" s="277"/>
      <c r="P79" s="169" t="s">
        <v>63</v>
      </c>
      <c r="Q79" s="377"/>
      <c r="R79" s="277">
        <v>186</v>
      </c>
      <c r="S79" s="169" t="s">
        <v>63</v>
      </c>
      <c r="T79" s="278">
        <f t="shared" si="3"/>
        <v>0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/>
      <c r="G80" s="372"/>
      <c r="H80" s="373"/>
      <c r="I80" s="276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/>
      <c r="G81" s="372"/>
      <c r="H81" s="373"/>
      <c r="I81" s="27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68</v>
      </c>
      <c r="B82" s="164">
        <f>C5+C8</f>
        <v>240</v>
      </c>
      <c r="C82" s="456" t="str">
        <f>A5</f>
        <v>KH</v>
      </c>
      <c r="D82" s="456"/>
      <c r="E82" s="456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240</v>
      </c>
      <c r="N82" s="171"/>
      <c r="O82" s="277"/>
      <c r="P82" s="169" t="s">
        <v>63</v>
      </c>
      <c r="Q82" s="376">
        <v>46045</v>
      </c>
      <c r="R82" s="277">
        <v>240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238</v>
      </c>
    </row>
    <row r="83" spans="1:28" s="176" customFormat="1" ht="54.95" customHeight="1" x14ac:dyDescent="0.15">
      <c r="A83" s="387"/>
      <c r="B83" s="164">
        <f>D5+D8</f>
        <v>250</v>
      </c>
      <c r="C83" s="456"/>
      <c r="D83" s="456"/>
      <c r="E83" s="456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250</v>
      </c>
      <c r="N83" s="171"/>
      <c r="O83" s="277"/>
      <c r="P83" s="169" t="s">
        <v>63</v>
      </c>
      <c r="Q83" s="377"/>
      <c r="R83" s="277">
        <v>250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75</v>
      </c>
      <c r="C84" s="456"/>
      <c r="D84" s="456"/>
      <c r="E84" s="456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75</v>
      </c>
      <c r="N84" s="171"/>
      <c r="O84" s="277"/>
      <c r="P84" s="169" t="s">
        <v>63</v>
      </c>
      <c r="Q84" s="377"/>
      <c r="R84" s="277">
        <v>75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320</v>
      </c>
      <c r="C85" s="456" t="str">
        <f>A6</f>
        <v>BK</v>
      </c>
      <c r="D85" s="456"/>
      <c r="E85" s="456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320</v>
      </c>
      <c r="N85" s="171"/>
      <c r="O85" s="277"/>
      <c r="P85" s="169" t="s">
        <v>63</v>
      </c>
      <c r="Q85" s="377"/>
      <c r="R85" s="168">
        <v>320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350</v>
      </c>
      <c r="C86" s="456"/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ref="M86:M106" si="25">K86*B86</f>
        <v>350</v>
      </c>
      <c r="N86" s="171"/>
      <c r="O86" s="277"/>
      <c r="P86" s="169" t="s">
        <v>63</v>
      </c>
      <c r="Q86" s="377"/>
      <c r="R86" s="168">
        <v>350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111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25"/>
        <v>111</v>
      </c>
      <c r="N87" s="171"/>
      <c r="O87" s="277"/>
      <c r="P87" s="169" t="s">
        <v>63</v>
      </c>
      <c r="Q87" s="377"/>
      <c r="R87" s="277">
        <v>111</v>
      </c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0</v>
      </c>
      <c r="C88" s="456">
        <f>A7</f>
        <v>0</v>
      </c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25"/>
        <v>0</v>
      </c>
      <c r="N88" s="171"/>
      <c r="O88" s="277"/>
      <c r="P88" s="169" t="s">
        <v>63</v>
      </c>
      <c r="Q88" s="377"/>
      <c r="R88" s="277"/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0</v>
      </c>
      <c r="C89" s="456"/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25"/>
        <v>0</v>
      </c>
      <c r="N89" s="171"/>
      <c r="O89" s="277"/>
      <c r="P89" s="169" t="s">
        <v>63</v>
      </c>
      <c r="Q89" s="377"/>
      <c r="R89" s="277"/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25"/>
        <v>0</v>
      </c>
      <c r="N90" s="171"/>
      <c r="O90" s="277"/>
      <c r="P90" s="169" t="s">
        <v>63</v>
      </c>
      <c r="Q90" s="378"/>
      <c r="R90" s="168"/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240</v>
      </c>
      <c r="C91" s="456" t="str">
        <f>A5</f>
        <v>KH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240</v>
      </c>
      <c r="N91" s="171"/>
      <c r="O91" s="277"/>
      <c r="P91" s="169" t="s">
        <v>63</v>
      </c>
      <c r="Q91" s="376">
        <v>46045</v>
      </c>
      <c r="R91" s="277">
        <v>240</v>
      </c>
      <c r="S91" s="169" t="s">
        <v>63</v>
      </c>
      <c r="T91" s="278">
        <f t="shared" si="3"/>
        <v>0</v>
      </c>
      <c r="U91" s="281"/>
      <c r="V91" s="282"/>
      <c r="W91" s="278"/>
      <c r="X91" s="278"/>
      <c r="Y91" s="374" t="s">
        <v>67</v>
      </c>
      <c r="Z91" s="374"/>
      <c r="AA91" s="374"/>
      <c r="AB91" s="404" t="s">
        <v>238</v>
      </c>
    </row>
    <row r="92" spans="1:28" s="176" customFormat="1" ht="54.95" customHeight="1" x14ac:dyDescent="0.15">
      <c r="A92" s="387"/>
      <c r="B92" s="164">
        <f>D5</f>
        <v>250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250</v>
      </c>
      <c r="N92" s="171"/>
      <c r="O92" s="277"/>
      <c r="P92" s="169" t="s">
        <v>63</v>
      </c>
      <c r="Q92" s="377"/>
      <c r="R92" s="277">
        <v>250</v>
      </c>
      <c r="S92" s="169" t="s">
        <v>63</v>
      </c>
      <c r="T92" s="278">
        <f t="shared" si="3"/>
        <v>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75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75</v>
      </c>
      <c r="N93" s="171"/>
      <c r="O93" s="277"/>
      <c r="P93" s="169" t="s">
        <v>63</v>
      </c>
      <c r="Q93" s="377"/>
      <c r="R93" s="277">
        <v>75</v>
      </c>
      <c r="S93" s="169" t="s">
        <v>63</v>
      </c>
      <c r="T93" s="278">
        <f t="shared" si="3"/>
        <v>0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320</v>
      </c>
      <c r="C94" s="456" t="str">
        <f>A6</f>
        <v>BK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320</v>
      </c>
      <c r="N94" s="171"/>
      <c r="O94" s="277"/>
      <c r="P94" s="169" t="s">
        <v>63</v>
      </c>
      <c r="Q94" s="377"/>
      <c r="R94" s="168">
        <v>320</v>
      </c>
      <c r="S94" s="169" t="s">
        <v>63</v>
      </c>
      <c r="T94" s="278">
        <f t="shared" si="3"/>
        <v>0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350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350</v>
      </c>
      <c r="N95" s="171"/>
      <c r="O95" s="277"/>
      <c r="P95" s="169" t="s">
        <v>63</v>
      </c>
      <c r="Q95" s="377"/>
      <c r="R95" s="168">
        <v>350</v>
      </c>
      <c r="S95" s="169" t="s">
        <v>63</v>
      </c>
      <c r="T95" s="278">
        <f t="shared" si="3"/>
        <v>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111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111</v>
      </c>
      <c r="N96" s="171"/>
      <c r="O96" s="277"/>
      <c r="P96" s="169" t="s">
        <v>63</v>
      </c>
      <c r="Q96" s="377"/>
      <c r="R96" s="277">
        <v>111</v>
      </c>
      <c r="S96" s="169" t="s">
        <v>63</v>
      </c>
      <c r="T96" s="278">
        <f t="shared" si="3"/>
        <v>0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0</v>
      </c>
      <c r="C97" s="456">
        <f>A7</f>
        <v>0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0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560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560</v>
      </c>
      <c r="N100" s="89"/>
      <c r="O100" s="153"/>
      <c r="P100" s="88" t="s">
        <v>63</v>
      </c>
      <c r="Q100" s="398">
        <v>46045</v>
      </c>
      <c r="R100" s="93">
        <v>560</v>
      </c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238</v>
      </c>
    </row>
    <row r="101" spans="1:28" s="55" customFormat="1" ht="54.95" customHeight="1" x14ac:dyDescent="0.15">
      <c r="A101" s="387"/>
      <c r="B101" s="87">
        <f>D11</f>
        <v>600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600</v>
      </c>
      <c r="N101" s="89"/>
      <c r="O101" s="153"/>
      <c r="P101" s="88" t="s">
        <v>63</v>
      </c>
      <c r="Q101" s="399"/>
      <c r="R101" s="93">
        <v>600</v>
      </c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186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186</v>
      </c>
      <c r="N102" s="89"/>
      <c r="O102" s="153"/>
      <c r="P102" s="88" t="s">
        <v>63</v>
      </c>
      <c r="Q102" s="399"/>
      <c r="R102" s="93">
        <v>186</v>
      </c>
      <c r="S102" s="88" t="s">
        <v>63</v>
      </c>
      <c r="T102" s="154">
        <f t="shared" si="3"/>
        <v>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1346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1346</v>
      </c>
      <c r="N104" s="170"/>
      <c r="O104" s="170"/>
      <c r="P104" s="169" t="s">
        <v>63</v>
      </c>
      <c r="Q104" s="363">
        <v>46045</v>
      </c>
      <c r="R104" s="165">
        <v>1346</v>
      </c>
      <c r="S104" s="169" t="s">
        <v>63</v>
      </c>
      <c r="T104" s="154">
        <f t="shared" si="3"/>
        <v>0</v>
      </c>
      <c r="U104" s="170"/>
      <c r="V104" s="172"/>
      <c r="W104" s="172"/>
      <c r="X104" s="172"/>
      <c r="Y104" s="374" t="s">
        <v>72</v>
      </c>
      <c r="Z104" s="380"/>
      <c r="AA104" s="383"/>
      <c r="AB104" s="586" t="s">
        <v>238</v>
      </c>
    </row>
    <row r="105" spans="1:28" s="55" customFormat="1" ht="54.95" customHeight="1" x14ac:dyDescent="0.15">
      <c r="A105" s="163" t="s">
        <v>81</v>
      </c>
      <c r="B105" s="87">
        <f>I11</f>
        <v>1346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1346</v>
      </c>
      <c r="N105" s="91"/>
      <c r="O105" s="91"/>
      <c r="P105" s="169" t="s">
        <v>63</v>
      </c>
      <c r="Q105" s="364"/>
      <c r="R105" s="165">
        <v>1346</v>
      </c>
      <c r="S105" s="169" t="s">
        <v>63</v>
      </c>
      <c r="T105" s="154">
        <f t="shared" si="3"/>
        <v>0</v>
      </c>
      <c r="U105" s="91"/>
      <c r="V105" s="91"/>
      <c r="W105" s="91"/>
      <c r="X105" s="91"/>
      <c r="Y105" s="375"/>
      <c r="Z105" s="381"/>
      <c r="AA105" s="384"/>
      <c r="AB105" s="587"/>
    </row>
    <row r="106" spans="1:28" s="55" customFormat="1" ht="54.95" customHeight="1" x14ac:dyDescent="0.15">
      <c r="A106" s="284" t="s">
        <v>160</v>
      </c>
      <c r="B106" s="87">
        <f>I11</f>
        <v>1346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1346</v>
      </c>
      <c r="N106" s="91"/>
      <c r="O106" s="91"/>
      <c r="P106" s="89" t="s">
        <v>63</v>
      </c>
      <c r="Q106" s="365"/>
      <c r="R106" s="93">
        <v>1350</v>
      </c>
      <c r="S106" s="89" t="s">
        <v>63</v>
      </c>
      <c r="T106" s="154">
        <f t="shared" si="3"/>
        <v>4</v>
      </c>
      <c r="U106" s="91"/>
      <c r="V106" s="91"/>
      <c r="W106" s="91"/>
      <c r="X106" s="91"/>
      <c r="Y106" s="379"/>
      <c r="Z106" s="382"/>
      <c r="AA106" s="385"/>
      <c r="AB106" s="588"/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5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5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11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"/>
      <c r="AC118" s="1"/>
    </row>
  </sheetData>
  <mergeCells count="368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8:A19"/>
    <mergeCell ref="C18:E18"/>
    <mergeCell ref="F18:H18"/>
    <mergeCell ref="Q18:Q19"/>
    <mergeCell ref="Y18:Y19"/>
    <mergeCell ref="AB18:AB19"/>
    <mergeCell ref="C19:E19"/>
    <mergeCell ref="F19:H19"/>
    <mergeCell ref="A13:A14"/>
    <mergeCell ref="B13:B14"/>
    <mergeCell ref="C13:E13"/>
    <mergeCell ref="F13:H13"/>
    <mergeCell ref="K13:L13"/>
    <mergeCell ref="N13:P13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Q15:Q17"/>
    <mergeCell ref="Y15:Y17"/>
    <mergeCell ref="AB15:AB17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A50:A52"/>
    <mergeCell ref="C45:E45"/>
    <mergeCell ref="F45:H45"/>
    <mergeCell ref="C46:E46"/>
    <mergeCell ref="F46:H46"/>
    <mergeCell ref="C47:E47"/>
    <mergeCell ref="F47:H47"/>
    <mergeCell ref="I47:I49"/>
    <mergeCell ref="F52:H52"/>
    <mergeCell ref="A44:A46"/>
    <mergeCell ref="C44:E44"/>
    <mergeCell ref="F44:H44"/>
    <mergeCell ref="I44:I46"/>
    <mergeCell ref="AB53:AB55"/>
    <mergeCell ref="C54:E54"/>
    <mergeCell ref="F54:H54"/>
    <mergeCell ref="C55:E55"/>
    <mergeCell ref="F55:H55"/>
    <mergeCell ref="AC48:AF48"/>
    <mergeCell ref="C49:E49"/>
    <mergeCell ref="F49:H49"/>
    <mergeCell ref="AC49:AF49"/>
    <mergeCell ref="C50:E50"/>
    <mergeCell ref="AB44:AB52"/>
    <mergeCell ref="AC45:AF45"/>
    <mergeCell ref="AC46:AF46"/>
    <mergeCell ref="AC52:AF52"/>
    <mergeCell ref="F51:H51"/>
    <mergeCell ref="AC51:AF51"/>
    <mergeCell ref="C52:E52"/>
    <mergeCell ref="F50:H50"/>
    <mergeCell ref="I50:I52"/>
    <mergeCell ref="Y50:Y52"/>
    <mergeCell ref="C51:E51"/>
    <mergeCell ref="A56:A58"/>
    <mergeCell ref="C56:E56"/>
    <mergeCell ref="F56:H56"/>
    <mergeCell ref="Y56:Y58"/>
    <mergeCell ref="C57:E57"/>
    <mergeCell ref="F57:H57"/>
    <mergeCell ref="C58:E58"/>
    <mergeCell ref="F58:H58"/>
    <mergeCell ref="I56:I58"/>
    <mergeCell ref="Q56:Q61"/>
    <mergeCell ref="A68:A70"/>
    <mergeCell ref="C68:E68"/>
    <mergeCell ref="F68:H68"/>
    <mergeCell ref="I68:I70"/>
    <mergeCell ref="Q68:Q70"/>
    <mergeCell ref="Y68:Y70"/>
    <mergeCell ref="A59:A61"/>
    <mergeCell ref="C59:E59"/>
    <mergeCell ref="F59:H59"/>
    <mergeCell ref="Y59:Y61"/>
    <mergeCell ref="C60:E60"/>
    <mergeCell ref="F60:H60"/>
    <mergeCell ref="C61:E61"/>
    <mergeCell ref="F61:H61"/>
    <mergeCell ref="C63:E63"/>
    <mergeCell ref="F63:H63"/>
    <mergeCell ref="C64:E64"/>
    <mergeCell ref="F64:H64"/>
    <mergeCell ref="A65:A67"/>
    <mergeCell ref="C65:E65"/>
    <mergeCell ref="F65:H65"/>
    <mergeCell ref="Q65:Q67"/>
    <mergeCell ref="Y65:Y67"/>
    <mergeCell ref="A62:A64"/>
    <mergeCell ref="C62:E62"/>
    <mergeCell ref="F62:H62"/>
    <mergeCell ref="Q62:Q64"/>
    <mergeCell ref="Y62:Y64"/>
    <mergeCell ref="C69:E69"/>
    <mergeCell ref="F69:H69"/>
    <mergeCell ref="C70:E70"/>
    <mergeCell ref="F70:H70"/>
    <mergeCell ref="AB65:AB67"/>
    <mergeCell ref="C66:E66"/>
    <mergeCell ref="F66:H66"/>
    <mergeCell ref="C67:E67"/>
    <mergeCell ref="F67:H67"/>
    <mergeCell ref="I65:I67"/>
    <mergeCell ref="A77:A81"/>
    <mergeCell ref="C77:E81"/>
    <mergeCell ref="F77:H77"/>
    <mergeCell ref="Q77:Q81"/>
    <mergeCell ref="A74:A76"/>
    <mergeCell ref="C74:E74"/>
    <mergeCell ref="F74:H74"/>
    <mergeCell ref="I74:I76"/>
    <mergeCell ref="A71:A73"/>
    <mergeCell ref="C71:E71"/>
    <mergeCell ref="F71:H71"/>
    <mergeCell ref="I71:I73"/>
    <mergeCell ref="Q71:Q73"/>
    <mergeCell ref="C75:E75"/>
    <mergeCell ref="F75:H75"/>
    <mergeCell ref="C76:E76"/>
    <mergeCell ref="F76:H76"/>
    <mergeCell ref="C72:E72"/>
    <mergeCell ref="F72:H72"/>
    <mergeCell ref="C73:E73"/>
    <mergeCell ref="F73:H73"/>
    <mergeCell ref="F82:H82"/>
    <mergeCell ref="Q82:Q90"/>
    <mergeCell ref="Y82:Y90"/>
    <mergeCell ref="F89:H89"/>
    <mergeCell ref="F90:H90"/>
    <mergeCell ref="F78:H78"/>
    <mergeCell ref="F79:H79"/>
    <mergeCell ref="F80:H80"/>
    <mergeCell ref="F81:H81"/>
    <mergeCell ref="AB100:AB103"/>
    <mergeCell ref="F101:H101"/>
    <mergeCell ref="F102:H102"/>
    <mergeCell ref="F103:H103"/>
    <mergeCell ref="AA96:AA99"/>
    <mergeCell ref="C97:E99"/>
    <mergeCell ref="AB104:AB106"/>
    <mergeCell ref="C105:E105"/>
    <mergeCell ref="F105:H105"/>
    <mergeCell ref="C106:E106"/>
    <mergeCell ref="F106:H106"/>
    <mergeCell ref="C104:E104"/>
    <mergeCell ref="AB91:AB99"/>
    <mergeCell ref="A100:A103"/>
    <mergeCell ref="C100:E103"/>
    <mergeCell ref="F100:H100"/>
    <mergeCell ref="Q100:Q103"/>
    <mergeCell ref="Y100:Y103"/>
    <mergeCell ref="AA91:AA95"/>
    <mergeCell ref="A91:A99"/>
    <mergeCell ref="Y77:Y81"/>
    <mergeCell ref="Z77:Z81"/>
    <mergeCell ref="F83:H83"/>
    <mergeCell ref="F84:H84"/>
    <mergeCell ref="C85:E87"/>
    <mergeCell ref="F85:H85"/>
    <mergeCell ref="F86:H86"/>
    <mergeCell ref="F87:H87"/>
    <mergeCell ref="C88:E90"/>
    <mergeCell ref="F88:H88"/>
    <mergeCell ref="Z82:Z90"/>
    <mergeCell ref="AA77:AA81"/>
    <mergeCell ref="AA82:AA90"/>
    <mergeCell ref="F98:H98"/>
    <mergeCell ref="F99:H99"/>
    <mergeCell ref="A82:A90"/>
    <mergeCell ref="C82:E84"/>
    <mergeCell ref="B108:C108"/>
    <mergeCell ref="F108:H108"/>
    <mergeCell ref="Z100:Z103"/>
    <mergeCell ref="AA100:AA103"/>
    <mergeCell ref="F92:H92"/>
    <mergeCell ref="F93:H93"/>
    <mergeCell ref="C94:E96"/>
    <mergeCell ref="F94:H94"/>
    <mergeCell ref="F95:H95"/>
    <mergeCell ref="F96:H96"/>
    <mergeCell ref="Y96:Y99"/>
    <mergeCell ref="Z96:Z99"/>
    <mergeCell ref="C91:E93"/>
    <mergeCell ref="F91:H91"/>
    <mergeCell ref="Q91:Q99"/>
    <mergeCell ref="Y91:Y95"/>
    <mergeCell ref="Z91:Z95"/>
    <mergeCell ref="Y104:Y106"/>
    <mergeCell ref="Z104:Z106"/>
    <mergeCell ref="AA104:AA106"/>
    <mergeCell ref="F104:H104"/>
    <mergeCell ref="Q104:Q106"/>
    <mergeCell ref="B107:C107"/>
    <mergeCell ref="F97:H97"/>
    <mergeCell ref="AB56:AB61"/>
    <mergeCell ref="AB77:AB81"/>
    <mergeCell ref="Y74:Y76"/>
    <mergeCell ref="AB74:AB76"/>
    <mergeCell ref="AB68:AB70"/>
    <mergeCell ref="AB62:AB64"/>
    <mergeCell ref="AB82:AB90"/>
    <mergeCell ref="AB71:AB73"/>
    <mergeCell ref="Q74:Q76"/>
    <mergeCell ref="Y71:Y7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B6D2-5E9F-4E21-99A3-2B28B0591338}">
  <sheetPr>
    <pageSetUpPr fitToPage="1"/>
  </sheetPr>
  <dimension ref="A1:AF118"/>
  <sheetViews>
    <sheetView view="pageBreakPreview" topLeftCell="A13" zoomScale="75" zoomScaleNormal="100" zoomScaleSheetLayoutView="75" workbookViewId="0">
      <selection activeCell="O10" sqref="O10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233</v>
      </c>
      <c r="C2" s="548"/>
      <c r="D2" s="548"/>
      <c r="E2" s="548"/>
      <c r="F2" s="548"/>
      <c r="G2" s="549"/>
      <c r="H2" s="180" t="s">
        <v>1</v>
      </c>
      <c r="I2" s="550">
        <f>I11</f>
        <v>1533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231</v>
      </c>
      <c r="B5" s="480"/>
      <c r="C5" s="182">
        <v>330</v>
      </c>
      <c r="D5" s="182">
        <v>350</v>
      </c>
      <c r="E5" s="182">
        <v>88</v>
      </c>
      <c r="F5" s="182"/>
      <c r="G5" s="182"/>
      <c r="H5" s="542" t="s">
        <v>24</v>
      </c>
      <c r="I5" s="524">
        <f t="shared" ref="I5:I11" si="0">SUM(C5:G5)</f>
        <v>768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232</v>
      </c>
      <c r="B6" s="523"/>
      <c r="C6" s="182">
        <v>320</v>
      </c>
      <c r="D6" s="182">
        <v>340</v>
      </c>
      <c r="E6" s="182">
        <v>105</v>
      </c>
      <c r="F6" s="182"/>
      <c r="G6" s="182"/>
      <c r="H6" s="537"/>
      <c r="I6" s="524">
        <f t="shared" si="0"/>
        <v>765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 t="s">
        <v>247</v>
      </c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46030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650</v>
      </c>
      <c r="D11" s="181">
        <f>SUM(D5:D10)</f>
        <v>690</v>
      </c>
      <c r="E11" s="181">
        <f>SUM(E5:E10)</f>
        <v>193</v>
      </c>
      <c r="F11" s="181">
        <f>SUM(F5:F10)</f>
        <v>0</v>
      </c>
      <c r="G11" s="181">
        <f>SUM(G5:G10)</f>
        <v>0</v>
      </c>
      <c r="H11" s="182"/>
      <c r="I11" s="481">
        <f t="shared" si="0"/>
        <v>1533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46141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663</v>
      </c>
      <c r="D12" s="43">
        <f>D11*1.02</f>
        <v>703.80000000000007</v>
      </c>
      <c r="E12" s="43">
        <f>E11*1.02</f>
        <v>196.86</v>
      </c>
      <c r="F12" s="43">
        <f>F11*1.02</f>
        <v>0</v>
      </c>
      <c r="G12" s="43">
        <f>G11*1.02</f>
        <v>0</v>
      </c>
      <c r="H12" s="44"/>
      <c r="I12" s="486">
        <f>I11*1.02</f>
        <v>1563.66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768</v>
      </c>
      <c r="C15" s="474" t="str">
        <f t="shared" ref="C15:C29" si="2">$A$5</f>
        <v>LK</v>
      </c>
      <c r="D15" s="475"/>
      <c r="E15" s="476"/>
      <c r="F15" s="474"/>
      <c r="G15" s="475"/>
      <c r="H15" s="476"/>
      <c r="I15" s="297" t="s">
        <v>214</v>
      </c>
      <c r="J15" s="65" t="s">
        <v>6</v>
      </c>
      <c r="K15" s="66">
        <v>1.64</v>
      </c>
      <c r="L15" s="67" t="s">
        <v>7</v>
      </c>
      <c r="M15" s="68">
        <f>K15*B15</f>
        <v>1259.52</v>
      </c>
      <c r="N15" s="69"/>
      <c r="O15" s="70"/>
      <c r="P15" s="67" t="s">
        <v>7</v>
      </c>
      <c r="Q15" s="478">
        <v>46045</v>
      </c>
      <c r="R15" s="293">
        <v>1260</v>
      </c>
      <c r="S15" s="71" t="s">
        <v>7</v>
      </c>
      <c r="T15" s="123">
        <f t="shared" ref="T15:T106" si="3">R15-M15</f>
        <v>0.48000000000001819</v>
      </c>
      <c r="U15" s="72"/>
      <c r="V15" s="72"/>
      <c r="W15" s="73"/>
      <c r="X15" s="74"/>
      <c r="Y15" s="479" t="s">
        <v>127</v>
      </c>
      <c r="Z15" s="63"/>
      <c r="AA15" s="64"/>
      <c r="AB15" s="360" t="s">
        <v>242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765</v>
      </c>
      <c r="C16" s="368" t="str">
        <f>$A$6</f>
        <v>DG</v>
      </c>
      <c r="D16" s="369"/>
      <c r="E16" s="370"/>
      <c r="F16" s="368"/>
      <c r="G16" s="369"/>
      <c r="H16" s="370"/>
      <c r="I16" s="296" t="s">
        <v>214</v>
      </c>
      <c r="J16" s="76" t="s">
        <v>6</v>
      </c>
      <c r="K16" s="83">
        <v>1.64</v>
      </c>
      <c r="L16" s="77" t="s">
        <v>7</v>
      </c>
      <c r="M16" s="78">
        <f t="shared" ref="M16:M85" si="4">K16*B16</f>
        <v>1254.5999999999999</v>
      </c>
      <c r="N16" s="79"/>
      <c r="O16" s="128"/>
      <c r="P16" s="77" t="s">
        <v>7</v>
      </c>
      <c r="Q16" s="447"/>
      <c r="R16" s="137">
        <v>1256</v>
      </c>
      <c r="S16" s="75" t="s">
        <v>7</v>
      </c>
      <c r="T16" s="81">
        <f t="shared" si="3"/>
        <v>1.4000000000000909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296"/>
      <c r="J17" s="76" t="s">
        <v>6</v>
      </c>
      <c r="K17" s="83"/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768</v>
      </c>
      <c r="C18" s="461" t="str">
        <f t="shared" si="2"/>
        <v>LK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765</v>
      </c>
      <c r="C19" s="461" t="str">
        <f>$A$6</f>
        <v>DG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768</v>
      </c>
      <c r="C20" s="465" t="str">
        <f t="shared" ref="C20" si="6">$A$5</f>
        <v>LK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/>
      <c r="L20" s="194" t="s">
        <v>7</v>
      </c>
      <c r="M20" s="195">
        <f t="shared" si="4"/>
        <v>0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0</v>
      </c>
      <c r="U20" s="199"/>
      <c r="V20" s="200"/>
      <c r="W20" s="195"/>
      <c r="X20" s="195"/>
      <c r="Y20" s="437" t="s">
        <v>93</v>
      </c>
      <c r="Z20" s="235"/>
      <c r="AA20" s="202"/>
      <c r="AB20" s="439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765</v>
      </c>
      <c r="C21" s="465" t="str">
        <f>$A$6</f>
        <v>DG</v>
      </c>
      <c r="D21" s="465"/>
      <c r="E21" s="465"/>
      <c r="F21" s="465"/>
      <c r="G21" s="465"/>
      <c r="H21" s="465"/>
      <c r="I21" s="560"/>
      <c r="J21" s="192" t="s">
        <v>6</v>
      </c>
      <c r="K21" s="209"/>
      <c r="L21" s="194" t="s">
        <v>7</v>
      </c>
      <c r="M21" s="195">
        <f t="shared" si="4"/>
        <v>0</v>
      </c>
      <c r="N21" s="196"/>
      <c r="O21" s="210"/>
      <c r="P21" s="194" t="s">
        <v>7</v>
      </c>
      <c r="Q21" s="561"/>
      <c r="R21" s="236"/>
      <c r="S21" s="207" t="s">
        <v>7</v>
      </c>
      <c r="T21" s="198">
        <f t="shared" si="3"/>
        <v>0</v>
      </c>
      <c r="U21" s="211"/>
      <c r="V21" s="211"/>
      <c r="W21" s="212"/>
      <c r="X21" s="213"/>
      <c r="Y21" s="562"/>
      <c r="Z21" s="214"/>
      <c r="AA21" s="202"/>
      <c r="AB21" s="55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0</v>
      </c>
      <c r="C22" s="465">
        <f>$A$7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440"/>
      <c r="AC22" s="229"/>
      <c r="AD22" s="230"/>
      <c r="AE22" s="230"/>
      <c r="AF22" s="230"/>
    </row>
    <row r="23" spans="1:32" s="55" customFormat="1" ht="69.95" customHeight="1" x14ac:dyDescent="0.15">
      <c r="A23" s="431" t="s">
        <v>85</v>
      </c>
      <c r="B23" s="182">
        <f t="shared" si="1"/>
        <v>768</v>
      </c>
      <c r="C23" s="461" t="str">
        <f t="shared" si="2"/>
        <v>LK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0.27</v>
      </c>
      <c r="L23" s="77" t="s">
        <v>7</v>
      </c>
      <c r="M23" s="78">
        <f t="shared" si="4"/>
        <v>207.36</v>
      </c>
      <c r="N23" s="79"/>
      <c r="O23" s="78"/>
      <c r="P23" s="80" t="s">
        <v>7</v>
      </c>
      <c r="Q23" s="443">
        <v>46045</v>
      </c>
      <c r="R23" s="78">
        <v>208</v>
      </c>
      <c r="S23" s="80" t="s">
        <v>7</v>
      </c>
      <c r="T23" s="81">
        <f t="shared" si="3"/>
        <v>0.63999999999998636</v>
      </c>
      <c r="U23" s="82"/>
      <c r="V23" s="137"/>
      <c r="W23" s="78"/>
      <c r="X23" s="78"/>
      <c r="Y23" s="445" t="s">
        <v>93</v>
      </c>
      <c r="Z23" s="138"/>
      <c r="AA23" s="135"/>
      <c r="AB23" s="360" t="s">
        <v>242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765</v>
      </c>
      <c r="C24" s="461" t="str">
        <f>$A$6</f>
        <v>DG</v>
      </c>
      <c r="D24" s="461"/>
      <c r="E24" s="461"/>
      <c r="F24" s="461"/>
      <c r="G24" s="461"/>
      <c r="H24" s="461"/>
      <c r="I24" s="563"/>
      <c r="J24" s="76" t="s">
        <v>6</v>
      </c>
      <c r="K24" s="136">
        <v>0.27</v>
      </c>
      <c r="L24" s="77" t="s">
        <v>7</v>
      </c>
      <c r="M24" s="78">
        <f t="shared" si="4"/>
        <v>206.55</v>
      </c>
      <c r="N24" s="79"/>
      <c r="O24" s="128"/>
      <c r="P24" s="77" t="s">
        <v>7</v>
      </c>
      <c r="Q24" s="447"/>
      <c r="R24" s="137">
        <v>207</v>
      </c>
      <c r="S24" s="75" t="s">
        <v>7</v>
      </c>
      <c r="T24" s="81">
        <f t="shared" si="3"/>
        <v>0.44999999999998863</v>
      </c>
      <c r="U24" s="131"/>
      <c r="V24" s="131"/>
      <c r="W24" s="132"/>
      <c r="X24" s="133"/>
      <c r="Y24" s="557"/>
      <c r="Z24" s="228"/>
      <c r="AA24" s="228"/>
      <c r="AB24" s="361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/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362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768</v>
      </c>
      <c r="C26" s="465" t="str">
        <f t="shared" si="2"/>
        <v>LK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765</v>
      </c>
      <c r="C27" s="465" t="str">
        <f>$A$6</f>
        <v>DG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0</v>
      </c>
      <c r="C28" s="465">
        <f>$A$7</f>
        <v>0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107</v>
      </c>
      <c r="B29" s="239">
        <f t="shared" si="1"/>
        <v>768</v>
      </c>
      <c r="C29" s="456" t="str">
        <f t="shared" si="2"/>
        <v>LK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0.1</v>
      </c>
      <c r="L29" s="168" t="s">
        <v>7</v>
      </c>
      <c r="M29" s="242">
        <f t="shared" si="4"/>
        <v>76.800000000000011</v>
      </c>
      <c r="N29" s="243"/>
      <c r="O29" s="242"/>
      <c r="P29" s="244" t="s">
        <v>7</v>
      </c>
      <c r="Q29" s="376">
        <v>46045</v>
      </c>
      <c r="R29" s="242">
        <v>77</v>
      </c>
      <c r="S29" s="244" t="s">
        <v>7</v>
      </c>
      <c r="T29" s="245">
        <f t="shared" si="3"/>
        <v>0.19999999999998863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237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765</v>
      </c>
      <c r="C30" s="456" t="str">
        <f>$A$6</f>
        <v>DG</v>
      </c>
      <c r="D30" s="456"/>
      <c r="E30" s="456"/>
      <c r="F30" s="456"/>
      <c r="G30" s="456"/>
      <c r="H30" s="456"/>
      <c r="I30" s="564"/>
      <c r="J30" s="240" t="s">
        <v>6</v>
      </c>
      <c r="K30" s="241">
        <v>0.1</v>
      </c>
      <c r="L30" s="168" t="s">
        <v>7</v>
      </c>
      <c r="M30" s="242">
        <f t="shared" si="4"/>
        <v>76.5</v>
      </c>
      <c r="N30" s="243"/>
      <c r="O30" s="253"/>
      <c r="P30" s="168" t="s">
        <v>7</v>
      </c>
      <c r="Q30" s="377"/>
      <c r="R30" s="247">
        <v>77</v>
      </c>
      <c r="S30" s="255" t="s">
        <v>7</v>
      </c>
      <c r="T30" s="245">
        <f t="shared" si="3"/>
        <v>0.5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/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8"/>
      <c r="R31" s="247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108</v>
      </c>
      <c r="B32" s="239">
        <f>$I$5</f>
        <v>768</v>
      </c>
      <c r="C32" s="456" t="str">
        <f>$A$5</f>
        <v>LK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0.1</v>
      </c>
      <c r="L32" s="168" t="s">
        <v>7</v>
      </c>
      <c r="M32" s="242">
        <f>K32*B32</f>
        <v>76.800000000000011</v>
      </c>
      <c r="N32" s="243"/>
      <c r="O32" s="242"/>
      <c r="P32" s="244" t="s">
        <v>7</v>
      </c>
      <c r="Q32" s="376">
        <v>46045</v>
      </c>
      <c r="R32" s="242">
        <v>77</v>
      </c>
      <c r="S32" s="244" t="s">
        <v>9</v>
      </c>
      <c r="T32" s="245">
        <f t="shared" si="3"/>
        <v>0.19999999999998863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765</v>
      </c>
      <c r="C33" s="456" t="str">
        <f>$A$6</f>
        <v>DG</v>
      </c>
      <c r="D33" s="456"/>
      <c r="E33" s="456"/>
      <c r="F33" s="456"/>
      <c r="G33" s="456"/>
      <c r="H33" s="456"/>
      <c r="I33" s="564"/>
      <c r="J33" s="240" t="s">
        <v>6</v>
      </c>
      <c r="K33" s="241">
        <v>0.1</v>
      </c>
      <c r="L33" s="168" t="s">
        <v>7</v>
      </c>
      <c r="M33" s="242">
        <f>K33*B33</f>
        <v>76.5</v>
      </c>
      <c r="N33" s="243"/>
      <c r="O33" s="253"/>
      <c r="P33" s="168" t="s">
        <v>7</v>
      </c>
      <c r="Q33" s="377"/>
      <c r="R33" s="247">
        <v>77</v>
      </c>
      <c r="S33" s="255" t="s">
        <v>9</v>
      </c>
      <c r="T33" s="245">
        <f t="shared" si="3"/>
        <v>0.5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/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768</v>
      </c>
      <c r="C35" s="465" t="str">
        <f>$A$5</f>
        <v>LK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765</v>
      </c>
      <c r="C36" s="465" t="str">
        <f>$A$6</f>
        <v>DG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86</v>
      </c>
      <c r="B38" s="239">
        <f>$I$5</f>
        <v>768</v>
      </c>
      <c r="C38" s="456" t="str">
        <f>$A$5</f>
        <v>LK</v>
      </c>
      <c r="D38" s="456"/>
      <c r="E38" s="456"/>
      <c r="F38" s="456"/>
      <c r="G38" s="456"/>
      <c r="H38" s="456"/>
      <c r="I38" s="457" t="s">
        <v>76</v>
      </c>
      <c r="J38" s="240"/>
      <c r="K38" s="308">
        <v>1.6</v>
      </c>
      <c r="L38" s="168" t="s">
        <v>7</v>
      </c>
      <c r="M38" s="242">
        <f t="shared" ref="M38:M43" si="7">K38*B38/50</f>
        <v>24.576000000000004</v>
      </c>
      <c r="N38" s="243"/>
      <c r="O38" s="242"/>
      <c r="P38" s="244" t="s">
        <v>7</v>
      </c>
      <c r="Q38" s="376">
        <v>46045</v>
      </c>
      <c r="R38" s="78">
        <v>25</v>
      </c>
      <c r="S38" s="244" t="s">
        <v>9</v>
      </c>
      <c r="T38" s="245">
        <f t="shared" si="3"/>
        <v>0.42399999999999594</v>
      </c>
      <c r="U38" s="246"/>
      <c r="V38" s="247"/>
      <c r="W38" s="242"/>
      <c r="X38" s="242"/>
      <c r="Y38" s="459" t="s">
        <v>94</v>
      </c>
      <c r="Z38" s="260"/>
      <c r="AA38" s="249"/>
      <c r="AB38" s="448" t="s">
        <v>238</v>
      </c>
    </row>
    <row r="39" spans="1:32" s="261" customFormat="1" ht="69.95" customHeight="1" x14ac:dyDescent="0.15">
      <c r="A39" s="464"/>
      <c r="B39" s="239">
        <f>$I$6</f>
        <v>765</v>
      </c>
      <c r="C39" s="456" t="str">
        <f>$A$6</f>
        <v>DG</v>
      </c>
      <c r="D39" s="456"/>
      <c r="E39" s="456"/>
      <c r="F39" s="456"/>
      <c r="G39" s="456"/>
      <c r="H39" s="456"/>
      <c r="I39" s="564"/>
      <c r="J39" s="240"/>
      <c r="K39" s="308">
        <v>1.6</v>
      </c>
      <c r="L39" s="168" t="s">
        <v>7</v>
      </c>
      <c r="M39" s="242">
        <f t="shared" si="7"/>
        <v>24.48</v>
      </c>
      <c r="N39" s="243"/>
      <c r="O39" s="253"/>
      <c r="P39" s="168" t="s">
        <v>7</v>
      </c>
      <c r="Q39" s="377"/>
      <c r="R39" s="137">
        <v>25</v>
      </c>
      <c r="S39" s="255" t="s">
        <v>9</v>
      </c>
      <c r="T39" s="245">
        <f t="shared" si="3"/>
        <v>0.51999999999999957</v>
      </c>
      <c r="U39" s="256"/>
      <c r="V39" s="256"/>
      <c r="W39" s="257"/>
      <c r="X39" s="258"/>
      <c r="Y39" s="565"/>
      <c r="Z39" s="259"/>
      <c r="AA39" s="249"/>
      <c r="AB39" s="449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262"/>
      <c r="L40" s="168" t="s">
        <v>7</v>
      </c>
      <c r="M40" s="242">
        <f t="shared" si="7"/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450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768</v>
      </c>
      <c r="C41" s="465" t="str">
        <f>$A$5</f>
        <v>LK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765</v>
      </c>
      <c r="C42" s="465" t="str">
        <f>$A$6</f>
        <v>DG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768</v>
      </c>
      <c r="C44" s="456" t="str">
        <f>$A$5</f>
        <v>LK</v>
      </c>
      <c r="D44" s="456"/>
      <c r="E44" s="456"/>
      <c r="F44" s="456" t="str">
        <f>$A$5</f>
        <v>LK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39.936</v>
      </c>
      <c r="N44" s="243"/>
      <c r="O44" s="242"/>
      <c r="P44" s="244" t="s">
        <v>10</v>
      </c>
      <c r="Q44" s="443">
        <v>46045</v>
      </c>
      <c r="R44" s="242">
        <v>40</v>
      </c>
      <c r="S44" s="244" t="s">
        <v>10</v>
      </c>
      <c r="T44" s="245">
        <f t="shared" si="3"/>
        <v>6.4000000000000057E-2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238</v>
      </c>
    </row>
    <row r="45" spans="1:32" s="176" customFormat="1" ht="69.95" customHeight="1" x14ac:dyDescent="0.15">
      <c r="A45" s="559"/>
      <c r="B45" s="264">
        <f>$I$6</f>
        <v>765</v>
      </c>
      <c r="C45" s="413" t="str">
        <f>$A$6</f>
        <v>DG</v>
      </c>
      <c r="D45" s="414"/>
      <c r="E45" s="415"/>
      <c r="F45" s="413" t="str">
        <f>$A$6</f>
        <v>DG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39.78</v>
      </c>
      <c r="N45" s="267"/>
      <c r="O45" s="268"/>
      <c r="P45" s="266" t="s">
        <v>10</v>
      </c>
      <c r="Q45" s="447"/>
      <c r="R45" s="269">
        <v>40</v>
      </c>
      <c r="S45" s="252" t="s">
        <v>10</v>
      </c>
      <c r="T45" s="270">
        <f t="shared" si="3"/>
        <v>0.21999999999999886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/>
      <c r="L46" s="266" t="s">
        <v>61</v>
      </c>
      <c r="M46" s="242">
        <f t="shared" si="8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768</v>
      </c>
      <c r="C47" s="456" t="str">
        <f>$A$5</f>
        <v>LK</v>
      </c>
      <c r="D47" s="456"/>
      <c r="E47" s="456"/>
      <c r="F47" s="456" t="str">
        <f>$A$5</f>
        <v>LK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42.24</v>
      </c>
      <c r="N47" s="243"/>
      <c r="O47" s="242"/>
      <c r="P47" s="244" t="s">
        <v>10</v>
      </c>
      <c r="Q47" s="447"/>
      <c r="R47" s="242">
        <v>43</v>
      </c>
      <c r="S47" s="244" t="s">
        <v>10</v>
      </c>
      <c r="T47" s="245">
        <f t="shared" si="3"/>
        <v>0.75999999999999801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765</v>
      </c>
      <c r="C48" s="413" t="str">
        <f>$A$6</f>
        <v>DG</v>
      </c>
      <c r="D48" s="414"/>
      <c r="E48" s="415"/>
      <c r="F48" s="413" t="str">
        <f>$A$6</f>
        <v>DG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42.075000000000003</v>
      </c>
      <c r="N48" s="267"/>
      <c r="O48" s="268"/>
      <c r="P48" s="266" t="s">
        <v>10</v>
      </c>
      <c r="Q48" s="447"/>
      <c r="R48" s="269">
        <v>43</v>
      </c>
      <c r="S48" s="252" t="s">
        <v>10</v>
      </c>
      <c r="T48" s="270">
        <f t="shared" si="3"/>
        <v>0.92499999999999716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>
        <f>$A$7</f>
        <v>0</v>
      </c>
      <c r="G49" s="414"/>
      <c r="H49" s="415"/>
      <c r="I49" s="458"/>
      <c r="J49" s="265"/>
      <c r="K49" s="263"/>
      <c r="L49" s="266" t="s">
        <v>61</v>
      </c>
      <c r="M49" s="242">
        <f t="shared" si="9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208</v>
      </c>
      <c r="B50" s="182">
        <f>$I$5</f>
        <v>768</v>
      </c>
      <c r="C50" s="461" t="str">
        <f>$A$5</f>
        <v>LK</v>
      </c>
      <c r="D50" s="461"/>
      <c r="E50" s="461"/>
      <c r="F50" s="461" t="str">
        <f>$A$5</f>
        <v>LK</v>
      </c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9"/>
        <v>1.92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si="3"/>
        <v>8.0000000000000071E-2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765</v>
      </c>
      <c r="C51" s="395" t="str">
        <f>$A$6</f>
        <v>DG</v>
      </c>
      <c r="D51" s="396"/>
      <c r="E51" s="397"/>
      <c r="F51" s="395" t="str">
        <f>$A$6</f>
        <v>DG</v>
      </c>
      <c r="G51" s="396"/>
      <c r="H51" s="397"/>
      <c r="I51" s="563"/>
      <c r="J51" s="144"/>
      <c r="K51" s="139">
        <v>10</v>
      </c>
      <c r="L51" s="145" t="s">
        <v>61</v>
      </c>
      <c r="M51" s="78">
        <f t="shared" si="9"/>
        <v>1.9125000000000001</v>
      </c>
      <c r="N51" s="146"/>
      <c r="O51" s="147"/>
      <c r="P51" s="145" t="s">
        <v>10</v>
      </c>
      <c r="Q51" s="447"/>
      <c r="R51" s="161">
        <v>2</v>
      </c>
      <c r="S51" s="148" t="s">
        <v>10</v>
      </c>
      <c r="T51" s="84">
        <f t="shared" si="3"/>
        <v>8.7499999999999911E-2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 t="str">
        <f>$A$6</f>
        <v>DG</v>
      </c>
      <c r="G52" s="396"/>
      <c r="H52" s="397"/>
      <c r="I52" s="442"/>
      <c r="J52" s="144"/>
      <c r="K52" s="139"/>
      <c r="L52" s="145" t="s">
        <v>61</v>
      </c>
      <c r="M52" s="78">
        <f t="shared" si="9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139</v>
      </c>
      <c r="B53" s="191">
        <f t="shared" ref="B53" si="10">$I$5</f>
        <v>768</v>
      </c>
      <c r="C53" s="422" t="str">
        <f t="shared" ref="C53" si="11">$A$5</f>
        <v>LK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ref="M53:M73" si="12">K53*B53</f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140</v>
      </c>
      <c r="Z53" s="231"/>
      <c r="AA53" s="232"/>
      <c r="AB53" s="439"/>
    </row>
    <row r="54" spans="1:32" s="206" customFormat="1" ht="69.95" customHeight="1" x14ac:dyDescent="0.15">
      <c r="A54" s="559"/>
      <c r="B54" s="204">
        <f>$I$6</f>
        <v>765</v>
      </c>
      <c r="C54" s="453" t="str">
        <f>$A$6</f>
        <v>DG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2"/>
        <v>0</v>
      </c>
      <c r="N54" s="233"/>
      <c r="O54" s="195"/>
      <c r="P54" s="194" t="s">
        <v>65</v>
      </c>
      <c r="Q54" s="561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562"/>
      <c r="Z54" s="201"/>
      <c r="AA54" s="202"/>
      <c r="AB54" s="558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91">
        <f>$I$7</f>
        <v>0</v>
      </c>
      <c r="C55" s="465">
        <f>$A$7</f>
        <v>0</v>
      </c>
      <c r="D55" s="465"/>
      <c r="E55" s="465"/>
      <c r="F55" s="425"/>
      <c r="G55" s="423"/>
      <c r="H55" s="424"/>
      <c r="I55" s="207"/>
      <c r="J55" s="192"/>
      <c r="K55" s="193"/>
      <c r="L55" s="194" t="s">
        <v>65</v>
      </c>
      <c r="M55" s="195">
        <f t="shared" si="12"/>
        <v>0</v>
      </c>
      <c r="N55" s="233"/>
      <c r="O55" s="195"/>
      <c r="P55" s="194" t="s">
        <v>65</v>
      </c>
      <c r="Q55" s="436"/>
      <c r="R55" s="195"/>
      <c r="S55" s="194" t="s">
        <v>65</v>
      </c>
      <c r="T55" s="198">
        <f t="shared" si="3"/>
        <v>0</v>
      </c>
      <c r="U55" s="199"/>
      <c r="V55" s="200"/>
      <c r="W55" s="195"/>
      <c r="X55" s="195"/>
      <c r="Y55" s="438"/>
      <c r="Z55" s="201"/>
      <c r="AA55" s="202"/>
      <c r="AB55" s="440"/>
      <c r="AC55" s="234"/>
      <c r="AD55" s="230"/>
      <c r="AE55" s="230"/>
      <c r="AF55" s="230"/>
    </row>
    <row r="56" spans="1:32" s="55" customFormat="1" ht="69.95" customHeight="1" x14ac:dyDescent="0.15">
      <c r="A56" s="431" t="s">
        <v>100</v>
      </c>
      <c r="B56" s="182">
        <f t="shared" ref="B56:B62" si="13">$I$5</f>
        <v>768</v>
      </c>
      <c r="C56" s="368" t="str">
        <f t="shared" ref="C56:C62" si="14">$A$5</f>
        <v>LK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768</v>
      </c>
      <c r="N56" s="79"/>
      <c r="O56" s="78"/>
      <c r="P56" s="80" t="s">
        <v>63</v>
      </c>
      <c r="Q56" s="443">
        <v>46045</v>
      </c>
      <c r="R56" s="78">
        <v>768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241</v>
      </c>
    </row>
    <row r="57" spans="1:32" s="55" customFormat="1" ht="69.95" customHeight="1" x14ac:dyDescent="0.15">
      <c r="A57" s="559"/>
      <c r="B57" s="186">
        <f>$I$6</f>
        <v>765</v>
      </c>
      <c r="C57" s="395" t="str">
        <f>$A$6</f>
        <v>DG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765</v>
      </c>
      <c r="N57" s="140"/>
      <c r="O57" s="78"/>
      <c r="P57" s="80" t="s">
        <v>63</v>
      </c>
      <c r="Q57" s="447"/>
      <c r="R57" s="78">
        <v>765</v>
      </c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461">
        <f>$A$7</f>
        <v>0</v>
      </c>
      <c r="D58" s="461"/>
      <c r="E58" s="461"/>
      <c r="F58" s="428"/>
      <c r="G58" s="369"/>
      <c r="H58" s="370"/>
      <c r="I58" s="442"/>
      <c r="J58" s="76"/>
      <c r="K58" s="139"/>
      <c r="L58" s="77" t="s">
        <v>63</v>
      </c>
      <c r="M58" s="78">
        <f t="shared" si="12"/>
        <v>0</v>
      </c>
      <c r="N58" s="140"/>
      <c r="O58" s="78"/>
      <c r="P58" s="80" t="s">
        <v>63</v>
      </c>
      <c r="Q58" s="447"/>
      <c r="R58" s="78"/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103</v>
      </c>
      <c r="B59" s="182">
        <f t="shared" ref="B59" si="15">$I$5</f>
        <v>768</v>
      </c>
      <c r="C59" s="368" t="str">
        <f t="shared" ref="C59" si="16">$A$5</f>
        <v>LK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768</v>
      </c>
      <c r="N59" s="79"/>
      <c r="O59" s="78"/>
      <c r="P59" s="80" t="s">
        <v>65</v>
      </c>
      <c r="Q59" s="447"/>
      <c r="R59" s="78">
        <v>768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765</v>
      </c>
      <c r="C60" s="368" t="str">
        <f>$A$6</f>
        <v>DG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765</v>
      </c>
      <c r="N60" s="140"/>
      <c r="O60" s="78"/>
      <c r="P60" s="80" t="s">
        <v>65</v>
      </c>
      <c r="Q60" s="447"/>
      <c r="R60" s="78">
        <v>765</v>
      </c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368">
        <f>$A$7</f>
        <v>0</v>
      </c>
      <c r="D61" s="369"/>
      <c r="E61" s="370"/>
      <c r="F61" s="428"/>
      <c r="G61" s="429"/>
      <c r="H61" s="430"/>
      <c r="I61" s="75"/>
      <c r="J61" s="76"/>
      <c r="K61" s="139"/>
      <c r="L61" s="77" t="s">
        <v>65</v>
      </c>
      <c r="M61" s="78">
        <f t="shared" si="12"/>
        <v>0</v>
      </c>
      <c r="N61" s="140"/>
      <c r="O61" s="78"/>
      <c r="P61" s="80" t="s">
        <v>65</v>
      </c>
      <c r="Q61" s="444"/>
      <c r="R61" s="78"/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90</v>
      </c>
      <c r="B62" s="191">
        <f t="shared" si="13"/>
        <v>768</v>
      </c>
      <c r="C62" s="422" t="str">
        <f t="shared" si="14"/>
        <v>LK</v>
      </c>
      <c r="D62" s="423"/>
      <c r="E62" s="424"/>
      <c r="F62" s="425"/>
      <c r="G62" s="426"/>
      <c r="H62" s="427"/>
      <c r="I62" s="207" t="s">
        <v>79</v>
      </c>
      <c r="J62" s="192"/>
      <c r="K62" s="193"/>
      <c r="L62" s="194" t="s">
        <v>63</v>
      </c>
      <c r="M62" s="195">
        <f t="shared" si="12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</row>
    <row r="63" spans="1:32" s="55" customFormat="1" ht="69.95" customHeight="1" x14ac:dyDescent="0.15">
      <c r="A63" s="559"/>
      <c r="B63" s="204">
        <f>$I$6</f>
        <v>765</v>
      </c>
      <c r="C63" s="422" t="str">
        <f>$A$6</f>
        <v>DG</v>
      </c>
      <c r="D63" s="423"/>
      <c r="E63" s="424"/>
      <c r="F63" s="425"/>
      <c r="G63" s="426"/>
      <c r="H63" s="427"/>
      <c r="I63" s="207" t="s">
        <v>79</v>
      </c>
      <c r="J63" s="192"/>
      <c r="K63" s="193"/>
      <c r="L63" s="194" t="s">
        <v>63</v>
      </c>
      <c r="M63" s="195">
        <f t="shared" si="12"/>
        <v>0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0</v>
      </c>
      <c r="U63" s="199"/>
      <c r="V63" s="200"/>
      <c r="W63" s="195"/>
      <c r="X63" s="195"/>
      <c r="Y63" s="562"/>
      <c r="Z63" s="201"/>
      <c r="AA63" s="202"/>
      <c r="AB63" s="558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91">
        <f>$I$7</f>
        <v>0</v>
      </c>
      <c r="C64" s="465">
        <f>$A$7</f>
        <v>0</v>
      </c>
      <c r="D64" s="465"/>
      <c r="E64" s="465"/>
      <c r="F64" s="425"/>
      <c r="G64" s="426"/>
      <c r="H64" s="427"/>
      <c r="I64" s="207" t="s">
        <v>79</v>
      </c>
      <c r="J64" s="192"/>
      <c r="K64" s="193"/>
      <c r="L64" s="194" t="s">
        <v>63</v>
      </c>
      <c r="M64" s="195">
        <f t="shared" si="12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142"/>
      <c r="AD64" s="179"/>
      <c r="AE64" s="179"/>
      <c r="AF64" s="179"/>
    </row>
    <row r="65" spans="1:32" s="55" customFormat="1" ht="69.95" customHeight="1" x14ac:dyDescent="0.15">
      <c r="A65" s="431" t="s">
        <v>91</v>
      </c>
      <c r="B65" s="182">
        <f t="shared" ref="B65" si="17">$I$5</f>
        <v>768</v>
      </c>
      <c r="C65" s="368" t="str">
        <f t="shared" ref="C65" si="18">$A$5</f>
        <v>LK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768</v>
      </c>
      <c r="N65" s="79"/>
      <c r="O65" s="78"/>
      <c r="P65" s="80" t="s">
        <v>63</v>
      </c>
      <c r="Q65" s="443">
        <v>46045</v>
      </c>
      <c r="R65" s="78">
        <v>768</v>
      </c>
      <c r="S65" s="80" t="s">
        <v>63</v>
      </c>
      <c r="T65" s="84">
        <f t="shared" si="3"/>
        <v>0</v>
      </c>
      <c r="U65" s="82"/>
      <c r="V65" s="82"/>
      <c r="W65" s="83"/>
      <c r="X65" s="81"/>
      <c r="Y65" s="445" t="s">
        <v>64</v>
      </c>
      <c r="Z65" s="86"/>
      <c r="AA65" s="85"/>
      <c r="AB65" s="360" t="s">
        <v>241</v>
      </c>
    </row>
    <row r="66" spans="1:32" s="55" customFormat="1" ht="69.95" customHeight="1" x14ac:dyDescent="0.15">
      <c r="A66" s="559"/>
      <c r="B66" s="186">
        <f>$I$6</f>
        <v>765</v>
      </c>
      <c r="C66" s="368" t="str">
        <f>$A$6</f>
        <v>DG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765</v>
      </c>
      <c r="N66" s="140"/>
      <c r="O66" s="78"/>
      <c r="P66" s="80" t="s">
        <v>63</v>
      </c>
      <c r="Q66" s="447"/>
      <c r="R66" s="78">
        <v>765</v>
      </c>
      <c r="S66" s="80" t="s">
        <v>63</v>
      </c>
      <c r="T66" s="81">
        <f t="shared" si="3"/>
        <v>0</v>
      </c>
      <c r="U66" s="82"/>
      <c r="V66" s="137"/>
      <c r="W66" s="78"/>
      <c r="X66" s="78"/>
      <c r="Y66" s="557"/>
      <c r="Z66" s="141"/>
      <c r="AA66" s="135"/>
      <c r="AB66" s="361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0</v>
      </c>
      <c r="C67" s="456">
        <f>$A$7</f>
        <v>0</v>
      </c>
      <c r="D67" s="456"/>
      <c r="E67" s="456"/>
      <c r="F67" s="428"/>
      <c r="G67" s="429"/>
      <c r="H67" s="430"/>
      <c r="I67" s="442"/>
      <c r="J67" s="76"/>
      <c r="K67" s="139"/>
      <c r="L67" s="77" t="s">
        <v>63</v>
      </c>
      <c r="M67" s="78">
        <f t="shared" si="12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362"/>
      <c r="AC67" s="142"/>
      <c r="AD67" s="179"/>
      <c r="AE67" s="179"/>
      <c r="AF67" s="179"/>
    </row>
    <row r="68" spans="1:32" s="55" customFormat="1" ht="69.95" customHeight="1" x14ac:dyDescent="0.15">
      <c r="A68" s="431" t="s">
        <v>164</v>
      </c>
      <c r="B68" s="182">
        <f t="shared" ref="B68" si="19">$I$5</f>
        <v>768</v>
      </c>
      <c r="C68" s="368" t="str">
        <f t="shared" ref="C68" si="20">$A$5</f>
        <v>LK</v>
      </c>
      <c r="D68" s="369"/>
      <c r="E68" s="370"/>
      <c r="F68" s="428"/>
      <c r="G68" s="429"/>
      <c r="H68" s="430"/>
      <c r="I68" s="441" t="s">
        <v>102</v>
      </c>
      <c r="J68" s="76"/>
      <c r="K68" s="136">
        <v>0.56000000000000005</v>
      </c>
      <c r="L68" s="77" t="s">
        <v>129</v>
      </c>
      <c r="M68" s="78">
        <f t="shared" si="12"/>
        <v>430.08000000000004</v>
      </c>
      <c r="N68" s="79"/>
      <c r="O68" s="78"/>
      <c r="P68" s="80" t="s">
        <v>63</v>
      </c>
      <c r="Q68" s="443">
        <v>46045</v>
      </c>
      <c r="R68" s="78">
        <v>450</v>
      </c>
      <c r="S68" s="80" t="s">
        <v>63</v>
      </c>
      <c r="T68" s="84">
        <f t="shared" si="3"/>
        <v>19.919999999999959</v>
      </c>
      <c r="U68" s="82"/>
      <c r="V68" s="82"/>
      <c r="W68" s="83"/>
      <c r="X68" s="81"/>
      <c r="Y68" s="445" t="s">
        <v>130</v>
      </c>
      <c r="Z68" s="86"/>
      <c r="AA68" s="85"/>
      <c r="AB68" s="360" t="s">
        <v>241</v>
      </c>
    </row>
    <row r="69" spans="1:32" s="55" customFormat="1" ht="69.95" customHeight="1" x14ac:dyDescent="0.15">
      <c r="A69" s="559"/>
      <c r="B69" s="186">
        <f>$I$6</f>
        <v>765</v>
      </c>
      <c r="C69" s="368" t="str">
        <f>$A$6</f>
        <v>DG</v>
      </c>
      <c r="D69" s="369"/>
      <c r="E69" s="370"/>
      <c r="F69" s="428"/>
      <c r="G69" s="429"/>
      <c r="H69" s="430"/>
      <c r="I69" s="563"/>
      <c r="J69" s="76"/>
      <c r="K69" s="136">
        <v>0.56000000000000005</v>
      </c>
      <c r="L69" s="77" t="s">
        <v>129</v>
      </c>
      <c r="M69" s="78">
        <f t="shared" si="12"/>
        <v>428.40000000000003</v>
      </c>
      <c r="N69" s="140"/>
      <c r="O69" s="78"/>
      <c r="P69" s="80" t="s">
        <v>63</v>
      </c>
      <c r="Q69" s="447"/>
      <c r="R69" s="78">
        <v>450</v>
      </c>
      <c r="S69" s="80" t="s">
        <v>63</v>
      </c>
      <c r="T69" s="81">
        <f t="shared" si="3"/>
        <v>21.599999999999966</v>
      </c>
      <c r="U69" s="82"/>
      <c r="V69" s="137"/>
      <c r="W69" s="78"/>
      <c r="X69" s="78"/>
      <c r="Y69" s="557"/>
      <c r="Z69" s="141"/>
      <c r="AA69" s="135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432"/>
      <c r="B70" s="182">
        <f>$I$7</f>
        <v>0</v>
      </c>
      <c r="C70" s="461">
        <f>$A$7</f>
        <v>0</v>
      </c>
      <c r="D70" s="461"/>
      <c r="E70" s="461"/>
      <c r="F70" s="428"/>
      <c r="G70" s="429"/>
      <c r="H70" s="430"/>
      <c r="I70" s="442"/>
      <c r="J70" s="76"/>
      <c r="K70" s="136"/>
      <c r="L70" s="77" t="s">
        <v>129</v>
      </c>
      <c r="M70" s="78">
        <f t="shared" si="12"/>
        <v>0</v>
      </c>
      <c r="N70" s="140"/>
      <c r="O70" s="78"/>
      <c r="P70" s="80" t="s">
        <v>63</v>
      </c>
      <c r="Q70" s="444"/>
      <c r="R70" s="78"/>
      <c r="S70" s="80" t="s">
        <v>63</v>
      </c>
      <c r="T70" s="81">
        <f t="shared" si="3"/>
        <v>0</v>
      </c>
      <c r="U70" s="82"/>
      <c r="V70" s="137"/>
      <c r="W70" s="78"/>
      <c r="X70" s="78"/>
      <c r="Y70" s="446"/>
      <c r="Z70" s="141"/>
      <c r="AA70" s="135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431" t="s">
        <v>141</v>
      </c>
      <c r="B71" s="191">
        <f t="shared" ref="B71" si="21">$I$5</f>
        <v>768</v>
      </c>
      <c r="C71" s="422" t="str">
        <f t="shared" ref="C71" si="22">$A$5</f>
        <v>LK</v>
      </c>
      <c r="D71" s="423"/>
      <c r="E71" s="424"/>
      <c r="F71" s="425"/>
      <c r="G71" s="426"/>
      <c r="H71" s="427"/>
      <c r="I71" s="433" t="s">
        <v>204</v>
      </c>
      <c r="J71" s="192"/>
      <c r="K71" s="209"/>
      <c r="L71" s="194" t="s">
        <v>129</v>
      </c>
      <c r="M71" s="195">
        <f t="shared" si="12"/>
        <v>0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0</v>
      </c>
      <c r="U71" s="199"/>
      <c r="V71" s="199"/>
      <c r="W71" s="208"/>
      <c r="X71" s="198"/>
      <c r="Y71" s="437" t="s">
        <v>130</v>
      </c>
      <c r="Z71" s="231"/>
      <c r="AA71" s="232"/>
      <c r="AB71" s="439"/>
    </row>
    <row r="72" spans="1:32" s="55" customFormat="1" ht="69.95" customHeight="1" x14ac:dyDescent="0.15">
      <c r="A72" s="559"/>
      <c r="B72" s="204">
        <f>$I$6</f>
        <v>765</v>
      </c>
      <c r="C72" s="422" t="str">
        <f>$A$6</f>
        <v>DG</v>
      </c>
      <c r="D72" s="423"/>
      <c r="E72" s="424"/>
      <c r="F72" s="425"/>
      <c r="G72" s="426"/>
      <c r="H72" s="427"/>
      <c r="I72" s="560"/>
      <c r="J72" s="192"/>
      <c r="K72" s="209"/>
      <c r="L72" s="194" t="s">
        <v>129</v>
      </c>
      <c r="M72" s="195">
        <f t="shared" si="12"/>
        <v>0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0</v>
      </c>
      <c r="U72" s="199"/>
      <c r="V72" s="200"/>
      <c r="W72" s="195"/>
      <c r="X72" s="195"/>
      <c r="Y72" s="562"/>
      <c r="Z72" s="201"/>
      <c r="AA72" s="202"/>
      <c r="AB72" s="558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91">
        <f>$I$7</f>
        <v>0</v>
      </c>
      <c r="C73" s="465">
        <f>$A$7</f>
        <v>0</v>
      </c>
      <c r="D73" s="465"/>
      <c r="E73" s="465"/>
      <c r="F73" s="425"/>
      <c r="G73" s="426"/>
      <c r="H73" s="427"/>
      <c r="I73" s="434"/>
      <c r="J73" s="192"/>
      <c r="K73" s="209"/>
      <c r="L73" s="194" t="s">
        <v>129</v>
      </c>
      <c r="M73" s="195">
        <f t="shared" si="12"/>
        <v>0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0</v>
      </c>
      <c r="U73" s="199"/>
      <c r="V73" s="200"/>
      <c r="W73" s="195"/>
      <c r="X73" s="195"/>
      <c r="Y73" s="438"/>
      <c r="Z73" s="201"/>
      <c r="AA73" s="202"/>
      <c r="AB73" s="440"/>
      <c r="AC73" s="142"/>
      <c r="AD73" s="179"/>
      <c r="AE73" s="179"/>
      <c r="AF73" s="179"/>
    </row>
    <row r="74" spans="1:32" s="206" customFormat="1" ht="69.95" customHeight="1" x14ac:dyDescent="0.15">
      <c r="A74" s="431" t="s">
        <v>120</v>
      </c>
      <c r="B74" s="191">
        <f t="shared" ref="B74" si="23">$I$5</f>
        <v>768</v>
      </c>
      <c r="C74" s="422" t="str">
        <f t="shared" ref="C74" si="24">$A$5</f>
        <v>LK</v>
      </c>
      <c r="D74" s="423"/>
      <c r="E74" s="424"/>
      <c r="F74" s="425"/>
      <c r="G74" s="426"/>
      <c r="H74" s="427"/>
      <c r="I74" s="433" t="s">
        <v>75</v>
      </c>
      <c r="J74" s="192"/>
      <c r="K74" s="193"/>
      <c r="L74" s="194" t="s">
        <v>63</v>
      </c>
      <c r="M74" s="195">
        <f t="shared" si="4"/>
        <v>0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0</v>
      </c>
      <c r="U74" s="199"/>
      <c r="V74" s="199"/>
      <c r="W74" s="208"/>
      <c r="X74" s="198"/>
      <c r="Y74" s="437" t="s">
        <v>64</v>
      </c>
      <c r="Z74" s="231"/>
      <c r="AA74" s="232"/>
      <c r="AB74" s="439"/>
    </row>
    <row r="75" spans="1:32" s="206" customFormat="1" ht="69.95" customHeight="1" x14ac:dyDescent="0.15">
      <c r="A75" s="559"/>
      <c r="B75" s="204">
        <f>$I$6</f>
        <v>765</v>
      </c>
      <c r="C75" s="422" t="str">
        <f>$A$6</f>
        <v>DG</v>
      </c>
      <c r="D75" s="423"/>
      <c r="E75" s="424"/>
      <c r="F75" s="425"/>
      <c r="G75" s="426"/>
      <c r="H75" s="427"/>
      <c r="I75" s="560"/>
      <c r="J75" s="192"/>
      <c r="K75" s="193"/>
      <c r="L75" s="194" t="s">
        <v>63</v>
      </c>
      <c r="M75" s="195">
        <f t="shared" si="4"/>
        <v>0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0</v>
      </c>
      <c r="U75" s="199"/>
      <c r="V75" s="200"/>
      <c r="W75" s="195"/>
      <c r="X75" s="195"/>
      <c r="Y75" s="562"/>
      <c r="Z75" s="201"/>
      <c r="AA75" s="202"/>
      <c r="AB75" s="558"/>
      <c r="AC75" s="234"/>
      <c r="AD75" s="230"/>
      <c r="AE75" s="230"/>
      <c r="AF75" s="230"/>
    </row>
    <row r="76" spans="1:32" s="206" customFormat="1" ht="69.95" customHeight="1" x14ac:dyDescent="0.15">
      <c r="A76" s="432"/>
      <c r="B76" s="191">
        <f>$I$7</f>
        <v>0</v>
      </c>
      <c r="C76" s="465">
        <f>$A$7</f>
        <v>0</v>
      </c>
      <c r="D76" s="465"/>
      <c r="E76" s="465"/>
      <c r="F76" s="425"/>
      <c r="G76" s="426"/>
      <c r="H76" s="427"/>
      <c r="I76" s="434"/>
      <c r="J76" s="192"/>
      <c r="K76" s="193"/>
      <c r="L76" s="194" t="s">
        <v>63</v>
      </c>
      <c r="M76" s="195">
        <f t="shared" si="4"/>
        <v>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0</v>
      </c>
      <c r="U76" s="199"/>
      <c r="V76" s="200"/>
      <c r="W76" s="195"/>
      <c r="X76" s="195"/>
      <c r="Y76" s="438"/>
      <c r="Z76" s="201"/>
      <c r="AA76" s="202"/>
      <c r="AB76" s="440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650</v>
      </c>
      <c r="C77" s="407" t="e">
        <f>#REF!</f>
        <v>#REF!</v>
      </c>
      <c r="D77" s="408"/>
      <c r="E77" s="409"/>
      <c r="F77" s="371"/>
      <c r="G77" s="372"/>
      <c r="H77" s="373"/>
      <c r="I77" s="276"/>
      <c r="J77" s="255"/>
      <c r="K77" s="263">
        <v>1</v>
      </c>
      <c r="L77" s="168" t="s">
        <v>63</v>
      </c>
      <c r="M77" s="169">
        <f t="shared" si="4"/>
        <v>650</v>
      </c>
      <c r="N77" s="171"/>
      <c r="O77" s="277"/>
      <c r="P77" s="169" t="s">
        <v>63</v>
      </c>
      <c r="Q77" s="376">
        <v>46045</v>
      </c>
      <c r="R77" s="277">
        <v>650</v>
      </c>
      <c r="S77" s="169" t="s">
        <v>63</v>
      </c>
      <c r="T77" s="278">
        <f t="shared" si="3"/>
        <v>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241</v>
      </c>
    </row>
    <row r="78" spans="1:32" s="176" customFormat="1" ht="54.95" customHeight="1" x14ac:dyDescent="0.15">
      <c r="A78" s="387"/>
      <c r="B78" s="164">
        <f>D11</f>
        <v>690</v>
      </c>
      <c r="C78" s="410"/>
      <c r="D78" s="411"/>
      <c r="E78" s="412"/>
      <c r="F78" s="371"/>
      <c r="G78" s="372"/>
      <c r="H78" s="373"/>
      <c r="I78" s="276"/>
      <c r="J78" s="255"/>
      <c r="K78" s="167">
        <v>1</v>
      </c>
      <c r="L78" s="168" t="s">
        <v>63</v>
      </c>
      <c r="M78" s="169">
        <f t="shared" si="4"/>
        <v>690</v>
      </c>
      <c r="N78" s="171"/>
      <c r="O78" s="277"/>
      <c r="P78" s="169" t="s">
        <v>63</v>
      </c>
      <c r="Q78" s="377"/>
      <c r="R78" s="277">
        <v>690</v>
      </c>
      <c r="S78" s="169" t="s">
        <v>63</v>
      </c>
      <c r="T78" s="278">
        <f t="shared" si="3"/>
        <v>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193</v>
      </c>
      <c r="C79" s="410"/>
      <c r="D79" s="411"/>
      <c r="E79" s="412"/>
      <c r="F79" s="371"/>
      <c r="G79" s="372"/>
      <c r="H79" s="373"/>
      <c r="I79" s="276"/>
      <c r="J79" s="255"/>
      <c r="K79" s="167">
        <v>1</v>
      </c>
      <c r="L79" s="168" t="s">
        <v>63</v>
      </c>
      <c r="M79" s="169">
        <f t="shared" si="4"/>
        <v>193</v>
      </c>
      <c r="N79" s="171"/>
      <c r="O79" s="277"/>
      <c r="P79" s="169" t="s">
        <v>63</v>
      </c>
      <c r="Q79" s="377"/>
      <c r="R79" s="277">
        <v>193</v>
      </c>
      <c r="S79" s="169" t="s">
        <v>63</v>
      </c>
      <c r="T79" s="278">
        <f t="shared" si="3"/>
        <v>0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/>
      <c r="G80" s="372"/>
      <c r="H80" s="373"/>
      <c r="I80" s="276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/>
      <c r="G81" s="372"/>
      <c r="H81" s="373"/>
      <c r="I81" s="27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68</v>
      </c>
      <c r="B82" s="164">
        <f>C5+C8</f>
        <v>330</v>
      </c>
      <c r="C82" s="456" t="str">
        <f>A5</f>
        <v>LK</v>
      </c>
      <c r="D82" s="456"/>
      <c r="E82" s="456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330</v>
      </c>
      <c r="N82" s="171"/>
      <c r="O82" s="277"/>
      <c r="P82" s="169" t="s">
        <v>63</v>
      </c>
      <c r="Q82" s="376">
        <v>46045</v>
      </c>
      <c r="R82" s="277">
        <v>330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241</v>
      </c>
    </row>
    <row r="83" spans="1:28" s="176" customFormat="1" ht="54.95" customHeight="1" x14ac:dyDescent="0.15">
      <c r="A83" s="387"/>
      <c r="B83" s="164">
        <f>D5+D8</f>
        <v>350</v>
      </c>
      <c r="C83" s="456"/>
      <c r="D83" s="456"/>
      <c r="E83" s="456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350</v>
      </c>
      <c r="N83" s="171"/>
      <c r="O83" s="277"/>
      <c r="P83" s="169" t="s">
        <v>63</v>
      </c>
      <c r="Q83" s="377"/>
      <c r="R83" s="277">
        <v>350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88</v>
      </c>
      <c r="C84" s="456"/>
      <c r="D84" s="456"/>
      <c r="E84" s="456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88</v>
      </c>
      <c r="N84" s="171"/>
      <c r="O84" s="277"/>
      <c r="P84" s="169" t="s">
        <v>63</v>
      </c>
      <c r="Q84" s="377"/>
      <c r="R84" s="277">
        <v>88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320</v>
      </c>
      <c r="C85" s="456" t="str">
        <f>A6</f>
        <v>DG</v>
      </c>
      <c r="D85" s="456"/>
      <c r="E85" s="456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320</v>
      </c>
      <c r="N85" s="171"/>
      <c r="O85" s="277"/>
      <c r="P85" s="169" t="s">
        <v>63</v>
      </c>
      <c r="Q85" s="377"/>
      <c r="R85" s="168">
        <v>320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340</v>
      </c>
      <c r="C86" s="456"/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ref="M86:M106" si="25">K86*B86</f>
        <v>340</v>
      </c>
      <c r="N86" s="171"/>
      <c r="O86" s="277"/>
      <c r="P86" s="169" t="s">
        <v>63</v>
      </c>
      <c r="Q86" s="377"/>
      <c r="R86" s="168">
        <v>340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105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25"/>
        <v>105</v>
      </c>
      <c r="N87" s="171"/>
      <c r="O87" s="277"/>
      <c r="P87" s="169" t="s">
        <v>63</v>
      </c>
      <c r="Q87" s="377"/>
      <c r="R87" s="277">
        <v>105</v>
      </c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0</v>
      </c>
      <c r="C88" s="456">
        <f>A7</f>
        <v>0</v>
      </c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25"/>
        <v>0</v>
      </c>
      <c r="N88" s="171"/>
      <c r="O88" s="277"/>
      <c r="P88" s="169" t="s">
        <v>63</v>
      </c>
      <c r="Q88" s="377"/>
      <c r="R88" s="277"/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0</v>
      </c>
      <c r="C89" s="456"/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25"/>
        <v>0</v>
      </c>
      <c r="N89" s="171"/>
      <c r="O89" s="277"/>
      <c r="P89" s="169" t="s">
        <v>63</v>
      </c>
      <c r="Q89" s="377"/>
      <c r="R89" s="277"/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25"/>
        <v>0</v>
      </c>
      <c r="N90" s="171"/>
      <c r="O90" s="277"/>
      <c r="P90" s="169" t="s">
        <v>63</v>
      </c>
      <c r="Q90" s="378"/>
      <c r="R90" s="168"/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330</v>
      </c>
      <c r="C91" s="456" t="str">
        <f>A5</f>
        <v>LK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330</v>
      </c>
      <c r="N91" s="171"/>
      <c r="O91" s="277"/>
      <c r="P91" s="169" t="s">
        <v>63</v>
      </c>
      <c r="Q91" s="376">
        <v>46045</v>
      </c>
      <c r="R91" s="277">
        <v>330</v>
      </c>
      <c r="S91" s="169" t="s">
        <v>63</v>
      </c>
      <c r="T91" s="278">
        <f t="shared" si="3"/>
        <v>0</v>
      </c>
      <c r="U91" s="281"/>
      <c r="V91" s="282"/>
      <c r="W91" s="278"/>
      <c r="X91" s="278"/>
      <c r="Y91" s="374" t="s">
        <v>67</v>
      </c>
      <c r="Z91" s="374"/>
      <c r="AA91" s="374"/>
      <c r="AB91" s="404" t="s">
        <v>238</v>
      </c>
    </row>
    <row r="92" spans="1:28" s="176" customFormat="1" ht="54.95" customHeight="1" x14ac:dyDescent="0.15">
      <c r="A92" s="387"/>
      <c r="B92" s="164">
        <f>D5</f>
        <v>350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350</v>
      </c>
      <c r="N92" s="171"/>
      <c r="O92" s="277"/>
      <c r="P92" s="169" t="s">
        <v>63</v>
      </c>
      <c r="Q92" s="377"/>
      <c r="R92" s="277">
        <v>350</v>
      </c>
      <c r="S92" s="169" t="s">
        <v>63</v>
      </c>
      <c r="T92" s="278">
        <f t="shared" si="3"/>
        <v>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88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88</v>
      </c>
      <c r="N93" s="171"/>
      <c r="O93" s="277"/>
      <c r="P93" s="169" t="s">
        <v>63</v>
      </c>
      <c r="Q93" s="377"/>
      <c r="R93" s="277">
        <v>88</v>
      </c>
      <c r="S93" s="169" t="s">
        <v>63</v>
      </c>
      <c r="T93" s="278">
        <f t="shared" si="3"/>
        <v>0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320</v>
      </c>
      <c r="C94" s="456" t="str">
        <f>A6</f>
        <v>DG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320</v>
      </c>
      <c r="N94" s="171"/>
      <c r="O94" s="277"/>
      <c r="P94" s="169" t="s">
        <v>63</v>
      </c>
      <c r="Q94" s="377"/>
      <c r="R94" s="168">
        <v>320</v>
      </c>
      <c r="S94" s="169" t="s">
        <v>63</v>
      </c>
      <c r="T94" s="278">
        <f t="shared" si="3"/>
        <v>0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340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340</v>
      </c>
      <c r="N95" s="171"/>
      <c r="O95" s="277"/>
      <c r="P95" s="169" t="s">
        <v>63</v>
      </c>
      <c r="Q95" s="377"/>
      <c r="R95" s="168">
        <v>340</v>
      </c>
      <c r="S95" s="169" t="s">
        <v>63</v>
      </c>
      <c r="T95" s="278">
        <f t="shared" si="3"/>
        <v>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105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105</v>
      </c>
      <c r="N96" s="171"/>
      <c r="O96" s="277"/>
      <c r="P96" s="169" t="s">
        <v>63</v>
      </c>
      <c r="Q96" s="377"/>
      <c r="R96" s="277">
        <v>105</v>
      </c>
      <c r="S96" s="169" t="s">
        <v>63</v>
      </c>
      <c r="T96" s="278">
        <f t="shared" si="3"/>
        <v>0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0</v>
      </c>
      <c r="C97" s="456">
        <f>A7</f>
        <v>0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0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650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650</v>
      </c>
      <c r="N100" s="89"/>
      <c r="O100" s="153"/>
      <c r="P100" s="88" t="s">
        <v>63</v>
      </c>
      <c r="Q100" s="398">
        <v>46045</v>
      </c>
      <c r="R100" s="93">
        <v>650</v>
      </c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238</v>
      </c>
    </row>
    <row r="101" spans="1:28" s="55" customFormat="1" ht="54.95" customHeight="1" x14ac:dyDescent="0.15">
      <c r="A101" s="387"/>
      <c r="B101" s="87">
        <f>D11</f>
        <v>690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690</v>
      </c>
      <c r="N101" s="89"/>
      <c r="O101" s="153"/>
      <c r="P101" s="88" t="s">
        <v>63</v>
      </c>
      <c r="Q101" s="399"/>
      <c r="R101" s="93">
        <v>690</v>
      </c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193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193</v>
      </c>
      <c r="N102" s="89"/>
      <c r="O102" s="153"/>
      <c r="P102" s="88" t="s">
        <v>63</v>
      </c>
      <c r="Q102" s="399"/>
      <c r="R102" s="93">
        <v>193</v>
      </c>
      <c r="S102" s="88" t="s">
        <v>63</v>
      </c>
      <c r="T102" s="154">
        <f t="shared" si="3"/>
        <v>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1533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1533</v>
      </c>
      <c r="N104" s="170"/>
      <c r="O104" s="170"/>
      <c r="P104" s="169" t="s">
        <v>63</v>
      </c>
      <c r="Q104" s="363">
        <v>46045</v>
      </c>
      <c r="R104" s="165">
        <v>1533</v>
      </c>
      <c r="S104" s="169" t="s">
        <v>63</v>
      </c>
      <c r="T104" s="154">
        <f t="shared" si="3"/>
        <v>0</v>
      </c>
      <c r="U104" s="170"/>
      <c r="V104" s="172"/>
      <c r="W104" s="172"/>
      <c r="X104" s="172"/>
      <c r="Y104" s="374" t="s">
        <v>72</v>
      </c>
      <c r="Z104" s="380"/>
      <c r="AA104" s="383"/>
      <c r="AB104" s="586" t="s">
        <v>238</v>
      </c>
    </row>
    <row r="105" spans="1:28" s="55" customFormat="1" ht="54.95" customHeight="1" x14ac:dyDescent="0.15">
      <c r="A105" s="163" t="s">
        <v>81</v>
      </c>
      <c r="B105" s="87">
        <f>I11</f>
        <v>1533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1533</v>
      </c>
      <c r="N105" s="91"/>
      <c r="O105" s="91"/>
      <c r="P105" s="169" t="s">
        <v>63</v>
      </c>
      <c r="Q105" s="364"/>
      <c r="R105" s="165">
        <v>1533</v>
      </c>
      <c r="S105" s="169" t="s">
        <v>63</v>
      </c>
      <c r="T105" s="154">
        <f t="shared" si="3"/>
        <v>0</v>
      </c>
      <c r="U105" s="91"/>
      <c r="V105" s="91"/>
      <c r="W105" s="91"/>
      <c r="X105" s="91"/>
      <c r="Y105" s="375"/>
      <c r="Z105" s="381"/>
      <c r="AA105" s="384"/>
      <c r="AB105" s="587"/>
    </row>
    <row r="106" spans="1:28" s="55" customFormat="1" ht="54.95" customHeight="1" x14ac:dyDescent="0.15">
      <c r="A106" s="284" t="s">
        <v>160</v>
      </c>
      <c r="B106" s="87">
        <f>I11</f>
        <v>1533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1533</v>
      </c>
      <c r="N106" s="91"/>
      <c r="O106" s="91"/>
      <c r="P106" s="89" t="s">
        <v>63</v>
      </c>
      <c r="Q106" s="365"/>
      <c r="R106" s="93">
        <v>1560</v>
      </c>
      <c r="S106" s="89" t="s">
        <v>63</v>
      </c>
      <c r="T106" s="154">
        <f t="shared" si="3"/>
        <v>27</v>
      </c>
      <c r="U106" s="91"/>
      <c r="V106" s="91"/>
      <c r="W106" s="91"/>
      <c r="X106" s="91"/>
      <c r="Y106" s="379"/>
      <c r="Z106" s="382"/>
      <c r="AA106" s="385"/>
      <c r="AB106" s="588"/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5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5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11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"/>
      <c r="AC118" s="1"/>
    </row>
  </sheetData>
  <mergeCells count="368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8:A19"/>
    <mergeCell ref="C18:E18"/>
    <mergeCell ref="F18:H18"/>
    <mergeCell ref="Q18:Q19"/>
    <mergeCell ref="Y18:Y19"/>
    <mergeCell ref="AB18:AB19"/>
    <mergeCell ref="C19:E19"/>
    <mergeCell ref="F19:H19"/>
    <mergeCell ref="A13:A14"/>
    <mergeCell ref="B13:B14"/>
    <mergeCell ref="C13:E13"/>
    <mergeCell ref="F13:H13"/>
    <mergeCell ref="K13:L13"/>
    <mergeCell ref="N13:P13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Q15:Q17"/>
    <mergeCell ref="Y15:Y17"/>
    <mergeCell ref="AB15:AB17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F51:H51"/>
    <mergeCell ref="AC51:AF51"/>
    <mergeCell ref="C52:E52"/>
    <mergeCell ref="F52:H52"/>
    <mergeCell ref="AC52:AF52"/>
    <mergeCell ref="AC48:AF48"/>
    <mergeCell ref="AC49:AF49"/>
    <mergeCell ref="C44:E44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F44:H44"/>
    <mergeCell ref="I44:I46"/>
    <mergeCell ref="C49:E49"/>
    <mergeCell ref="F49:H49"/>
    <mergeCell ref="A50:A52"/>
    <mergeCell ref="C50:E50"/>
    <mergeCell ref="F50:H50"/>
    <mergeCell ref="I50:I52"/>
    <mergeCell ref="Y50:Y52"/>
    <mergeCell ref="C51:E51"/>
    <mergeCell ref="A44:A46"/>
    <mergeCell ref="F57:H57"/>
    <mergeCell ref="C58:E58"/>
    <mergeCell ref="F58:H58"/>
    <mergeCell ref="AB53:AB55"/>
    <mergeCell ref="C54:E54"/>
    <mergeCell ref="F54:H54"/>
    <mergeCell ref="C55:E55"/>
    <mergeCell ref="F55:H55"/>
    <mergeCell ref="A59:A61"/>
    <mergeCell ref="C59:E59"/>
    <mergeCell ref="F59:H59"/>
    <mergeCell ref="Y59:Y61"/>
    <mergeCell ref="C60:E60"/>
    <mergeCell ref="F60:H60"/>
    <mergeCell ref="C61:E61"/>
    <mergeCell ref="F61:H61"/>
    <mergeCell ref="A56:A58"/>
    <mergeCell ref="C56:E56"/>
    <mergeCell ref="F56:H56"/>
    <mergeCell ref="I56:I58"/>
    <mergeCell ref="Y56:Y58"/>
    <mergeCell ref="C57:E57"/>
    <mergeCell ref="Q56:Q61"/>
    <mergeCell ref="AB56:AB61"/>
    <mergeCell ref="A62:A64"/>
    <mergeCell ref="C62:E62"/>
    <mergeCell ref="F62:H62"/>
    <mergeCell ref="Q62:Q64"/>
    <mergeCell ref="Y62:Y64"/>
    <mergeCell ref="AB62:AB64"/>
    <mergeCell ref="C63:E63"/>
    <mergeCell ref="F63:H63"/>
    <mergeCell ref="C64:E64"/>
    <mergeCell ref="F64:H64"/>
    <mergeCell ref="A68:A70"/>
    <mergeCell ref="C68:E68"/>
    <mergeCell ref="F68:H68"/>
    <mergeCell ref="I68:I70"/>
    <mergeCell ref="Q68:Q70"/>
    <mergeCell ref="A65:A67"/>
    <mergeCell ref="C65:E65"/>
    <mergeCell ref="F65:H65"/>
    <mergeCell ref="I65:I67"/>
    <mergeCell ref="Q65:Q67"/>
    <mergeCell ref="Y68:Y70"/>
    <mergeCell ref="AB68:AB70"/>
    <mergeCell ref="C69:E69"/>
    <mergeCell ref="F69:H69"/>
    <mergeCell ref="C70:E70"/>
    <mergeCell ref="F70:H70"/>
    <mergeCell ref="AB65:AB67"/>
    <mergeCell ref="C66:E66"/>
    <mergeCell ref="F66:H66"/>
    <mergeCell ref="C67:E67"/>
    <mergeCell ref="F67:H67"/>
    <mergeCell ref="Y65:Y67"/>
    <mergeCell ref="A74:A76"/>
    <mergeCell ref="C74:E74"/>
    <mergeCell ref="F74:H74"/>
    <mergeCell ref="I74:I76"/>
    <mergeCell ref="Q74:Q76"/>
    <mergeCell ref="A71:A73"/>
    <mergeCell ref="C71:E71"/>
    <mergeCell ref="F71:H71"/>
    <mergeCell ref="I71:I73"/>
    <mergeCell ref="Q71:Q73"/>
    <mergeCell ref="Y74:Y76"/>
    <mergeCell ref="AB74:AB76"/>
    <mergeCell ref="C75:E75"/>
    <mergeCell ref="F75:H75"/>
    <mergeCell ref="C76:E76"/>
    <mergeCell ref="F76:H76"/>
    <mergeCell ref="AB71:AB73"/>
    <mergeCell ref="C72:E72"/>
    <mergeCell ref="F72:H72"/>
    <mergeCell ref="C73:E73"/>
    <mergeCell ref="F73:H73"/>
    <mergeCell ref="Y71:Y73"/>
    <mergeCell ref="AB77:AB81"/>
    <mergeCell ref="F78:H78"/>
    <mergeCell ref="F79:H79"/>
    <mergeCell ref="F80:H80"/>
    <mergeCell ref="F81:H81"/>
    <mergeCell ref="A77:A81"/>
    <mergeCell ref="C77:E81"/>
    <mergeCell ref="F77:H77"/>
    <mergeCell ref="Q77:Q81"/>
    <mergeCell ref="Y77:Y81"/>
    <mergeCell ref="Z77:Z81"/>
    <mergeCell ref="A82:A90"/>
    <mergeCell ref="C82:E84"/>
    <mergeCell ref="F82:H82"/>
    <mergeCell ref="Q82:Q90"/>
    <mergeCell ref="Y82:Y90"/>
    <mergeCell ref="Z82:Z90"/>
    <mergeCell ref="F89:H89"/>
    <mergeCell ref="F90:H90"/>
    <mergeCell ref="AA77:AA81"/>
    <mergeCell ref="AA82:AA90"/>
    <mergeCell ref="AB82:AB90"/>
    <mergeCell ref="F83:H83"/>
    <mergeCell ref="F84:H84"/>
    <mergeCell ref="C85:E87"/>
    <mergeCell ref="F85:H85"/>
    <mergeCell ref="F86:H86"/>
    <mergeCell ref="F87:H87"/>
    <mergeCell ref="C88:E90"/>
    <mergeCell ref="F88:H88"/>
    <mergeCell ref="B108:C108"/>
    <mergeCell ref="F108:H108"/>
    <mergeCell ref="A100:A103"/>
    <mergeCell ref="C100:E103"/>
    <mergeCell ref="F100:H100"/>
    <mergeCell ref="Q100:Q103"/>
    <mergeCell ref="Y100:Y103"/>
    <mergeCell ref="AA91:AA95"/>
    <mergeCell ref="AB91:AB99"/>
    <mergeCell ref="F92:H92"/>
    <mergeCell ref="F93:H93"/>
    <mergeCell ref="C94:E96"/>
    <mergeCell ref="F94:H94"/>
    <mergeCell ref="F95:H95"/>
    <mergeCell ref="F96:H96"/>
    <mergeCell ref="Y96:Y99"/>
    <mergeCell ref="Z96:Z99"/>
    <mergeCell ref="A91:A99"/>
    <mergeCell ref="C91:E93"/>
    <mergeCell ref="F91:H91"/>
    <mergeCell ref="Q91:Q99"/>
    <mergeCell ref="Y91:Y95"/>
    <mergeCell ref="Z91:Z95"/>
    <mergeCell ref="Z100:Z103"/>
    <mergeCell ref="AB104:AB106"/>
    <mergeCell ref="C105:E105"/>
    <mergeCell ref="F105:H105"/>
    <mergeCell ref="C106:E106"/>
    <mergeCell ref="F106:H106"/>
    <mergeCell ref="B107:C107"/>
    <mergeCell ref="C104:E104"/>
    <mergeCell ref="F104:H104"/>
    <mergeCell ref="Q104:Q106"/>
    <mergeCell ref="Y104:Y106"/>
    <mergeCell ref="Z104:Z106"/>
    <mergeCell ref="AA104:AA106"/>
    <mergeCell ref="AB100:AB103"/>
    <mergeCell ref="F101:H101"/>
    <mergeCell ref="F102:H102"/>
    <mergeCell ref="F103:H103"/>
    <mergeCell ref="AA96:AA99"/>
    <mergeCell ref="C97:E99"/>
    <mergeCell ref="F97:H97"/>
    <mergeCell ref="F98:H98"/>
    <mergeCell ref="F99:H99"/>
    <mergeCell ref="AA100:AA10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F1C6-B8C5-49D2-AAFC-D817E8C7AA36}">
  <sheetPr>
    <tabColor rgb="FFFF0000"/>
  </sheetPr>
  <dimension ref="A1"/>
  <sheetViews>
    <sheetView workbookViewId="0">
      <selection activeCell="S38" sqref="S38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FBE7-F753-42FA-B573-E5FE9E1F5A23}">
  <sheetPr>
    <pageSetUpPr fitToPage="1"/>
  </sheetPr>
  <dimension ref="A1:AF105"/>
  <sheetViews>
    <sheetView view="pageBreakPreview" topLeftCell="A16" zoomScale="75" zoomScaleNormal="100" zoomScaleSheetLayoutView="75" workbookViewId="0">
      <selection activeCell="Y49" sqref="Y49:Y50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7773437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259</v>
      </c>
      <c r="C2" s="548"/>
      <c r="D2" s="548"/>
      <c r="E2" s="548"/>
      <c r="F2" s="548"/>
      <c r="G2" s="549"/>
      <c r="H2" s="180" t="s">
        <v>1</v>
      </c>
      <c r="I2" s="550">
        <f>I11</f>
        <v>1279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260</v>
      </c>
      <c r="B5" s="480"/>
      <c r="C5" s="182">
        <v>350</v>
      </c>
      <c r="D5" s="182">
        <v>230</v>
      </c>
      <c r="E5" s="182">
        <v>31</v>
      </c>
      <c r="F5" s="182"/>
      <c r="G5" s="182"/>
      <c r="H5" s="542" t="s">
        <v>24</v>
      </c>
      <c r="I5" s="524">
        <f t="shared" ref="I5:I11" si="0">SUM(C5:G5)</f>
        <v>611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261</v>
      </c>
      <c r="B6" s="523"/>
      <c r="C6" s="182">
        <v>360</v>
      </c>
      <c r="D6" s="182">
        <v>250</v>
      </c>
      <c r="E6" s="182">
        <v>58</v>
      </c>
      <c r="F6" s="182"/>
      <c r="G6" s="182"/>
      <c r="H6" s="537"/>
      <c r="I6" s="524">
        <f t="shared" si="0"/>
        <v>668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46058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90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710</v>
      </c>
      <c r="D11" s="181">
        <f>SUM(D5:D10)</f>
        <v>480</v>
      </c>
      <c r="E11" s="181">
        <f>SUM(E5:E10)</f>
        <v>89</v>
      </c>
      <c r="F11" s="181">
        <f>SUM(F5:F10)</f>
        <v>0</v>
      </c>
      <c r="G11" s="181">
        <f>SUM(G5:G10)</f>
        <v>0</v>
      </c>
      <c r="H11" s="182"/>
      <c r="I11" s="481">
        <f t="shared" si="0"/>
        <v>1279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45902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724.2</v>
      </c>
      <c r="D12" s="43">
        <f>D11*1.02</f>
        <v>489.6</v>
      </c>
      <c r="E12" s="43">
        <f>E11*1.02</f>
        <v>90.78</v>
      </c>
      <c r="F12" s="43">
        <f>F11*1.02</f>
        <v>0</v>
      </c>
      <c r="G12" s="43">
        <f>G11*1.02</f>
        <v>0</v>
      </c>
      <c r="H12" s="44"/>
      <c r="I12" s="486">
        <f>I11*1.02</f>
        <v>1304.58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611</v>
      </c>
      <c r="C15" s="474" t="str">
        <f t="shared" ref="C15:C23" si="2">$A$5</f>
        <v>OT</v>
      </c>
      <c r="D15" s="475"/>
      <c r="E15" s="476"/>
      <c r="F15" s="474"/>
      <c r="G15" s="475"/>
      <c r="H15" s="476"/>
      <c r="I15" s="71" t="s">
        <v>128</v>
      </c>
      <c r="J15" s="65" t="s">
        <v>6</v>
      </c>
      <c r="K15" s="66">
        <v>0.8</v>
      </c>
      <c r="L15" s="67" t="s">
        <v>7</v>
      </c>
      <c r="M15" s="68">
        <f>K15*B15</f>
        <v>488.8</v>
      </c>
      <c r="N15" s="69"/>
      <c r="O15" s="70"/>
      <c r="P15" s="67" t="s">
        <v>7</v>
      </c>
      <c r="Q15" s="478">
        <v>46060</v>
      </c>
      <c r="R15" s="311">
        <v>489.3</v>
      </c>
      <c r="S15" s="71" t="s">
        <v>7</v>
      </c>
      <c r="T15" s="123">
        <f t="shared" ref="T15:T93" si="3">R15-M15</f>
        <v>0.5</v>
      </c>
      <c r="U15" s="72"/>
      <c r="V15" s="72"/>
      <c r="W15" s="73"/>
      <c r="X15" s="74"/>
      <c r="Y15" s="479" t="s">
        <v>250</v>
      </c>
      <c r="Z15" s="63"/>
      <c r="AA15" s="64"/>
      <c r="AB15" s="566" t="s">
        <v>262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668</v>
      </c>
      <c r="C16" s="368" t="str">
        <f>$A$6</f>
        <v>MG</v>
      </c>
      <c r="D16" s="369"/>
      <c r="E16" s="370"/>
      <c r="F16" s="368"/>
      <c r="G16" s="369"/>
      <c r="H16" s="370"/>
      <c r="I16" s="75" t="s">
        <v>128</v>
      </c>
      <c r="J16" s="76" t="s">
        <v>6</v>
      </c>
      <c r="K16" s="83">
        <v>0.8</v>
      </c>
      <c r="L16" s="77" t="s">
        <v>7</v>
      </c>
      <c r="M16" s="78">
        <f t="shared" ref="M16:M93" si="4">K16*B16</f>
        <v>534.4</v>
      </c>
      <c r="N16" s="79"/>
      <c r="O16" s="128"/>
      <c r="P16" s="77" t="s">
        <v>7</v>
      </c>
      <c r="Q16" s="444"/>
      <c r="R16" s="294">
        <v>534.9</v>
      </c>
      <c r="S16" s="75" t="s">
        <v>7</v>
      </c>
      <c r="T16" s="81">
        <f t="shared" si="3"/>
        <v>0.5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611</v>
      </c>
      <c r="C17" s="461" t="str">
        <f t="shared" si="2"/>
        <v>OT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668</v>
      </c>
      <c r="C18" s="461" t="str">
        <f>$A$6</f>
        <v>MG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55" customFormat="1" ht="69.95" customHeight="1" x14ac:dyDescent="0.15">
      <c r="A19" s="431" t="s">
        <v>263</v>
      </c>
      <c r="B19" s="182">
        <f t="shared" si="1"/>
        <v>611</v>
      </c>
      <c r="C19" s="461" t="str">
        <f t="shared" si="2"/>
        <v>OT</v>
      </c>
      <c r="D19" s="461"/>
      <c r="E19" s="461"/>
      <c r="F19" s="461"/>
      <c r="G19" s="461"/>
      <c r="H19" s="461"/>
      <c r="I19" s="441" t="s">
        <v>8</v>
      </c>
      <c r="J19" s="76" t="s">
        <v>6</v>
      </c>
      <c r="K19" s="136">
        <v>0.17</v>
      </c>
      <c r="L19" s="77" t="s">
        <v>7</v>
      </c>
      <c r="M19" s="78">
        <f t="shared" si="4"/>
        <v>103.87</v>
      </c>
      <c r="N19" s="79"/>
      <c r="O19" s="78"/>
      <c r="P19" s="80" t="s">
        <v>7</v>
      </c>
      <c r="Q19" s="443">
        <v>46064</v>
      </c>
      <c r="R19" s="78">
        <v>104</v>
      </c>
      <c r="S19" s="80" t="s">
        <v>7</v>
      </c>
      <c r="T19" s="81">
        <f t="shared" si="3"/>
        <v>0.12999999999999545</v>
      </c>
      <c r="U19" s="82"/>
      <c r="V19" s="137"/>
      <c r="W19" s="78"/>
      <c r="X19" s="78"/>
      <c r="Y19" s="445" t="s">
        <v>93</v>
      </c>
      <c r="Z19" s="138"/>
      <c r="AA19" s="135"/>
      <c r="AB19" s="360" t="s">
        <v>275</v>
      </c>
      <c r="AC19" s="178"/>
      <c r="AD19" s="179"/>
      <c r="AE19" s="179"/>
      <c r="AF19" s="179"/>
    </row>
    <row r="20" spans="1:32" s="55" customFormat="1" ht="69.95" customHeight="1" x14ac:dyDescent="0.15">
      <c r="A20" s="432"/>
      <c r="B20" s="182">
        <f>$I$6</f>
        <v>668</v>
      </c>
      <c r="C20" s="461" t="str">
        <f>$A$6</f>
        <v>MG</v>
      </c>
      <c r="D20" s="461"/>
      <c r="E20" s="461"/>
      <c r="F20" s="461"/>
      <c r="G20" s="461"/>
      <c r="H20" s="461"/>
      <c r="I20" s="442"/>
      <c r="J20" s="76" t="s">
        <v>6</v>
      </c>
      <c r="K20" s="136">
        <v>0.17</v>
      </c>
      <c r="L20" s="77" t="s">
        <v>7</v>
      </c>
      <c r="M20" s="78">
        <f t="shared" si="4"/>
        <v>113.56</v>
      </c>
      <c r="N20" s="79"/>
      <c r="O20" s="128"/>
      <c r="P20" s="77" t="s">
        <v>7</v>
      </c>
      <c r="Q20" s="444"/>
      <c r="R20" s="130">
        <v>114</v>
      </c>
      <c r="S20" s="75" t="s">
        <v>7</v>
      </c>
      <c r="T20" s="81">
        <f t="shared" si="3"/>
        <v>0.43999999999999773</v>
      </c>
      <c r="U20" s="131"/>
      <c r="V20" s="131"/>
      <c r="W20" s="132"/>
      <c r="X20" s="133"/>
      <c r="Y20" s="446"/>
      <c r="Z20" s="228"/>
      <c r="AA20" s="228"/>
      <c r="AB20" s="362"/>
      <c r="AC20" s="178"/>
      <c r="AD20" s="179"/>
      <c r="AE20" s="179"/>
      <c r="AF20" s="179"/>
    </row>
    <row r="21" spans="1:32" s="206" customFormat="1" ht="69.95" customHeight="1" x14ac:dyDescent="0.15">
      <c r="A21" s="431" t="s">
        <v>115</v>
      </c>
      <c r="B21" s="191">
        <f t="shared" si="1"/>
        <v>611</v>
      </c>
      <c r="C21" s="465" t="str">
        <f t="shared" si="2"/>
        <v>OT</v>
      </c>
      <c r="D21" s="465"/>
      <c r="E21" s="465"/>
      <c r="F21" s="465"/>
      <c r="G21" s="465"/>
      <c r="H21" s="465"/>
      <c r="I21" s="433" t="s">
        <v>8</v>
      </c>
      <c r="J21" s="192" t="s">
        <v>6</v>
      </c>
      <c r="K21" s="209"/>
      <c r="L21" s="194" t="s">
        <v>7</v>
      </c>
      <c r="M21" s="195">
        <f t="shared" si="4"/>
        <v>0</v>
      </c>
      <c r="N21" s="196"/>
      <c r="O21" s="195"/>
      <c r="P21" s="197" t="s">
        <v>7</v>
      </c>
      <c r="Q21" s="435"/>
      <c r="R21" s="195"/>
      <c r="S21" s="197" t="s">
        <v>7</v>
      </c>
      <c r="T21" s="198">
        <f t="shared" si="3"/>
        <v>0</v>
      </c>
      <c r="U21" s="199"/>
      <c r="V21" s="200"/>
      <c r="W21" s="195"/>
      <c r="X21" s="195"/>
      <c r="Y21" s="437" t="s">
        <v>93</v>
      </c>
      <c r="Z21" s="235"/>
      <c r="AA21" s="202"/>
      <c r="AB21" s="439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$I$6</f>
        <v>668</v>
      </c>
      <c r="C22" s="465" t="str">
        <f>$A$6</f>
        <v>MG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38"/>
      <c r="AA22" s="238"/>
      <c r="AB22" s="440"/>
      <c r="AC22" s="229"/>
      <c r="AD22" s="230"/>
      <c r="AE22" s="230"/>
      <c r="AF22" s="230"/>
    </row>
    <row r="23" spans="1:32" s="55" customFormat="1" ht="69.95" customHeight="1" x14ac:dyDescent="0.15">
      <c r="A23" s="431" t="s">
        <v>107</v>
      </c>
      <c r="B23" s="182">
        <f t="shared" si="1"/>
        <v>611</v>
      </c>
      <c r="C23" s="461" t="str">
        <f t="shared" si="2"/>
        <v>OT</v>
      </c>
      <c r="D23" s="461"/>
      <c r="E23" s="461"/>
      <c r="F23" s="461" t="s">
        <v>277</v>
      </c>
      <c r="G23" s="461"/>
      <c r="H23" s="461"/>
      <c r="I23" s="441" t="s">
        <v>58</v>
      </c>
      <c r="J23" s="76"/>
      <c r="K23" s="136">
        <v>0.06</v>
      </c>
      <c r="L23" s="77" t="s">
        <v>7</v>
      </c>
      <c r="M23" s="78">
        <f t="shared" si="4"/>
        <v>36.659999999999997</v>
      </c>
      <c r="N23" s="79"/>
      <c r="O23" s="78"/>
      <c r="P23" s="80" t="s">
        <v>7</v>
      </c>
      <c r="Q23" s="443">
        <v>46064</v>
      </c>
      <c r="R23" s="78">
        <v>37</v>
      </c>
      <c r="S23" s="80" t="s">
        <v>7</v>
      </c>
      <c r="T23" s="81">
        <f t="shared" si="3"/>
        <v>0.34000000000000341</v>
      </c>
      <c r="U23" s="82"/>
      <c r="V23" s="137"/>
      <c r="W23" s="78"/>
      <c r="X23" s="78"/>
      <c r="Y23" s="445" t="s">
        <v>59</v>
      </c>
      <c r="Z23" s="138"/>
      <c r="AA23" s="135"/>
      <c r="AB23" s="360" t="s">
        <v>276</v>
      </c>
      <c r="AC23" s="178"/>
      <c r="AD23" s="179"/>
      <c r="AE23" s="179"/>
      <c r="AF23" s="179"/>
    </row>
    <row r="24" spans="1:32" s="55" customFormat="1" ht="69.95" customHeight="1" thickBot="1" x14ac:dyDescent="0.2">
      <c r="A24" s="432"/>
      <c r="B24" s="182">
        <f>$I$6</f>
        <v>668</v>
      </c>
      <c r="C24" s="461" t="str">
        <f>$A$6</f>
        <v>MG</v>
      </c>
      <c r="D24" s="461"/>
      <c r="E24" s="461"/>
      <c r="F24" s="461" t="s">
        <v>277</v>
      </c>
      <c r="G24" s="461"/>
      <c r="H24" s="461"/>
      <c r="I24" s="442"/>
      <c r="J24" s="76"/>
      <c r="K24" s="136">
        <v>0.06</v>
      </c>
      <c r="L24" s="77" t="s">
        <v>7</v>
      </c>
      <c r="M24" s="78">
        <f t="shared" si="4"/>
        <v>40.08</v>
      </c>
      <c r="N24" s="79"/>
      <c r="O24" s="128"/>
      <c r="P24" s="77" t="s">
        <v>7</v>
      </c>
      <c r="Q24" s="444"/>
      <c r="R24" s="137">
        <v>40</v>
      </c>
      <c r="S24" s="75" t="s">
        <v>7</v>
      </c>
      <c r="T24" s="81">
        <f t="shared" si="3"/>
        <v>-7.9999999999998295E-2</v>
      </c>
      <c r="U24" s="131"/>
      <c r="V24" s="131"/>
      <c r="W24" s="132"/>
      <c r="X24" s="133"/>
      <c r="Y24" s="446"/>
      <c r="Z24" s="134"/>
      <c r="AA24" s="135"/>
      <c r="AB24" s="362"/>
      <c r="AC24" s="178"/>
      <c r="AD24" s="179"/>
      <c r="AE24" s="179"/>
      <c r="AF24" s="179"/>
    </row>
    <row r="25" spans="1:32" s="143" customFormat="1" ht="69.95" customHeight="1" thickTop="1" x14ac:dyDescent="0.15">
      <c r="A25" s="431" t="s">
        <v>108</v>
      </c>
      <c r="B25" s="191">
        <f>$I$5</f>
        <v>611</v>
      </c>
      <c r="C25" s="465" t="str">
        <f>$A$5</f>
        <v>OT</v>
      </c>
      <c r="D25" s="465"/>
      <c r="E25" s="465"/>
      <c r="F25" s="465"/>
      <c r="G25" s="465"/>
      <c r="H25" s="465"/>
      <c r="I25" s="433" t="s">
        <v>8</v>
      </c>
      <c r="J25" s="192" t="s">
        <v>6</v>
      </c>
      <c r="K25" s="209"/>
      <c r="L25" s="194" t="s">
        <v>7</v>
      </c>
      <c r="M25" s="195">
        <f>K25*B25</f>
        <v>0</v>
      </c>
      <c r="N25" s="196"/>
      <c r="O25" s="195"/>
      <c r="P25" s="197" t="s">
        <v>7</v>
      </c>
      <c r="Q25" s="435"/>
      <c r="R25" s="195"/>
      <c r="S25" s="197" t="s">
        <v>9</v>
      </c>
      <c r="T25" s="198">
        <f t="shared" si="3"/>
        <v>0</v>
      </c>
      <c r="U25" s="199"/>
      <c r="V25" s="200"/>
      <c r="W25" s="195"/>
      <c r="X25" s="195"/>
      <c r="Y25" s="437" t="s">
        <v>59</v>
      </c>
      <c r="Z25" s="201"/>
      <c r="AA25" s="202"/>
      <c r="AB25" s="596"/>
    </row>
    <row r="26" spans="1:32" s="143" customFormat="1" ht="69.95" customHeight="1" x14ac:dyDescent="0.15">
      <c r="A26" s="432"/>
      <c r="B26" s="191">
        <f>$I$6</f>
        <v>668</v>
      </c>
      <c r="C26" s="465" t="str">
        <f>$A$6</f>
        <v>MG</v>
      </c>
      <c r="D26" s="465"/>
      <c r="E26" s="465"/>
      <c r="F26" s="465"/>
      <c r="G26" s="465"/>
      <c r="H26" s="465"/>
      <c r="I26" s="434"/>
      <c r="J26" s="192" t="s">
        <v>6</v>
      </c>
      <c r="K26" s="209"/>
      <c r="L26" s="194" t="s">
        <v>7</v>
      </c>
      <c r="M26" s="195">
        <f>K26*B26</f>
        <v>0</v>
      </c>
      <c r="N26" s="196"/>
      <c r="O26" s="210"/>
      <c r="P26" s="194" t="s">
        <v>7</v>
      </c>
      <c r="Q26" s="436"/>
      <c r="R26" s="200"/>
      <c r="S26" s="207" t="s">
        <v>9</v>
      </c>
      <c r="T26" s="198">
        <f t="shared" si="3"/>
        <v>0</v>
      </c>
      <c r="U26" s="211"/>
      <c r="V26" s="211"/>
      <c r="W26" s="212"/>
      <c r="X26" s="213"/>
      <c r="Y26" s="438"/>
      <c r="Z26" s="214"/>
      <c r="AA26" s="202"/>
      <c r="AB26" s="440"/>
      <c r="AC26" s="577"/>
      <c r="AD26" s="578"/>
      <c r="AE26" s="578"/>
      <c r="AF26" s="578"/>
    </row>
    <row r="27" spans="1:32" s="143" customFormat="1" ht="69.95" customHeight="1" x14ac:dyDescent="0.15">
      <c r="A27" s="464" t="s">
        <v>86</v>
      </c>
      <c r="B27" s="182">
        <f>$I$5</f>
        <v>611</v>
      </c>
      <c r="C27" s="461" t="str">
        <f>$A$5</f>
        <v>OT</v>
      </c>
      <c r="D27" s="461"/>
      <c r="E27" s="461"/>
      <c r="F27" s="461"/>
      <c r="G27" s="461"/>
      <c r="H27" s="461"/>
      <c r="I27" s="441" t="s">
        <v>251</v>
      </c>
      <c r="J27" s="76"/>
      <c r="K27" s="136">
        <v>11</v>
      </c>
      <c r="L27" s="77" t="s">
        <v>7</v>
      </c>
      <c r="M27" s="78">
        <f>K27*B27/50</f>
        <v>134.41999999999999</v>
      </c>
      <c r="N27" s="79"/>
      <c r="O27" s="78"/>
      <c r="P27" s="80" t="s">
        <v>7</v>
      </c>
      <c r="Q27" s="443">
        <v>46064</v>
      </c>
      <c r="R27" s="78">
        <v>135</v>
      </c>
      <c r="S27" s="80" t="s">
        <v>9</v>
      </c>
      <c r="T27" s="81">
        <f t="shared" si="3"/>
        <v>0.58000000000001251</v>
      </c>
      <c r="U27" s="82"/>
      <c r="V27" s="137"/>
      <c r="W27" s="78"/>
      <c r="X27" s="78"/>
      <c r="Y27" s="445" t="s">
        <v>94</v>
      </c>
      <c r="Z27" s="141"/>
      <c r="AA27" s="135"/>
      <c r="AB27" s="360" t="s">
        <v>276</v>
      </c>
    </row>
    <row r="28" spans="1:32" s="143" customFormat="1" ht="69.95" customHeight="1" x14ac:dyDescent="0.15">
      <c r="A28" s="464"/>
      <c r="B28" s="182">
        <f>$I$6</f>
        <v>668</v>
      </c>
      <c r="C28" s="461" t="str">
        <f>$A$6</f>
        <v>MG</v>
      </c>
      <c r="D28" s="461"/>
      <c r="E28" s="461"/>
      <c r="F28" s="461"/>
      <c r="G28" s="461"/>
      <c r="H28" s="461"/>
      <c r="I28" s="442"/>
      <c r="J28" s="76"/>
      <c r="K28" s="136">
        <v>11</v>
      </c>
      <c r="L28" s="77" t="s">
        <v>7</v>
      </c>
      <c r="M28" s="78">
        <f>K28*B28/50</f>
        <v>146.96</v>
      </c>
      <c r="N28" s="79"/>
      <c r="O28" s="128"/>
      <c r="P28" s="77" t="s">
        <v>7</v>
      </c>
      <c r="Q28" s="444"/>
      <c r="R28" s="137">
        <v>147</v>
      </c>
      <c r="S28" s="75" t="s">
        <v>9</v>
      </c>
      <c r="T28" s="81">
        <f t="shared" si="3"/>
        <v>3.9999999999992042E-2</v>
      </c>
      <c r="U28" s="131"/>
      <c r="V28" s="131"/>
      <c r="W28" s="132"/>
      <c r="X28" s="133"/>
      <c r="Y28" s="446"/>
      <c r="Z28" s="134"/>
      <c r="AA28" s="135"/>
      <c r="AB28" s="362"/>
      <c r="AC28" s="577"/>
      <c r="AD28" s="578"/>
      <c r="AE28" s="578"/>
      <c r="AF28" s="578"/>
    </row>
    <row r="29" spans="1:32" s="143" customFormat="1" ht="69.95" customHeight="1" x14ac:dyDescent="0.15">
      <c r="A29" s="464" t="s">
        <v>222</v>
      </c>
      <c r="B29" s="182">
        <f>$I$5</f>
        <v>611</v>
      </c>
      <c r="C29" s="461" t="str">
        <f>$A$5</f>
        <v>OT</v>
      </c>
      <c r="D29" s="461"/>
      <c r="E29" s="461"/>
      <c r="F29" s="461"/>
      <c r="G29" s="461"/>
      <c r="H29" s="461"/>
      <c r="I29" s="441" t="s">
        <v>252</v>
      </c>
      <c r="J29" s="76"/>
      <c r="K29" s="136">
        <v>1.3</v>
      </c>
      <c r="L29" s="77" t="s">
        <v>7</v>
      </c>
      <c r="M29" s="78">
        <f>K29*B29/50</f>
        <v>15.886000000000001</v>
      </c>
      <c r="N29" s="79"/>
      <c r="O29" s="78"/>
      <c r="P29" s="80" t="s">
        <v>7</v>
      </c>
      <c r="Q29" s="443">
        <v>46064</v>
      </c>
      <c r="R29" s="78">
        <v>16</v>
      </c>
      <c r="S29" s="80" t="s">
        <v>9</v>
      </c>
      <c r="T29" s="81">
        <f t="shared" si="3"/>
        <v>0.11399999999999899</v>
      </c>
      <c r="U29" s="82"/>
      <c r="V29" s="137"/>
      <c r="W29" s="78"/>
      <c r="X29" s="78"/>
      <c r="Y29" s="445" t="s">
        <v>94</v>
      </c>
      <c r="Z29" s="141"/>
      <c r="AA29" s="135"/>
      <c r="AB29" s="360" t="s">
        <v>276</v>
      </c>
    </row>
    <row r="30" spans="1:32" s="143" customFormat="1" ht="69.95" customHeight="1" x14ac:dyDescent="0.15">
      <c r="A30" s="464"/>
      <c r="B30" s="182">
        <f>$I$6</f>
        <v>668</v>
      </c>
      <c r="C30" s="461" t="str">
        <f>$A$6</f>
        <v>MG</v>
      </c>
      <c r="D30" s="461"/>
      <c r="E30" s="461"/>
      <c r="F30" s="461"/>
      <c r="G30" s="461"/>
      <c r="H30" s="461"/>
      <c r="I30" s="442"/>
      <c r="J30" s="76"/>
      <c r="K30" s="136">
        <v>1.3</v>
      </c>
      <c r="L30" s="77" t="s">
        <v>7</v>
      </c>
      <c r="M30" s="78">
        <f>K30*B30/50</f>
        <v>17.367999999999999</v>
      </c>
      <c r="N30" s="79"/>
      <c r="O30" s="128"/>
      <c r="P30" s="77" t="s">
        <v>7</v>
      </c>
      <c r="Q30" s="444"/>
      <c r="R30" s="137">
        <v>18</v>
      </c>
      <c r="S30" s="75" t="s">
        <v>9</v>
      </c>
      <c r="T30" s="81">
        <f t="shared" si="3"/>
        <v>0.63200000000000145</v>
      </c>
      <c r="U30" s="131"/>
      <c r="V30" s="131"/>
      <c r="W30" s="132"/>
      <c r="X30" s="133"/>
      <c r="Y30" s="446"/>
      <c r="Z30" s="134"/>
      <c r="AA30" s="135"/>
      <c r="AB30" s="362"/>
      <c r="AC30" s="577"/>
      <c r="AD30" s="578"/>
      <c r="AE30" s="578"/>
      <c r="AF30" s="578"/>
    </row>
    <row r="31" spans="1:32" s="203" customFormat="1" ht="69.95" customHeight="1" x14ac:dyDescent="0.15">
      <c r="A31" s="464" t="s">
        <v>77</v>
      </c>
      <c r="B31" s="191">
        <f>$I$5</f>
        <v>611</v>
      </c>
      <c r="C31" s="465" t="str">
        <f>$A$5</f>
        <v>OT</v>
      </c>
      <c r="D31" s="465"/>
      <c r="E31" s="465"/>
      <c r="F31" s="465"/>
      <c r="G31" s="465"/>
      <c r="H31" s="465"/>
      <c r="I31" s="433" t="s">
        <v>76</v>
      </c>
      <c r="J31" s="192"/>
      <c r="K31" s="209">
        <v>1.8</v>
      </c>
      <c r="L31" s="194" t="s">
        <v>7</v>
      </c>
      <c r="M31" s="195">
        <f>K31*B31/100</f>
        <v>10.997999999999999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>R31-M31</f>
        <v>-10.997999999999999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x14ac:dyDescent="0.15">
      <c r="A32" s="464"/>
      <c r="B32" s="191">
        <f>$I$6</f>
        <v>668</v>
      </c>
      <c r="C32" s="465" t="str">
        <f>$A$6</f>
        <v>MG</v>
      </c>
      <c r="D32" s="465"/>
      <c r="E32" s="465"/>
      <c r="F32" s="465"/>
      <c r="G32" s="465"/>
      <c r="H32" s="465"/>
      <c r="I32" s="434"/>
      <c r="J32" s="192"/>
      <c r="K32" s="208">
        <v>1.8</v>
      </c>
      <c r="L32" s="194" t="s">
        <v>7</v>
      </c>
      <c r="M32" s="195">
        <f>K32*B32/100</f>
        <v>12.024000000000001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>R32-M32</f>
        <v>-12.024000000000001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03" customFormat="1" ht="69.95" customHeight="1" x14ac:dyDescent="0.15">
      <c r="A33" s="464" t="s">
        <v>116</v>
      </c>
      <c r="B33" s="191">
        <f>$I$5</f>
        <v>611</v>
      </c>
      <c r="C33" s="465" t="str">
        <f>$A$5</f>
        <v>OT</v>
      </c>
      <c r="D33" s="465"/>
      <c r="E33" s="465"/>
      <c r="F33" s="465"/>
      <c r="G33" s="465"/>
      <c r="H33" s="465"/>
      <c r="I33" s="433" t="s">
        <v>76</v>
      </c>
      <c r="J33" s="192"/>
      <c r="K33" s="209"/>
      <c r="L33" s="194" t="s">
        <v>7</v>
      </c>
      <c r="M33" s="195">
        <f>K33*B33/50</f>
        <v>0</v>
      </c>
      <c r="N33" s="196"/>
      <c r="O33" s="195"/>
      <c r="P33" s="197" t="s">
        <v>7</v>
      </c>
      <c r="Q33" s="435"/>
      <c r="R33" s="195"/>
      <c r="S33" s="197" t="s">
        <v>9</v>
      </c>
      <c r="T33" s="198">
        <f t="shared" si="3"/>
        <v>0</v>
      </c>
      <c r="U33" s="199"/>
      <c r="V33" s="200"/>
      <c r="W33" s="195"/>
      <c r="X33" s="195"/>
      <c r="Y33" s="437" t="s">
        <v>94</v>
      </c>
      <c r="Z33" s="201"/>
      <c r="AA33" s="202"/>
      <c r="AB33" s="439"/>
    </row>
    <row r="34" spans="1:32" s="203" customFormat="1" ht="69.95" customHeight="1" x14ac:dyDescent="0.15">
      <c r="A34" s="464"/>
      <c r="B34" s="191">
        <f>$I$6</f>
        <v>668</v>
      </c>
      <c r="C34" s="465" t="str">
        <f>$A$6</f>
        <v>MG</v>
      </c>
      <c r="D34" s="465"/>
      <c r="E34" s="465"/>
      <c r="F34" s="465"/>
      <c r="G34" s="465"/>
      <c r="H34" s="465"/>
      <c r="I34" s="434"/>
      <c r="J34" s="192"/>
      <c r="K34" s="208"/>
      <c r="L34" s="194" t="s">
        <v>7</v>
      </c>
      <c r="M34" s="195">
        <f>K34*B34/50</f>
        <v>0</v>
      </c>
      <c r="N34" s="196"/>
      <c r="O34" s="210"/>
      <c r="P34" s="194" t="s">
        <v>7</v>
      </c>
      <c r="Q34" s="436"/>
      <c r="R34" s="200"/>
      <c r="S34" s="207" t="s">
        <v>9</v>
      </c>
      <c r="T34" s="198">
        <f t="shared" si="3"/>
        <v>0</v>
      </c>
      <c r="U34" s="211"/>
      <c r="V34" s="211"/>
      <c r="W34" s="212"/>
      <c r="X34" s="213"/>
      <c r="Y34" s="438"/>
      <c r="Z34" s="214"/>
      <c r="AA34" s="202"/>
      <c r="AB34" s="440"/>
      <c r="AC34" s="466"/>
      <c r="AD34" s="467"/>
      <c r="AE34" s="467"/>
      <c r="AF34" s="467"/>
    </row>
    <row r="35" spans="1:32" s="143" customFormat="1" ht="69.95" customHeight="1" x14ac:dyDescent="0.15">
      <c r="A35" s="431" t="s">
        <v>88</v>
      </c>
      <c r="B35" s="182">
        <f>$I$5</f>
        <v>611</v>
      </c>
      <c r="C35" s="461" t="str">
        <f>$A$5</f>
        <v>OT</v>
      </c>
      <c r="D35" s="461"/>
      <c r="E35" s="461"/>
      <c r="F35" s="461" t="str">
        <f>$A$5</f>
        <v>OT</v>
      </c>
      <c r="G35" s="461"/>
      <c r="H35" s="461"/>
      <c r="I35" s="441" t="s">
        <v>62</v>
      </c>
      <c r="J35" s="76"/>
      <c r="K35" s="139">
        <v>130</v>
      </c>
      <c r="L35" s="77" t="s">
        <v>61</v>
      </c>
      <c r="M35" s="78">
        <f t="shared" ref="M35:M36" si="5">K35*B35/2500</f>
        <v>31.771999999999998</v>
      </c>
      <c r="N35" s="79"/>
      <c r="O35" s="78"/>
      <c r="P35" s="80" t="s">
        <v>10</v>
      </c>
      <c r="Q35" s="443">
        <v>46064</v>
      </c>
      <c r="R35" s="78">
        <v>32</v>
      </c>
      <c r="S35" s="80" t="s">
        <v>10</v>
      </c>
      <c r="T35" s="81">
        <f t="shared" si="3"/>
        <v>0.22800000000000153</v>
      </c>
      <c r="U35" s="82"/>
      <c r="V35" s="137"/>
      <c r="W35" s="78"/>
      <c r="X35" s="78"/>
      <c r="Y35" s="445" t="s">
        <v>94</v>
      </c>
      <c r="Z35" s="141"/>
      <c r="AA35" s="135"/>
      <c r="AB35" s="360" t="s">
        <v>275</v>
      </c>
    </row>
    <row r="36" spans="1:32" s="55" customFormat="1" ht="69.95" customHeight="1" x14ac:dyDescent="0.15">
      <c r="A36" s="432"/>
      <c r="B36" s="186">
        <f>$I$6</f>
        <v>668</v>
      </c>
      <c r="C36" s="395" t="str">
        <f>$A$6</f>
        <v>MG</v>
      </c>
      <c r="D36" s="396"/>
      <c r="E36" s="397"/>
      <c r="F36" s="395" t="str">
        <f>$A$6</f>
        <v>MG</v>
      </c>
      <c r="G36" s="396"/>
      <c r="H36" s="397"/>
      <c r="I36" s="442"/>
      <c r="J36" s="144"/>
      <c r="K36" s="139">
        <v>130</v>
      </c>
      <c r="L36" s="145" t="s">
        <v>61</v>
      </c>
      <c r="M36" s="78">
        <f t="shared" si="5"/>
        <v>34.735999999999997</v>
      </c>
      <c r="N36" s="146"/>
      <c r="O36" s="147"/>
      <c r="P36" s="145" t="s">
        <v>10</v>
      </c>
      <c r="Q36" s="447"/>
      <c r="R36" s="161">
        <v>35</v>
      </c>
      <c r="S36" s="148" t="s">
        <v>10</v>
      </c>
      <c r="T36" s="84">
        <f t="shared" si="3"/>
        <v>0.2640000000000029</v>
      </c>
      <c r="U36" s="149"/>
      <c r="V36" s="149"/>
      <c r="W36" s="150"/>
      <c r="X36" s="151"/>
      <c r="Y36" s="446"/>
      <c r="Z36" s="216"/>
      <c r="AA36" s="217"/>
      <c r="AB36" s="361"/>
      <c r="AC36" s="471"/>
      <c r="AD36" s="472"/>
      <c r="AE36" s="472"/>
      <c r="AF36" s="472"/>
    </row>
    <row r="37" spans="1:32" s="143" customFormat="1" ht="69.95" customHeight="1" x14ac:dyDescent="0.15">
      <c r="A37" s="431" t="s">
        <v>147</v>
      </c>
      <c r="B37" s="182">
        <f>$I$5</f>
        <v>611</v>
      </c>
      <c r="C37" s="461" t="str">
        <f>$A$5</f>
        <v>OT</v>
      </c>
      <c r="D37" s="461"/>
      <c r="E37" s="461"/>
      <c r="F37" s="461" t="str">
        <f>$A$5</f>
        <v>OT</v>
      </c>
      <c r="G37" s="461"/>
      <c r="H37" s="461"/>
      <c r="I37" s="441" t="s">
        <v>60</v>
      </c>
      <c r="J37" s="76"/>
      <c r="K37" s="139">
        <v>50</v>
      </c>
      <c r="L37" s="77" t="s">
        <v>61</v>
      </c>
      <c r="M37" s="78">
        <f>K37*B37/4000</f>
        <v>7.6375000000000002</v>
      </c>
      <c r="N37" s="79"/>
      <c r="O37" s="78"/>
      <c r="P37" s="80" t="s">
        <v>10</v>
      </c>
      <c r="Q37" s="447"/>
      <c r="R37" s="78">
        <v>8</v>
      </c>
      <c r="S37" s="80" t="s">
        <v>10</v>
      </c>
      <c r="T37" s="81">
        <f t="shared" ref="T37:T38" si="6">R37-M37</f>
        <v>0.36249999999999982</v>
      </c>
      <c r="U37" s="82"/>
      <c r="V37" s="137"/>
      <c r="W37" s="78"/>
      <c r="X37" s="78"/>
      <c r="Y37" s="445" t="s">
        <v>94</v>
      </c>
      <c r="Z37" s="141"/>
      <c r="AA37" s="135"/>
      <c r="AB37" s="361"/>
    </row>
    <row r="38" spans="1:32" s="55" customFormat="1" ht="69.95" customHeight="1" x14ac:dyDescent="0.15">
      <c r="A38" s="432"/>
      <c r="B38" s="186">
        <f>$I$6</f>
        <v>668</v>
      </c>
      <c r="C38" s="395" t="str">
        <f>$A$6</f>
        <v>MG</v>
      </c>
      <c r="D38" s="396"/>
      <c r="E38" s="397"/>
      <c r="F38" s="395" t="str">
        <f>$A$6</f>
        <v>MG</v>
      </c>
      <c r="G38" s="396"/>
      <c r="H38" s="397"/>
      <c r="I38" s="442"/>
      <c r="J38" s="144"/>
      <c r="K38" s="139">
        <v>50</v>
      </c>
      <c r="L38" s="145" t="s">
        <v>61</v>
      </c>
      <c r="M38" s="78">
        <f>K38*B38/4000</f>
        <v>8.35</v>
      </c>
      <c r="N38" s="146"/>
      <c r="O38" s="147"/>
      <c r="P38" s="145" t="s">
        <v>10</v>
      </c>
      <c r="Q38" s="444"/>
      <c r="R38" s="161">
        <v>9</v>
      </c>
      <c r="S38" s="148" t="s">
        <v>10</v>
      </c>
      <c r="T38" s="84">
        <f t="shared" si="6"/>
        <v>0.65000000000000036</v>
      </c>
      <c r="U38" s="149"/>
      <c r="V38" s="149"/>
      <c r="W38" s="150"/>
      <c r="X38" s="151"/>
      <c r="Y38" s="446"/>
      <c r="Z38" s="216"/>
      <c r="AA38" s="217"/>
      <c r="AB38" s="362"/>
      <c r="AC38" s="471"/>
      <c r="AD38" s="472"/>
      <c r="AE38" s="472"/>
      <c r="AF38" s="472"/>
    </row>
    <row r="39" spans="1:32" s="143" customFormat="1" ht="69.95" customHeight="1" x14ac:dyDescent="0.15">
      <c r="A39" s="431" t="s">
        <v>253</v>
      </c>
      <c r="B39" s="191">
        <f>$I$5</f>
        <v>611</v>
      </c>
      <c r="C39" s="465" t="str">
        <f>$A$5</f>
        <v>OT</v>
      </c>
      <c r="D39" s="465"/>
      <c r="E39" s="465"/>
      <c r="F39" s="465" t="str">
        <f>$A$5</f>
        <v>OT</v>
      </c>
      <c r="G39" s="465"/>
      <c r="H39" s="465"/>
      <c r="I39" s="433" t="s">
        <v>254</v>
      </c>
      <c r="J39" s="192"/>
      <c r="K39" s="193">
        <v>10</v>
      </c>
      <c r="L39" s="194" t="s">
        <v>61</v>
      </c>
      <c r="M39" s="195">
        <f>K39*B39/6000</f>
        <v>1.0183333333333333</v>
      </c>
      <c r="N39" s="196"/>
      <c r="O39" s="195"/>
      <c r="P39" s="197" t="s">
        <v>10</v>
      </c>
      <c r="Q39" s="435"/>
      <c r="R39" s="195"/>
      <c r="S39" s="197" t="s">
        <v>10</v>
      </c>
      <c r="T39" s="198">
        <f t="shared" si="3"/>
        <v>-1.0183333333333333</v>
      </c>
      <c r="U39" s="199"/>
      <c r="V39" s="200"/>
      <c r="W39" s="195"/>
      <c r="X39" s="195"/>
      <c r="Y39" s="437" t="s">
        <v>94</v>
      </c>
      <c r="Z39" s="201"/>
      <c r="AA39" s="202"/>
      <c r="AB39" s="439"/>
    </row>
    <row r="40" spans="1:32" s="55" customFormat="1" ht="69.95" customHeight="1" x14ac:dyDescent="0.15">
      <c r="A40" s="432"/>
      <c r="B40" s="204">
        <f>$I$6</f>
        <v>668</v>
      </c>
      <c r="C40" s="453" t="str">
        <f>$A$6</f>
        <v>MG</v>
      </c>
      <c r="D40" s="454"/>
      <c r="E40" s="455"/>
      <c r="F40" s="453" t="str">
        <f>$A$6</f>
        <v>MG</v>
      </c>
      <c r="G40" s="454"/>
      <c r="H40" s="455"/>
      <c r="I40" s="434"/>
      <c r="J40" s="218"/>
      <c r="K40" s="193">
        <v>10</v>
      </c>
      <c r="L40" s="219" t="s">
        <v>61</v>
      </c>
      <c r="M40" s="195">
        <f>K40*B40/6000</f>
        <v>1.1133333333333333</v>
      </c>
      <c r="N40" s="220"/>
      <c r="O40" s="221"/>
      <c r="P40" s="219" t="s">
        <v>10</v>
      </c>
      <c r="Q40" s="436"/>
      <c r="R40" s="222"/>
      <c r="S40" s="215" t="s">
        <v>10</v>
      </c>
      <c r="T40" s="205">
        <f t="shared" si="3"/>
        <v>-1.1133333333333333</v>
      </c>
      <c r="U40" s="223"/>
      <c r="V40" s="223"/>
      <c r="W40" s="224"/>
      <c r="X40" s="225"/>
      <c r="Y40" s="438"/>
      <c r="Z40" s="226"/>
      <c r="AA40" s="227"/>
      <c r="AB40" s="440"/>
      <c r="AC40" s="471"/>
      <c r="AD40" s="472"/>
      <c r="AE40" s="472"/>
      <c r="AF40" s="472"/>
    </row>
    <row r="41" spans="1:32" s="206" customFormat="1" ht="69.95" customHeight="1" x14ac:dyDescent="0.15">
      <c r="A41" s="431" t="s">
        <v>117</v>
      </c>
      <c r="B41" s="191">
        <f t="shared" ref="B41:B43" si="7">$I$5</f>
        <v>611</v>
      </c>
      <c r="C41" s="422" t="str">
        <f t="shared" ref="C41:C43" si="8">$A$5</f>
        <v>OT</v>
      </c>
      <c r="D41" s="423"/>
      <c r="E41" s="424"/>
      <c r="F41" s="425"/>
      <c r="G41" s="423"/>
      <c r="H41" s="424"/>
      <c r="I41" s="433" t="s">
        <v>80</v>
      </c>
      <c r="J41" s="192"/>
      <c r="K41" s="193"/>
      <c r="L41" s="194" t="s">
        <v>65</v>
      </c>
      <c r="M41" s="195">
        <f t="shared" ref="M41:M56" si="9">K41*B41</f>
        <v>0</v>
      </c>
      <c r="N41" s="196"/>
      <c r="O41" s="195"/>
      <c r="P41" s="194" t="s">
        <v>65</v>
      </c>
      <c r="Q41" s="435"/>
      <c r="R41" s="195"/>
      <c r="S41" s="194" t="s">
        <v>65</v>
      </c>
      <c r="T41" s="205">
        <f t="shared" si="3"/>
        <v>0</v>
      </c>
      <c r="U41" s="199"/>
      <c r="V41" s="199"/>
      <c r="W41" s="208"/>
      <c r="X41" s="198"/>
      <c r="Y41" s="437" t="s">
        <v>57</v>
      </c>
      <c r="Z41" s="231"/>
      <c r="AA41" s="232"/>
      <c r="AB41" s="439"/>
    </row>
    <row r="42" spans="1:32" s="206" customFormat="1" ht="69.95" customHeight="1" x14ac:dyDescent="0.15">
      <c r="A42" s="432"/>
      <c r="B42" s="204">
        <f>$I$6</f>
        <v>668</v>
      </c>
      <c r="C42" s="453" t="str">
        <f>$A$6</f>
        <v>MG</v>
      </c>
      <c r="D42" s="454"/>
      <c r="E42" s="455"/>
      <c r="F42" s="425"/>
      <c r="G42" s="423"/>
      <c r="H42" s="424"/>
      <c r="I42" s="434"/>
      <c r="J42" s="192"/>
      <c r="K42" s="193"/>
      <c r="L42" s="194" t="s">
        <v>65</v>
      </c>
      <c r="M42" s="195">
        <f t="shared" si="9"/>
        <v>0</v>
      </c>
      <c r="N42" s="233"/>
      <c r="O42" s="195"/>
      <c r="P42" s="194" t="s">
        <v>65</v>
      </c>
      <c r="Q42" s="436"/>
      <c r="R42" s="195"/>
      <c r="S42" s="194" t="s">
        <v>65</v>
      </c>
      <c r="T42" s="198">
        <f t="shared" si="3"/>
        <v>0</v>
      </c>
      <c r="U42" s="199"/>
      <c r="V42" s="200"/>
      <c r="W42" s="195"/>
      <c r="X42" s="195"/>
      <c r="Y42" s="438"/>
      <c r="Z42" s="201"/>
      <c r="AA42" s="202"/>
      <c r="AB42" s="440"/>
      <c r="AC42" s="234"/>
      <c r="AD42" s="230"/>
      <c r="AE42" s="230"/>
      <c r="AF42" s="230"/>
    </row>
    <row r="43" spans="1:32" s="206" customFormat="1" ht="69.95" customHeight="1" x14ac:dyDescent="0.15">
      <c r="A43" s="431" t="s">
        <v>78</v>
      </c>
      <c r="B43" s="191">
        <f t="shared" si="7"/>
        <v>611</v>
      </c>
      <c r="C43" s="422" t="str">
        <f t="shared" si="8"/>
        <v>OT</v>
      </c>
      <c r="D43" s="423"/>
      <c r="E43" s="424"/>
      <c r="F43" s="425"/>
      <c r="G43" s="423"/>
      <c r="H43" s="424"/>
      <c r="I43" s="207"/>
      <c r="J43" s="192"/>
      <c r="K43" s="193"/>
      <c r="L43" s="194" t="s">
        <v>65</v>
      </c>
      <c r="M43" s="195">
        <f t="shared" si="9"/>
        <v>0</v>
      </c>
      <c r="N43" s="196"/>
      <c r="O43" s="195"/>
      <c r="P43" s="194" t="s">
        <v>65</v>
      </c>
      <c r="Q43" s="435"/>
      <c r="R43" s="195"/>
      <c r="S43" s="194" t="s">
        <v>65</v>
      </c>
      <c r="T43" s="205">
        <f t="shared" si="3"/>
        <v>0</v>
      </c>
      <c r="U43" s="199"/>
      <c r="V43" s="199"/>
      <c r="W43" s="208"/>
      <c r="X43" s="198"/>
      <c r="Y43" s="437" t="s">
        <v>57</v>
      </c>
      <c r="Z43" s="231"/>
      <c r="AA43" s="232"/>
      <c r="AB43" s="439"/>
    </row>
    <row r="44" spans="1:32" s="206" customFormat="1" ht="69.95" customHeight="1" x14ac:dyDescent="0.15">
      <c r="A44" s="432"/>
      <c r="B44" s="204">
        <f>$I$6</f>
        <v>668</v>
      </c>
      <c r="C44" s="453" t="str">
        <f>$A$6</f>
        <v>MG</v>
      </c>
      <c r="D44" s="454"/>
      <c r="E44" s="455"/>
      <c r="F44" s="425"/>
      <c r="G44" s="423"/>
      <c r="H44" s="424"/>
      <c r="I44" s="207"/>
      <c r="J44" s="192"/>
      <c r="K44" s="193"/>
      <c r="L44" s="194" t="s">
        <v>65</v>
      </c>
      <c r="M44" s="195">
        <f t="shared" si="9"/>
        <v>0</v>
      </c>
      <c r="N44" s="233"/>
      <c r="O44" s="195"/>
      <c r="P44" s="194" t="s">
        <v>65</v>
      </c>
      <c r="Q44" s="436"/>
      <c r="R44" s="195"/>
      <c r="S44" s="194" t="s">
        <v>65</v>
      </c>
      <c r="T44" s="198">
        <f t="shared" si="3"/>
        <v>0</v>
      </c>
      <c r="U44" s="199"/>
      <c r="V44" s="200"/>
      <c r="W44" s="195"/>
      <c r="X44" s="195"/>
      <c r="Y44" s="438"/>
      <c r="Z44" s="201"/>
      <c r="AA44" s="202"/>
      <c r="AB44" s="440"/>
      <c r="AC44" s="234"/>
      <c r="AD44" s="230"/>
      <c r="AE44" s="230"/>
      <c r="AF44" s="230"/>
    </row>
    <row r="45" spans="1:32" s="55" customFormat="1" ht="69.95" customHeight="1" x14ac:dyDescent="0.15">
      <c r="A45" s="431" t="s">
        <v>100</v>
      </c>
      <c r="B45" s="191">
        <f t="shared" ref="B45:B53" si="10">$I$5</f>
        <v>611</v>
      </c>
      <c r="C45" s="422" t="str">
        <f t="shared" ref="C45:C53" si="11">$A$5</f>
        <v>OT</v>
      </c>
      <c r="D45" s="423"/>
      <c r="E45" s="424"/>
      <c r="F45" s="425"/>
      <c r="G45" s="423"/>
      <c r="H45" s="424"/>
      <c r="I45" s="207" t="s">
        <v>101</v>
      </c>
      <c r="J45" s="192"/>
      <c r="K45" s="193"/>
      <c r="L45" s="194" t="s">
        <v>63</v>
      </c>
      <c r="M45" s="195">
        <f t="shared" si="9"/>
        <v>0</v>
      </c>
      <c r="N45" s="196"/>
      <c r="O45" s="195"/>
      <c r="P45" s="197" t="s">
        <v>63</v>
      </c>
      <c r="Q45" s="435"/>
      <c r="R45" s="195"/>
      <c r="S45" s="197" t="s">
        <v>63</v>
      </c>
      <c r="T45" s="205">
        <f t="shared" si="3"/>
        <v>0</v>
      </c>
      <c r="U45" s="199"/>
      <c r="V45" s="199"/>
      <c r="W45" s="208"/>
      <c r="X45" s="198"/>
      <c r="Y45" s="437" t="s">
        <v>94</v>
      </c>
      <c r="Z45" s="231"/>
      <c r="AA45" s="232"/>
      <c r="AB45" s="439"/>
    </row>
    <row r="46" spans="1:32" s="55" customFormat="1" ht="69.95" customHeight="1" x14ac:dyDescent="0.15">
      <c r="A46" s="432"/>
      <c r="B46" s="204">
        <f>$I$6</f>
        <v>668</v>
      </c>
      <c r="C46" s="453" t="str">
        <f>$A$6</f>
        <v>MG</v>
      </c>
      <c r="D46" s="454"/>
      <c r="E46" s="455"/>
      <c r="F46" s="425"/>
      <c r="G46" s="423"/>
      <c r="H46" s="424"/>
      <c r="I46" s="207" t="s">
        <v>101</v>
      </c>
      <c r="J46" s="192"/>
      <c r="K46" s="193"/>
      <c r="L46" s="194" t="s">
        <v>63</v>
      </c>
      <c r="M46" s="195">
        <f t="shared" si="9"/>
        <v>0</v>
      </c>
      <c r="N46" s="233"/>
      <c r="O46" s="195"/>
      <c r="P46" s="197" t="s">
        <v>63</v>
      </c>
      <c r="Q46" s="436"/>
      <c r="R46" s="195"/>
      <c r="S46" s="197" t="s">
        <v>63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440"/>
      <c r="AC46" s="142"/>
      <c r="AD46" s="179"/>
      <c r="AE46" s="179"/>
      <c r="AF46" s="179"/>
    </row>
    <row r="47" spans="1:32" s="206" customFormat="1" ht="69.95" customHeight="1" x14ac:dyDescent="0.15">
      <c r="A47" s="431" t="s">
        <v>265</v>
      </c>
      <c r="B47" s="182">
        <f t="shared" ref="B47" si="12">$I$5</f>
        <v>611</v>
      </c>
      <c r="C47" s="368" t="str">
        <f t="shared" si="11"/>
        <v>OT</v>
      </c>
      <c r="D47" s="369"/>
      <c r="E47" s="370"/>
      <c r="F47" s="428"/>
      <c r="G47" s="429"/>
      <c r="H47" s="430"/>
      <c r="I47" s="148"/>
      <c r="J47" s="76"/>
      <c r="K47" s="139">
        <v>2</v>
      </c>
      <c r="L47" s="77" t="s">
        <v>267</v>
      </c>
      <c r="M47" s="88">
        <f t="shared" si="9"/>
        <v>1222</v>
      </c>
      <c r="N47" s="140"/>
      <c r="O47" s="78"/>
      <c r="P47" s="80"/>
      <c r="Q47" s="443">
        <v>46101</v>
      </c>
      <c r="R47" s="78">
        <v>1222</v>
      </c>
      <c r="S47" s="80" t="s">
        <v>264</v>
      </c>
      <c r="T47" s="154">
        <f t="shared" si="3"/>
        <v>0</v>
      </c>
      <c r="U47" s="82"/>
      <c r="V47" s="137"/>
      <c r="W47" s="78"/>
      <c r="X47" s="78"/>
      <c r="Y47" s="445" t="s">
        <v>64</v>
      </c>
      <c r="Z47" s="141"/>
      <c r="AA47" s="135"/>
      <c r="AB47" s="360" t="s">
        <v>322</v>
      </c>
      <c r="AC47" s="234"/>
      <c r="AD47" s="230"/>
      <c r="AE47" s="230"/>
      <c r="AF47" s="230"/>
    </row>
    <row r="48" spans="1:32" s="206" customFormat="1" ht="69.95" customHeight="1" x14ac:dyDescent="0.15">
      <c r="A48" s="432"/>
      <c r="B48" s="186">
        <f>$I$6</f>
        <v>668</v>
      </c>
      <c r="C48" s="368" t="str">
        <f>$A$6</f>
        <v>MG</v>
      </c>
      <c r="D48" s="369"/>
      <c r="E48" s="370"/>
      <c r="F48" s="428"/>
      <c r="G48" s="429"/>
      <c r="H48" s="430"/>
      <c r="I48" s="148"/>
      <c r="J48" s="76"/>
      <c r="K48" s="139">
        <v>2</v>
      </c>
      <c r="L48" s="77" t="s">
        <v>267</v>
      </c>
      <c r="M48" s="88">
        <f t="shared" si="9"/>
        <v>1336</v>
      </c>
      <c r="N48" s="140"/>
      <c r="O48" s="78"/>
      <c r="P48" s="80"/>
      <c r="Q48" s="447"/>
      <c r="R48" s="78">
        <v>1336</v>
      </c>
      <c r="S48" s="80" t="s">
        <v>264</v>
      </c>
      <c r="T48" s="154">
        <f t="shared" si="3"/>
        <v>0</v>
      </c>
      <c r="U48" s="82"/>
      <c r="V48" s="137"/>
      <c r="W48" s="78"/>
      <c r="X48" s="78"/>
      <c r="Y48" s="446"/>
      <c r="Z48" s="141"/>
      <c r="AA48" s="135"/>
      <c r="AB48" s="361"/>
      <c r="AC48" s="234"/>
      <c r="AD48" s="230"/>
      <c r="AE48" s="230"/>
      <c r="AF48" s="230"/>
    </row>
    <row r="49" spans="1:32" s="206" customFormat="1" ht="69.95" customHeight="1" x14ac:dyDescent="0.15">
      <c r="A49" s="431" t="s">
        <v>90</v>
      </c>
      <c r="B49" s="182">
        <f t="shared" si="10"/>
        <v>611</v>
      </c>
      <c r="C49" s="368" t="str">
        <f t="shared" si="11"/>
        <v>OT</v>
      </c>
      <c r="D49" s="369"/>
      <c r="E49" s="370"/>
      <c r="F49" s="428"/>
      <c r="G49" s="429"/>
      <c r="H49" s="430"/>
      <c r="I49" s="75" t="s">
        <v>79</v>
      </c>
      <c r="J49" s="76"/>
      <c r="K49" s="139">
        <v>5</v>
      </c>
      <c r="L49" s="77" t="s">
        <v>63</v>
      </c>
      <c r="M49" s="78">
        <f t="shared" si="9"/>
        <v>3055</v>
      </c>
      <c r="N49" s="79"/>
      <c r="O49" s="78"/>
      <c r="P49" s="80" t="s">
        <v>63</v>
      </c>
      <c r="Q49" s="447"/>
      <c r="R49" s="78">
        <v>3055</v>
      </c>
      <c r="S49" s="80" t="s">
        <v>63</v>
      </c>
      <c r="T49" s="84">
        <f t="shared" si="3"/>
        <v>0</v>
      </c>
      <c r="U49" s="82"/>
      <c r="V49" s="82"/>
      <c r="W49" s="83"/>
      <c r="X49" s="81"/>
      <c r="Y49" s="445" t="s">
        <v>64</v>
      </c>
      <c r="Z49" s="86"/>
      <c r="AA49" s="85"/>
      <c r="AB49" s="361"/>
    </row>
    <row r="50" spans="1:32" s="206" customFormat="1" ht="69.95" customHeight="1" x14ac:dyDescent="0.15">
      <c r="A50" s="432"/>
      <c r="B50" s="186">
        <f>$I$6</f>
        <v>668</v>
      </c>
      <c r="C50" s="368" t="str">
        <f>$A$6</f>
        <v>MG</v>
      </c>
      <c r="D50" s="369"/>
      <c r="E50" s="370"/>
      <c r="F50" s="428"/>
      <c r="G50" s="429"/>
      <c r="H50" s="430"/>
      <c r="I50" s="75" t="s">
        <v>79</v>
      </c>
      <c r="J50" s="76"/>
      <c r="K50" s="139">
        <v>5</v>
      </c>
      <c r="L50" s="77" t="s">
        <v>63</v>
      </c>
      <c r="M50" s="78">
        <f t="shared" si="9"/>
        <v>3340</v>
      </c>
      <c r="N50" s="140"/>
      <c r="O50" s="78"/>
      <c r="P50" s="80" t="s">
        <v>63</v>
      </c>
      <c r="Q50" s="444"/>
      <c r="R50" s="78">
        <v>3340</v>
      </c>
      <c r="S50" s="80" t="s">
        <v>63</v>
      </c>
      <c r="T50" s="81">
        <f t="shared" si="3"/>
        <v>0</v>
      </c>
      <c r="U50" s="82"/>
      <c r="V50" s="137"/>
      <c r="W50" s="78"/>
      <c r="X50" s="78"/>
      <c r="Y50" s="446"/>
      <c r="Z50" s="141"/>
      <c r="AA50" s="135"/>
      <c r="AB50" s="362"/>
      <c r="AC50" s="234"/>
      <c r="AD50" s="230"/>
      <c r="AE50" s="230"/>
      <c r="AF50" s="230"/>
    </row>
    <row r="51" spans="1:32" s="55" customFormat="1" ht="69.95" customHeight="1" x14ac:dyDescent="0.15">
      <c r="A51" s="431" t="s">
        <v>91</v>
      </c>
      <c r="B51" s="191">
        <f t="shared" si="10"/>
        <v>611</v>
      </c>
      <c r="C51" s="422" t="str">
        <f t="shared" si="11"/>
        <v>OT</v>
      </c>
      <c r="D51" s="423"/>
      <c r="E51" s="424"/>
      <c r="F51" s="425"/>
      <c r="G51" s="426"/>
      <c r="H51" s="427"/>
      <c r="I51" s="207" t="s">
        <v>75</v>
      </c>
      <c r="J51" s="192"/>
      <c r="K51" s="193"/>
      <c r="L51" s="194" t="s">
        <v>63</v>
      </c>
      <c r="M51" s="195">
        <f t="shared" si="9"/>
        <v>0</v>
      </c>
      <c r="N51" s="196"/>
      <c r="O51" s="195"/>
      <c r="P51" s="197" t="s">
        <v>63</v>
      </c>
      <c r="Q51" s="435"/>
      <c r="R51" s="195"/>
      <c r="S51" s="197" t="s">
        <v>63</v>
      </c>
      <c r="T51" s="205">
        <f t="shared" si="3"/>
        <v>0</v>
      </c>
      <c r="U51" s="199"/>
      <c r="V51" s="199"/>
      <c r="W51" s="208"/>
      <c r="X51" s="198"/>
      <c r="Y51" s="437" t="s">
        <v>64</v>
      </c>
      <c r="Z51" s="231"/>
      <c r="AA51" s="232"/>
      <c r="AB51" s="439"/>
    </row>
    <row r="52" spans="1:32" s="55" customFormat="1" ht="69.95" customHeight="1" x14ac:dyDescent="0.15">
      <c r="A52" s="432"/>
      <c r="B52" s="204">
        <f>$I$6</f>
        <v>668</v>
      </c>
      <c r="C52" s="422" t="str">
        <f>$A$6</f>
        <v>MG</v>
      </c>
      <c r="D52" s="423"/>
      <c r="E52" s="424"/>
      <c r="F52" s="425"/>
      <c r="G52" s="426"/>
      <c r="H52" s="427"/>
      <c r="I52" s="207" t="s">
        <v>75</v>
      </c>
      <c r="J52" s="192"/>
      <c r="K52" s="193"/>
      <c r="L52" s="194" t="s">
        <v>63</v>
      </c>
      <c r="M52" s="195">
        <f t="shared" si="9"/>
        <v>0</v>
      </c>
      <c r="N52" s="233"/>
      <c r="O52" s="195"/>
      <c r="P52" s="197" t="s">
        <v>63</v>
      </c>
      <c r="Q52" s="436"/>
      <c r="R52" s="195"/>
      <c r="S52" s="197" t="s">
        <v>63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  <c r="AC52" s="142"/>
      <c r="AD52" s="179"/>
      <c r="AE52" s="179"/>
      <c r="AF52" s="179"/>
    </row>
    <row r="53" spans="1:32" s="55" customFormat="1" ht="69.95" customHeight="1" x14ac:dyDescent="0.15">
      <c r="A53" s="431" t="s">
        <v>255</v>
      </c>
      <c r="B53" s="191">
        <f t="shared" si="10"/>
        <v>611</v>
      </c>
      <c r="C53" s="422" t="str">
        <f t="shared" si="11"/>
        <v>OT</v>
      </c>
      <c r="D53" s="423"/>
      <c r="E53" s="424"/>
      <c r="F53" s="425"/>
      <c r="G53" s="426"/>
      <c r="H53" s="427"/>
      <c r="I53" s="207" t="s">
        <v>79</v>
      </c>
      <c r="J53" s="192"/>
      <c r="K53" s="193">
        <v>4</v>
      </c>
      <c r="L53" s="194" t="s">
        <v>65</v>
      </c>
      <c r="M53" s="195">
        <f t="shared" si="9"/>
        <v>2444</v>
      </c>
      <c r="N53" s="196"/>
      <c r="O53" s="195"/>
      <c r="P53" s="197" t="s">
        <v>63</v>
      </c>
      <c r="Q53" s="435"/>
      <c r="R53" s="195"/>
      <c r="S53" s="197" t="s">
        <v>63</v>
      </c>
      <c r="T53" s="205">
        <f t="shared" si="3"/>
        <v>-2444</v>
      </c>
      <c r="U53" s="199"/>
      <c r="V53" s="199"/>
      <c r="W53" s="208"/>
      <c r="X53" s="198"/>
      <c r="Y53" s="437" t="s">
        <v>64</v>
      </c>
      <c r="Z53" s="231"/>
      <c r="AA53" s="232"/>
      <c r="AB53" s="439"/>
    </row>
    <row r="54" spans="1:32" s="55" customFormat="1" ht="69.95" customHeight="1" x14ac:dyDescent="0.15">
      <c r="A54" s="432"/>
      <c r="B54" s="204">
        <f>$I$6</f>
        <v>668</v>
      </c>
      <c r="C54" s="422" t="str">
        <f>$A$6</f>
        <v>MG</v>
      </c>
      <c r="D54" s="423"/>
      <c r="E54" s="424"/>
      <c r="F54" s="425"/>
      <c r="G54" s="426"/>
      <c r="H54" s="427"/>
      <c r="I54" s="207" t="s">
        <v>79</v>
      </c>
      <c r="J54" s="192"/>
      <c r="K54" s="193">
        <v>4</v>
      </c>
      <c r="L54" s="194" t="s">
        <v>65</v>
      </c>
      <c r="M54" s="195">
        <f t="shared" si="9"/>
        <v>2672</v>
      </c>
      <c r="N54" s="233"/>
      <c r="O54" s="195"/>
      <c r="P54" s="197" t="s">
        <v>63</v>
      </c>
      <c r="Q54" s="436"/>
      <c r="R54" s="195"/>
      <c r="S54" s="197" t="s">
        <v>63</v>
      </c>
      <c r="T54" s="198">
        <f t="shared" si="3"/>
        <v>-2672</v>
      </c>
      <c r="U54" s="199"/>
      <c r="V54" s="200"/>
      <c r="W54" s="195"/>
      <c r="X54" s="195"/>
      <c r="Y54" s="438"/>
      <c r="Z54" s="201"/>
      <c r="AA54" s="202"/>
      <c r="AB54" s="440"/>
      <c r="AC54" s="142"/>
      <c r="AD54" s="179"/>
      <c r="AE54" s="179"/>
      <c r="AF54" s="179"/>
    </row>
    <row r="55" spans="1:32" s="55" customFormat="1" ht="69.95" customHeight="1" x14ac:dyDescent="0.15">
      <c r="A55" s="431" t="s">
        <v>103</v>
      </c>
      <c r="B55" s="191">
        <f t="shared" ref="B55" si="13">$I$5</f>
        <v>611</v>
      </c>
      <c r="C55" s="422" t="str">
        <f t="shared" ref="C55" si="14">$A$5</f>
        <v>OT</v>
      </c>
      <c r="D55" s="423"/>
      <c r="E55" s="424"/>
      <c r="F55" s="425"/>
      <c r="G55" s="426"/>
      <c r="H55" s="427"/>
      <c r="I55" s="207"/>
      <c r="J55" s="192"/>
      <c r="K55" s="193"/>
      <c r="L55" s="194" t="s">
        <v>65</v>
      </c>
      <c r="M55" s="195">
        <f t="shared" si="9"/>
        <v>0</v>
      </c>
      <c r="N55" s="196"/>
      <c r="O55" s="195"/>
      <c r="P55" s="197" t="s">
        <v>65</v>
      </c>
      <c r="Q55" s="435"/>
      <c r="R55" s="195"/>
      <c r="S55" s="197" t="s">
        <v>65</v>
      </c>
      <c r="T55" s="205">
        <f t="shared" si="3"/>
        <v>0</v>
      </c>
      <c r="U55" s="199"/>
      <c r="V55" s="199"/>
      <c r="W55" s="208"/>
      <c r="X55" s="198"/>
      <c r="Y55" s="437" t="s">
        <v>94</v>
      </c>
      <c r="Z55" s="231"/>
      <c r="AA55" s="232"/>
      <c r="AB55" s="439"/>
    </row>
    <row r="56" spans="1:32" s="55" customFormat="1" ht="69.95" customHeight="1" x14ac:dyDescent="0.15">
      <c r="A56" s="432"/>
      <c r="B56" s="204">
        <f>$I$6</f>
        <v>668</v>
      </c>
      <c r="C56" s="422" t="str">
        <f>$A$6</f>
        <v>MG</v>
      </c>
      <c r="D56" s="423"/>
      <c r="E56" s="424"/>
      <c r="F56" s="425"/>
      <c r="G56" s="426"/>
      <c r="H56" s="427"/>
      <c r="I56" s="207"/>
      <c r="J56" s="192"/>
      <c r="K56" s="193"/>
      <c r="L56" s="194" t="s">
        <v>65</v>
      </c>
      <c r="M56" s="195">
        <f t="shared" si="9"/>
        <v>0</v>
      </c>
      <c r="N56" s="233"/>
      <c r="O56" s="195"/>
      <c r="P56" s="197" t="s">
        <v>65</v>
      </c>
      <c r="Q56" s="436"/>
      <c r="R56" s="195"/>
      <c r="S56" s="197" t="s">
        <v>65</v>
      </c>
      <c r="T56" s="198">
        <f t="shared" si="3"/>
        <v>0</v>
      </c>
      <c r="U56" s="199"/>
      <c r="V56" s="200"/>
      <c r="W56" s="195"/>
      <c r="X56" s="195"/>
      <c r="Y56" s="438"/>
      <c r="Z56" s="201"/>
      <c r="AA56" s="202"/>
      <c r="AB56" s="440"/>
      <c r="AC56" s="142"/>
      <c r="AD56" s="179"/>
      <c r="AE56" s="179"/>
      <c r="AF56" s="179"/>
    </row>
    <row r="57" spans="1:32" s="55" customFormat="1" ht="69.95" customHeight="1" x14ac:dyDescent="0.15">
      <c r="A57" s="431" t="s">
        <v>256</v>
      </c>
      <c r="B57" s="191">
        <f t="shared" ref="B57:B61" si="15">$I$5</f>
        <v>611</v>
      </c>
      <c r="C57" s="422" t="str">
        <f t="shared" ref="C57:C59" si="16">$A$5</f>
        <v>OT</v>
      </c>
      <c r="D57" s="423"/>
      <c r="E57" s="424"/>
      <c r="F57" s="425"/>
      <c r="G57" s="426"/>
      <c r="H57" s="427"/>
      <c r="I57" s="433" t="s">
        <v>102</v>
      </c>
      <c r="J57" s="192"/>
      <c r="K57" s="209">
        <v>0.96</v>
      </c>
      <c r="L57" s="194" t="s">
        <v>129</v>
      </c>
      <c r="M57" s="195">
        <f t="shared" si="4"/>
        <v>586.55999999999995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si="3"/>
        <v>-586.55999999999995</v>
      </c>
      <c r="U57" s="199"/>
      <c r="V57" s="199"/>
      <c r="W57" s="208"/>
      <c r="X57" s="198"/>
      <c r="Y57" s="437" t="s">
        <v>130</v>
      </c>
      <c r="Z57" s="231"/>
      <c r="AA57" s="232"/>
      <c r="AB57" s="439"/>
    </row>
    <row r="58" spans="1:32" s="55" customFormat="1" ht="69.95" customHeight="1" x14ac:dyDescent="0.15">
      <c r="A58" s="432"/>
      <c r="B58" s="204">
        <f>$I$6</f>
        <v>668</v>
      </c>
      <c r="C58" s="422" t="str">
        <f>$A$6</f>
        <v>MG</v>
      </c>
      <c r="D58" s="423"/>
      <c r="E58" s="424"/>
      <c r="F58" s="425"/>
      <c r="G58" s="426"/>
      <c r="H58" s="427"/>
      <c r="I58" s="434"/>
      <c r="J58" s="192"/>
      <c r="K58" s="209">
        <v>0.96</v>
      </c>
      <c r="L58" s="194" t="s">
        <v>129</v>
      </c>
      <c r="M58" s="195">
        <f t="shared" si="4"/>
        <v>641.28</v>
      </c>
      <c r="N58" s="233"/>
      <c r="O58" s="195"/>
      <c r="P58" s="197" t="s">
        <v>63</v>
      </c>
      <c r="Q58" s="436"/>
      <c r="R58" s="195"/>
      <c r="S58" s="197" t="s">
        <v>63</v>
      </c>
      <c r="T58" s="198">
        <f t="shared" si="3"/>
        <v>-641.28</v>
      </c>
      <c r="U58" s="199"/>
      <c r="V58" s="200"/>
      <c r="W58" s="195"/>
      <c r="X58" s="195"/>
      <c r="Y58" s="438"/>
      <c r="Z58" s="201"/>
      <c r="AA58" s="202"/>
      <c r="AB58" s="440"/>
      <c r="AC58" s="142"/>
      <c r="AD58" s="179"/>
      <c r="AE58" s="179"/>
      <c r="AF58" s="179"/>
    </row>
    <row r="59" spans="1:32" s="206" customFormat="1" ht="69.95" customHeight="1" x14ac:dyDescent="0.15">
      <c r="A59" s="431" t="s">
        <v>120</v>
      </c>
      <c r="B59" s="191">
        <f t="shared" si="15"/>
        <v>611</v>
      </c>
      <c r="C59" s="422" t="str">
        <f t="shared" si="16"/>
        <v>OT</v>
      </c>
      <c r="D59" s="423"/>
      <c r="E59" s="424"/>
      <c r="F59" s="425"/>
      <c r="G59" s="426"/>
      <c r="H59" s="427"/>
      <c r="I59" s="433" t="s">
        <v>75</v>
      </c>
      <c r="J59" s="192"/>
      <c r="K59" s="193">
        <v>2</v>
      </c>
      <c r="L59" s="194" t="s">
        <v>63</v>
      </c>
      <c r="M59" s="195">
        <f t="shared" si="4"/>
        <v>1222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-1222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206" customFormat="1" ht="69.95" customHeight="1" x14ac:dyDescent="0.15">
      <c r="A60" s="432"/>
      <c r="B60" s="204">
        <f>$I$6</f>
        <v>668</v>
      </c>
      <c r="C60" s="422" t="str">
        <f>$A$6</f>
        <v>MG</v>
      </c>
      <c r="D60" s="423"/>
      <c r="E60" s="424"/>
      <c r="F60" s="425"/>
      <c r="G60" s="426"/>
      <c r="H60" s="427"/>
      <c r="I60" s="434"/>
      <c r="J60" s="192"/>
      <c r="K60" s="193">
        <v>2</v>
      </c>
      <c r="L60" s="194" t="s">
        <v>63</v>
      </c>
      <c r="M60" s="195">
        <f t="shared" si="4"/>
        <v>1336</v>
      </c>
      <c r="N60" s="233"/>
      <c r="O60" s="195"/>
      <c r="P60" s="197" t="s">
        <v>63</v>
      </c>
      <c r="Q60" s="436"/>
      <c r="R60" s="195"/>
      <c r="S60" s="197" t="s">
        <v>63</v>
      </c>
      <c r="T60" s="198">
        <f t="shared" si="3"/>
        <v>-1336</v>
      </c>
      <c r="U60" s="199"/>
      <c r="V60" s="200"/>
      <c r="W60" s="195"/>
      <c r="X60" s="195"/>
      <c r="Y60" s="438"/>
      <c r="Z60" s="201"/>
      <c r="AA60" s="202"/>
      <c r="AB60" s="440"/>
      <c r="AC60" s="234"/>
      <c r="AD60" s="230"/>
      <c r="AE60" s="230"/>
      <c r="AF60" s="230"/>
    </row>
    <row r="61" spans="1:32" s="206" customFormat="1" ht="69.95" customHeight="1" x14ac:dyDescent="0.15">
      <c r="A61" s="431" t="s">
        <v>266</v>
      </c>
      <c r="B61" s="182">
        <f t="shared" si="15"/>
        <v>611</v>
      </c>
      <c r="C61" s="368"/>
      <c r="D61" s="369"/>
      <c r="E61" s="370"/>
      <c r="F61" s="428"/>
      <c r="G61" s="429"/>
      <c r="H61" s="430"/>
      <c r="I61" s="148"/>
      <c r="J61" s="76"/>
      <c r="K61" s="298">
        <v>1.2</v>
      </c>
      <c r="L61" s="77" t="s">
        <v>264</v>
      </c>
      <c r="M61" s="88">
        <f t="shared" si="4"/>
        <v>733.19999999999993</v>
      </c>
      <c r="N61" s="140"/>
      <c r="O61" s="78"/>
      <c r="P61" s="80"/>
      <c r="Q61" s="443">
        <v>46064</v>
      </c>
      <c r="R61" s="78">
        <v>733</v>
      </c>
      <c r="S61" s="80" t="s">
        <v>264</v>
      </c>
      <c r="T61" s="154">
        <f t="shared" si="3"/>
        <v>-0.19999999999993179</v>
      </c>
      <c r="U61" s="82"/>
      <c r="V61" s="137"/>
      <c r="W61" s="78"/>
      <c r="X61" s="78"/>
      <c r="Y61" s="445" t="s">
        <v>140</v>
      </c>
      <c r="Z61" s="141"/>
      <c r="AA61" s="135"/>
      <c r="AB61" s="360" t="s">
        <v>274</v>
      </c>
      <c r="AC61" s="234"/>
      <c r="AD61" s="230"/>
      <c r="AE61" s="230"/>
      <c r="AF61" s="230"/>
    </row>
    <row r="62" spans="1:32" s="206" customFormat="1" ht="69.95" customHeight="1" x14ac:dyDescent="0.15">
      <c r="A62" s="432"/>
      <c r="B62" s="186">
        <f>$I$6</f>
        <v>668</v>
      </c>
      <c r="C62" s="368"/>
      <c r="D62" s="369"/>
      <c r="E62" s="370"/>
      <c r="F62" s="428"/>
      <c r="G62" s="429"/>
      <c r="H62" s="430"/>
      <c r="I62" s="148"/>
      <c r="J62" s="76"/>
      <c r="K62" s="298">
        <v>1.2</v>
      </c>
      <c r="L62" s="77" t="s">
        <v>264</v>
      </c>
      <c r="M62" s="88">
        <f t="shared" si="4"/>
        <v>801.6</v>
      </c>
      <c r="N62" s="140"/>
      <c r="O62" s="78"/>
      <c r="P62" s="80"/>
      <c r="Q62" s="444"/>
      <c r="R62" s="78">
        <v>802</v>
      </c>
      <c r="S62" s="80" t="s">
        <v>264</v>
      </c>
      <c r="T62" s="154">
        <f t="shared" si="3"/>
        <v>0.39999999999997726</v>
      </c>
      <c r="U62" s="82"/>
      <c r="V62" s="137"/>
      <c r="W62" s="78"/>
      <c r="X62" s="78"/>
      <c r="Y62" s="446"/>
      <c r="Z62" s="141"/>
      <c r="AA62" s="135"/>
      <c r="AB62" s="362"/>
      <c r="AC62" s="234"/>
      <c r="AD62" s="230"/>
      <c r="AE62" s="230"/>
      <c r="AF62" s="230"/>
    </row>
    <row r="63" spans="1:32" s="206" customFormat="1" ht="54.95" customHeight="1" x14ac:dyDescent="0.15">
      <c r="A63" s="92" t="s">
        <v>257</v>
      </c>
      <c r="B63" s="87">
        <f>I11</f>
        <v>1279</v>
      </c>
      <c r="C63" s="368" t="s">
        <v>71</v>
      </c>
      <c r="D63" s="369"/>
      <c r="E63" s="370"/>
      <c r="F63" s="368"/>
      <c r="G63" s="369"/>
      <c r="H63" s="370"/>
      <c r="I63" s="93"/>
      <c r="J63" s="90"/>
      <c r="K63" s="156">
        <v>1</v>
      </c>
      <c r="L63" s="77" t="s">
        <v>63</v>
      </c>
      <c r="M63" s="88">
        <f t="shared" si="4"/>
        <v>1279</v>
      </c>
      <c r="N63" s="91"/>
      <c r="O63" s="91"/>
      <c r="P63" s="88" t="s">
        <v>63</v>
      </c>
      <c r="Q63" s="318">
        <v>46064</v>
      </c>
      <c r="R63" s="93">
        <v>1279</v>
      </c>
      <c r="S63" s="88" t="s">
        <v>63</v>
      </c>
      <c r="T63" s="154">
        <f t="shared" si="3"/>
        <v>0</v>
      </c>
      <c r="U63" s="91"/>
      <c r="V63" s="159"/>
      <c r="W63" s="159"/>
      <c r="X63" s="159"/>
      <c r="Y63" s="160" t="s">
        <v>72</v>
      </c>
      <c r="Z63" s="94"/>
      <c r="AA63" s="95"/>
      <c r="AB63" s="319" t="s">
        <v>275</v>
      </c>
    </row>
    <row r="64" spans="1:32" s="55" customFormat="1" ht="54.95" customHeight="1" x14ac:dyDescent="0.15">
      <c r="A64" s="386" t="s">
        <v>66</v>
      </c>
      <c r="B64" s="87">
        <f>C11</f>
        <v>710</v>
      </c>
      <c r="C64" s="389" t="e">
        <f>#REF!</f>
        <v>#REF!</v>
      </c>
      <c r="D64" s="390"/>
      <c r="E64" s="391"/>
      <c r="F64" s="368"/>
      <c r="G64" s="369"/>
      <c r="H64" s="370"/>
      <c r="I64" s="152"/>
      <c r="J64" s="75"/>
      <c r="K64" s="139">
        <v>1</v>
      </c>
      <c r="L64" s="77" t="s">
        <v>63</v>
      </c>
      <c r="M64" s="88">
        <f t="shared" si="4"/>
        <v>710</v>
      </c>
      <c r="N64" s="89"/>
      <c r="O64" s="153"/>
      <c r="P64" s="88" t="s">
        <v>63</v>
      </c>
      <c r="Q64" s="443">
        <v>46064</v>
      </c>
      <c r="R64" s="153">
        <v>710</v>
      </c>
      <c r="S64" s="88" t="s">
        <v>63</v>
      </c>
      <c r="T64" s="154">
        <f t="shared" si="3"/>
        <v>0</v>
      </c>
      <c r="U64" s="129"/>
      <c r="V64" s="155"/>
      <c r="W64" s="154"/>
      <c r="X64" s="154"/>
      <c r="Y64" s="401" t="s">
        <v>72</v>
      </c>
      <c r="Z64" s="401"/>
      <c r="AA64" s="401"/>
      <c r="AB64" s="579" t="s">
        <v>276</v>
      </c>
    </row>
    <row r="65" spans="1:28" s="55" customFormat="1" ht="54.95" customHeight="1" x14ac:dyDescent="0.15">
      <c r="A65" s="387"/>
      <c r="B65" s="87">
        <f>D11</f>
        <v>480</v>
      </c>
      <c r="C65" s="392"/>
      <c r="D65" s="393"/>
      <c r="E65" s="394"/>
      <c r="F65" s="368"/>
      <c r="G65" s="369"/>
      <c r="H65" s="370"/>
      <c r="I65" s="152"/>
      <c r="J65" s="75"/>
      <c r="K65" s="156">
        <v>1</v>
      </c>
      <c r="L65" s="77" t="s">
        <v>63</v>
      </c>
      <c r="M65" s="88">
        <f t="shared" si="4"/>
        <v>480</v>
      </c>
      <c r="N65" s="89"/>
      <c r="O65" s="153"/>
      <c r="P65" s="88" t="s">
        <v>63</v>
      </c>
      <c r="Q65" s="447"/>
      <c r="R65" s="153">
        <v>480</v>
      </c>
      <c r="S65" s="88" t="s">
        <v>63</v>
      </c>
      <c r="T65" s="154">
        <f t="shared" si="3"/>
        <v>0</v>
      </c>
      <c r="U65" s="129"/>
      <c r="V65" s="155"/>
      <c r="W65" s="154"/>
      <c r="X65" s="154"/>
      <c r="Y65" s="402"/>
      <c r="Z65" s="402"/>
      <c r="AA65" s="402"/>
      <c r="AB65" s="580"/>
    </row>
    <row r="66" spans="1:28" s="55" customFormat="1" ht="54.95" customHeight="1" x14ac:dyDescent="0.15">
      <c r="A66" s="387"/>
      <c r="B66" s="87">
        <f>E11</f>
        <v>89</v>
      </c>
      <c r="C66" s="392"/>
      <c r="D66" s="393"/>
      <c r="E66" s="394"/>
      <c r="F66" s="368"/>
      <c r="G66" s="369"/>
      <c r="H66" s="370"/>
      <c r="I66" s="152"/>
      <c r="J66" s="75"/>
      <c r="K66" s="156">
        <v>1</v>
      </c>
      <c r="L66" s="77" t="s">
        <v>63</v>
      </c>
      <c r="M66" s="88">
        <f t="shared" si="4"/>
        <v>89</v>
      </c>
      <c r="N66" s="89"/>
      <c r="O66" s="153"/>
      <c r="P66" s="88" t="s">
        <v>63</v>
      </c>
      <c r="Q66" s="447"/>
      <c r="R66" s="153">
        <v>89</v>
      </c>
      <c r="S66" s="88" t="s">
        <v>63</v>
      </c>
      <c r="T66" s="154">
        <f t="shared" si="3"/>
        <v>0</v>
      </c>
      <c r="U66" s="129"/>
      <c r="V66" s="155"/>
      <c r="W66" s="154"/>
      <c r="X66" s="154"/>
      <c r="Y66" s="402"/>
      <c r="Z66" s="402"/>
      <c r="AA66" s="402"/>
      <c r="AB66" s="580"/>
    </row>
    <row r="67" spans="1:28" s="55" customFormat="1" ht="54.95" customHeight="1" x14ac:dyDescent="0.15">
      <c r="A67" s="387"/>
      <c r="B67" s="87">
        <f>F11</f>
        <v>0</v>
      </c>
      <c r="C67" s="392"/>
      <c r="D67" s="393"/>
      <c r="E67" s="394"/>
      <c r="F67" s="368"/>
      <c r="G67" s="369"/>
      <c r="H67" s="370"/>
      <c r="I67" s="152"/>
      <c r="J67" s="75"/>
      <c r="K67" s="156">
        <v>1</v>
      </c>
      <c r="L67" s="77" t="s">
        <v>63</v>
      </c>
      <c r="M67" s="88">
        <f t="shared" si="4"/>
        <v>0</v>
      </c>
      <c r="N67" s="89"/>
      <c r="O67" s="153"/>
      <c r="P67" s="88" t="s">
        <v>63</v>
      </c>
      <c r="Q67" s="447"/>
      <c r="R67" s="153"/>
      <c r="S67" s="88" t="s">
        <v>63</v>
      </c>
      <c r="T67" s="154">
        <f t="shared" si="3"/>
        <v>0</v>
      </c>
      <c r="U67" s="129"/>
      <c r="V67" s="155"/>
      <c r="W67" s="154"/>
      <c r="X67" s="154"/>
      <c r="Y67" s="402"/>
      <c r="Z67" s="402"/>
      <c r="AA67" s="402"/>
      <c r="AB67" s="580"/>
    </row>
    <row r="68" spans="1:28" s="55" customFormat="1" ht="54.95" customHeight="1" x14ac:dyDescent="0.15">
      <c r="A68" s="388"/>
      <c r="B68" s="87">
        <f>G11</f>
        <v>0</v>
      </c>
      <c r="C68" s="395"/>
      <c r="D68" s="396"/>
      <c r="E68" s="397"/>
      <c r="F68" s="368"/>
      <c r="G68" s="369"/>
      <c r="H68" s="370"/>
      <c r="I68" s="152"/>
      <c r="J68" s="75"/>
      <c r="K68" s="156">
        <v>1</v>
      </c>
      <c r="L68" s="77" t="s">
        <v>63</v>
      </c>
      <c r="M68" s="88">
        <f t="shared" si="4"/>
        <v>0</v>
      </c>
      <c r="N68" s="89"/>
      <c r="O68" s="153"/>
      <c r="P68" s="88" t="s">
        <v>63</v>
      </c>
      <c r="Q68" s="444"/>
      <c r="R68" s="153"/>
      <c r="S68" s="88" t="s">
        <v>63</v>
      </c>
      <c r="T68" s="154">
        <f t="shared" si="3"/>
        <v>0</v>
      </c>
      <c r="U68" s="129"/>
      <c r="V68" s="155"/>
      <c r="W68" s="154"/>
      <c r="X68" s="154"/>
      <c r="Y68" s="403"/>
      <c r="Z68" s="403"/>
      <c r="AA68" s="403"/>
      <c r="AB68" s="581"/>
    </row>
    <row r="69" spans="1:28" s="55" customFormat="1" ht="54.95" customHeight="1" x14ac:dyDescent="0.15">
      <c r="A69" s="386" t="s">
        <v>68</v>
      </c>
      <c r="B69" s="87">
        <f>C5</f>
        <v>350</v>
      </c>
      <c r="C69" s="461" t="str">
        <f>A5</f>
        <v>OT</v>
      </c>
      <c r="D69" s="461"/>
      <c r="E69" s="461"/>
      <c r="F69" s="368"/>
      <c r="G69" s="369"/>
      <c r="H69" s="370"/>
      <c r="I69" s="152"/>
      <c r="J69" s="152"/>
      <c r="K69" s="156">
        <v>1</v>
      </c>
      <c r="L69" s="77" t="s">
        <v>63</v>
      </c>
      <c r="M69" s="88">
        <f t="shared" si="4"/>
        <v>350</v>
      </c>
      <c r="N69" s="89"/>
      <c r="O69" s="153"/>
      <c r="P69" s="88" t="s">
        <v>63</v>
      </c>
      <c r="Q69" s="443">
        <v>46064</v>
      </c>
      <c r="R69" s="153">
        <v>350</v>
      </c>
      <c r="S69" s="88" t="s">
        <v>63</v>
      </c>
      <c r="T69" s="154">
        <f t="shared" si="3"/>
        <v>0</v>
      </c>
      <c r="U69" s="157"/>
      <c r="V69" s="158"/>
      <c r="W69" s="154"/>
      <c r="X69" s="154"/>
      <c r="Y69" s="582" t="s">
        <v>72</v>
      </c>
      <c r="Z69" s="582"/>
      <c r="AA69" s="582"/>
      <c r="AB69" s="404" t="s">
        <v>275</v>
      </c>
    </row>
    <row r="70" spans="1:28" s="55" customFormat="1" ht="54.95" customHeight="1" x14ac:dyDescent="0.15">
      <c r="A70" s="387"/>
      <c r="B70" s="87">
        <f>D5</f>
        <v>230</v>
      </c>
      <c r="C70" s="461"/>
      <c r="D70" s="461"/>
      <c r="E70" s="461"/>
      <c r="F70" s="368"/>
      <c r="G70" s="369"/>
      <c r="H70" s="370"/>
      <c r="I70" s="152"/>
      <c r="J70" s="152"/>
      <c r="K70" s="156">
        <v>1</v>
      </c>
      <c r="L70" s="77" t="s">
        <v>63</v>
      </c>
      <c r="M70" s="88">
        <f t="shared" si="4"/>
        <v>230</v>
      </c>
      <c r="N70" s="89"/>
      <c r="O70" s="153"/>
      <c r="P70" s="88" t="s">
        <v>63</v>
      </c>
      <c r="Q70" s="447"/>
      <c r="R70" s="153">
        <v>230</v>
      </c>
      <c r="S70" s="88" t="s">
        <v>63</v>
      </c>
      <c r="T70" s="154">
        <f t="shared" si="3"/>
        <v>0</v>
      </c>
      <c r="U70" s="157"/>
      <c r="V70" s="158"/>
      <c r="W70" s="154"/>
      <c r="X70" s="154"/>
      <c r="Y70" s="582"/>
      <c r="Z70" s="582"/>
      <c r="AA70" s="582"/>
      <c r="AB70" s="405"/>
    </row>
    <row r="71" spans="1:28" s="55" customFormat="1" ht="54.95" customHeight="1" x14ac:dyDescent="0.15">
      <c r="A71" s="387"/>
      <c r="B71" s="87">
        <f>E5</f>
        <v>31</v>
      </c>
      <c r="C71" s="461"/>
      <c r="D71" s="461"/>
      <c r="E71" s="461"/>
      <c r="F71" s="368"/>
      <c r="G71" s="369"/>
      <c r="H71" s="370"/>
      <c r="I71" s="152"/>
      <c r="J71" s="152"/>
      <c r="K71" s="156">
        <v>1</v>
      </c>
      <c r="L71" s="77" t="s">
        <v>63</v>
      </c>
      <c r="M71" s="88">
        <f t="shared" si="4"/>
        <v>31</v>
      </c>
      <c r="N71" s="89"/>
      <c r="O71" s="153"/>
      <c r="P71" s="88" t="s">
        <v>63</v>
      </c>
      <c r="Q71" s="447"/>
      <c r="R71" s="153">
        <v>31</v>
      </c>
      <c r="S71" s="88" t="s">
        <v>63</v>
      </c>
      <c r="T71" s="154">
        <f t="shared" si="3"/>
        <v>0</v>
      </c>
      <c r="U71" s="157"/>
      <c r="V71" s="158"/>
      <c r="W71" s="154"/>
      <c r="X71" s="154"/>
      <c r="Y71" s="582"/>
      <c r="Z71" s="582"/>
      <c r="AA71" s="582"/>
      <c r="AB71" s="405"/>
    </row>
    <row r="72" spans="1:28" s="55" customFormat="1" ht="54.95" customHeight="1" x14ac:dyDescent="0.15">
      <c r="A72" s="387"/>
      <c r="B72" s="87">
        <f>C6</f>
        <v>360</v>
      </c>
      <c r="C72" s="461" t="str">
        <f>A6</f>
        <v>MG</v>
      </c>
      <c r="D72" s="461"/>
      <c r="E72" s="461"/>
      <c r="F72" s="368"/>
      <c r="G72" s="369"/>
      <c r="H72" s="370"/>
      <c r="I72" s="152"/>
      <c r="J72" s="152"/>
      <c r="K72" s="156">
        <v>1</v>
      </c>
      <c r="L72" s="77" t="s">
        <v>63</v>
      </c>
      <c r="M72" s="88">
        <f t="shared" si="4"/>
        <v>360</v>
      </c>
      <c r="N72" s="89"/>
      <c r="O72" s="153"/>
      <c r="P72" s="88" t="s">
        <v>63</v>
      </c>
      <c r="Q72" s="447"/>
      <c r="R72" s="77">
        <v>360</v>
      </c>
      <c r="S72" s="88" t="s">
        <v>63</v>
      </c>
      <c r="T72" s="154">
        <f t="shared" si="3"/>
        <v>0</v>
      </c>
      <c r="U72" s="157"/>
      <c r="V72" s="158"/>
      <c r="W72" s="154"/>
      <c r="X72" s="154"/>
      <c r="Y72" s="582" t="s">
        <v>72</v>
      </c>
      <c r="Z72" s="582"/>
      <c r="AA72" s="582"/>
      <c r="AB72" s="405"/>
    </row>
    <row r="73" spans="1:28" s="55" customFormat="1" ht="54.95" customHeight="1" x14ac:dyDescent="0.15">
      <c r="A73" s="387"/>
      <c r="B73" s="87">
        <f>D6</f>
        <v>250</v>
      </c>
      <c r="C73" s="461"/>
      <c r="D73" s="461"/>
      <c r="E73" s="461"/>
      <c r="F73" s="368"/>
      <c r="G73" s="369"/>
      <c r="H73" s="370"/>
      <c r="I73" s="152"/>
      <c r="J73" s="152"/>
      <c r="K73" s="156">
        <v>1</v>
      </c>
      <c r="L73" s="77" t="s">
        <v>63</v>
      </c>
      <c r="M73" s="88">
        <f t="shared" si="4"/>
        <v>250</v>
      </c>
      <c r="N73" s="89"/>
      <c r="O73" s="153"/>
      <c r="P73" s="88" t="s">
        <v>63</v>
      </c>
      <c r="Q73" s="447"/>
      <c r="R73" s="77">
        <v>250</v>
      </c>
      <c r="S73" s="88" t="s">
        <v>63</v>
      </c>
      <c r="T73" s="154">
        <f t="shared" si="3"/>
        <v>0</v>
      </c>
      <c r="U73" s="157"/>
      <c r="V73" s="158"/>
      <c r="W73" s="154"/>
      <c r="X73" s="154"/>
      <c r="Y73" s="582"/>
      <c r="Z73" s="582"/>
      <c r="AA73" s="582"/>
      <c r="AB73" s="405"/>
    </row>
    <row r="74" spans="1:28" s="55" customFormat="1" ht="54.95" customHeight="1" x14ac:dyDescent="0.15">
      <c r="A74" s="387"/>
      <c r="B74" s="87">
        <f>E6</f>
        <v>58</v>
      </c>
      <c r="C74" s="461"/>
      <c r="D74" s="461"/>
      <c r="E74" s="461"/>
      <c r="F74" s="368"/>
      <c r="G74" s="369"/>
      <c r="H74" s="370"/>
      <c r="I74" s="152"/>
      <c r="J74" s="152"/>
      <c r="K74" s="156">
        <v>1</v>
      </c>
      <c r="L74" s="77" t="s">
        <v>63</v>
      </c>
      <c r="M74" s="88">
        <f t="shared" si="4"/>
        <v>58</v>
      </c>
      <c r="N74" s="89"/>
      <c r="O74" s="153"/>
      <c r="P74" s="88" t="s">
        <v>63</v>
      </c>
      <c r="Q74" s="447"/>
      <c r="R74" s="153">
        <v>58</v>
      </c>
      <c r="S74" s="88" t="s">
        <v>63</v>
      </c>
      <c r="T74" s="154">
        <f>R74-M74</f>
        <v>0</v>
      </c>
      <c r="U74" s="157"/>
      <c r="V74" s="158"/>
      <c r="W74" s="154"/>
      <c r="X74" s="154"/>
      <c r="Y74" s="582"/>
      <c r="Z74" s="582"/>
      <c r="AA74" s="582"/>
      <c r="AB74" s="405"/>
    </row>
    <row r="75" spans="1:28" s="55" customFormat="1" ht="54.95" customHeight="1" x14ac:dyDescent="0.15">
      <c r="A75" s="387"/>
      <c r="B75" s="87">
        <f>C7</f>
        <v>0</v>
      </c>
      <c r="C75" s="392">
        <f>A7</f>
        <v>0</v>
      </c>
      <c r="D75" s="393"/>
      <c r="E75" s="394"/>
      <c r="F75" s="368"/>
      <c r="G75" s="369"/>
      <c r="H75" s="370"/>
      <c r="I75" s="152"/>
      <c r="J75" s="152"/>
      <c r="K75" s="156">
        <v>1</v>
      </c>
      <c r="L75" s="77" t="s">
        <v>63</v>
      </c>
      <c r="M75" s="88">
        <f t="shared" si="4"/>
        <v>0</v>
      </c>
      <c r="N75" s="89"/>
      <c r="O75" s="153"/>
      <c r="P75" s="88" t="s">
        <v>63</v>
      </c>
      <c r="Q75" s="447"/>
      <c r="R75" s="153"/>
      <c r="S75" s="88" t="s">
        <v>63</v>
      </c>
      <c r="T75" s="154">
        <f>R75-M75</f>
        <v>0</v>
      </c>
      <c r="U75" s="157"/>
      <c r="V75" s="158"/>
      <c r="W75" s="154"/>
      <c r="X75" s="154"/>
      <c r="Y75" s="582" t="s">
        <v>72</v>
      </c>
      <c r="Z75" s="582"/>
      <c r="AA75" s="582"/>
      <c r="AB75" s="405"/>
    </row>
    <row r="76" spans="1:28" s="55" customFormat="1" ht="54.95" customHeight="1" x14ac:dyDescent="0.15">
      <c r="A76" s="387"/>
      <c r="B76" s="87">
        <f>D7</f>
        <v>0</v>
      </c>
      <c r="C76" s="392"/>
      <c r="D76" s="393"/>
      <c r="E76" s="394"/>
      <c r="F76" s="368"/>
      <c r="G76" s="369"/>
      <c r="H76" s="370"/>
      <c r="I76" s="152"/>
      <c r="J76" s="152"/>
      <c r="K76" s="156">
        <v>1</v>
      </c>
      <c r="L76" s="77" t="s">
        <v>63</v>
      </c>
      <c r="M76" s="88">
        <f t="shared" si="4"/>
        <v>0</v>
      </c>
      <c r="N76" s="89"/>
      <c r="O76" s="153"/>
      <c r="P76" s="88" t="s">
        <v>63</v>
      </c>
      <c r="Q76" s="447"/>
      <c r="R76" s="153"/>
      <c r="S76" s="88" t="s">
        <v>63</v>
      </c>
      <c r="T76" s="154">
        <f>R76-M76</f>
        <v>0</v>
      </c>
      <c r="U76" s="157"/>
      <c r="V76" s="158"/>
      <c r="W76" s="154"/>
      <c r="X76" s="154"/>
      <c r="Y76" s="582"/>
      <c r="Z76" s="582"/>
      <c r="AA76" s="582"/>
      <c r="AB76" s="405"/>
    </row>
    <row r="77" spans="1:28" s="176" customFormat="1" ht="54.95" customHeight="1" x14ac:dyDescent="0.15">
      <c r="A77" s="387"/>
      <c r="B77" s="87">
        <f>E7</f>
        <v>0</v>
      </c>
      <c r="C77" s="392"/>
      <c r="D77" s="393"/>
      <c r="E77" s="394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0</v>
      </c>
      <c r="N77" s="171"/>
      <c r="O77" s="277"/>
      <c r="P77" s="169" t="s">
        <v>63</v>
      </c>
      <c r="Q77" s="444"/>
      <c r="R77" s="168"/>
      <c r="S77" s="169" t="s">
        <v>63</v>
      </c>
      <c r="T77" s="278">
        <f>R77-M77</f>
        <v>0</v>
      </c>
      <c r="U77" s="281"/>
      <c r="V77" s="282"/>
      <c r="W77" s="278"/>
      <c r="X77" s="278"/>
      <c r="Y77" s="582"/>
      <c r="Z77" s="582"/>
      <c r="AA77" s="582"/>
      <c r="AB77" s="405"/>
    </row>
    <row r="78" spans="1:28" s="176" customFormat="1" ht="54.95" customHeight="1" x14ac:dyDescent="0.15">
      <c r="A78" s="386" t="s">
        <v>69</v>
      </c>
      <c r="B78" s="164">
        <f>C5</f>
        <v>350</v>
      </c>
      <c r="C78" s="461" t="str">
        <f>A5</f>
        <v>OT</v>
      </c>
      <c r="D78" s="461"/>
      <c r="E78" s="461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350</v>
      </c>
      <c r="N78" s="171"/>
      <c r="O78" s="277"/>
      <c r="P78" s="169" t="s">
        <v>63</v>
      </c>
      <c r="Q78" s="376">
        <v>46127</v>
      </c>
      <c r="R78" s="277">
        <v>350</v>
      </c>
      <c r="S78" s="169" t="s">
        <v>63</v>
      </c>
      <c r="T78" s="278">
        <f t="shared" si="3"/>
        <v>0</v>
      </c>
      <c r="U78" s="281"/>
      <c r="V78" s="282"/>
      <c r="W78" s="278"/>
      <c r="X78" s="278"/>
      <c r="Y78" s="597" t="s">
        <v>67</v>
      </c>
      <c r="Z78" s="597"/>
      <c r="AA78" s="597"/>
      <c r="AB78" s="404" t="s">
        <v>325</v>
      </c>
    </row>
    <row r="79" spans="1:28" s="176" customFormat="1" ht="54.95" customHeight="1" x14ac:dyDescent="0.15">
      <c r="A79" s="387"/>
      <c r="B79" s="164">
        <f>D5</f>
        <v>230</v>
      </c>
      <c r="C79" s="461"/>
      <c r="D79" s="461"/>
      <c r="E79" s="461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230</v>
      </c>
      <c r="N79" s="171"/>
      <c r="O79" s="277"/>
      <c r="P79" s="169" t="s">
        <v>63</v>
      </c>
      <c r="Q79" s="377"/>
      <c r="R79" s="277">
        <v>230</v>
      </c>
      <c r="S79" s="169" t="s">
        <v>63</v>
      </c>
      <c r="T79" s="278">
        <f t="shared" si="3"/>
        <v>0</v>
      </c>
      <c r="U79" s="281"/>
      <c r="V79" s="282"/>
      <c r="W79" s="278"/>
      <c r="X79" s="278"/>
      <c r="Y79" s="597"/>
      <c r="Z79" s="597"/>
      <c r="AA79" s="597"/>
      <c r="AB79" s="405"/>
    </row>
    <row r="80" spans="1:28" s="176" customFormat="1" ht="54.95" customHeight="1" x14ac:dyDescent="0.15">
      <c r="A80" s="387"/>
      <c r="B80" s="164">
        <f>E5</f>
        <v>31</v>
      </c>
      <c r="C80" s="461"/>
      <c r="D80" s="461"/>
      <c r="E80" s="461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31</v>
      </c>
      <c r="N80" s="171"/>
      <c r="O80" s="277"/>
      <c r="P80" s="169" t="s">
        <v>63</v>
      </c>
      <c r="Q80" s="377"/>
      <c r="R80" s="277">
        <v>31</v>
      </c>
      <c r="S80" s="169" t="s">
        <v>63</v>
      </c>
      <c r="T80" s="278">
        <f t="shared" si="3"/>
        <v>0</v>
      </c>
      <c r="U80" s="281"/>
      <c r="V80" s="282"/>
      <c r="W80" s="278"/>
      <c r="X80" s="278"/>
      <c r="Y80" s="597"/>
      <c r="Z80" s="597"/>
      <c r="AA80" s="597"/>
      <c r="AB80" s="405"/>
    </row>
    <row r="81" spans="1:28" s="176" customFormat="1" ht="54.95" customHeight="1" x14ac:dyDescent="0.15">
      <c r="A81" s="387"/>
      <c r="B81" s="164">
        <f>C6</f>
        <v>360</v>
      </c>
      <c r="C81" s="461" t="str">
        <f>A6</f>
        <v>MG</v>
      </c>
      <c r="D81" s="461"/>
      <c r="E81" s="461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360</v>
      </c>
      <c r="N81" s="171"/>
      <c r="O81" s="277"/>
      <c r="P81" s="169" t="s">
        <v>63</v>
      </c>
      <c r="Q81" s="377"/>
      <c r="R81" s="168">
        <v>360</v>
      </c>
      <c r="S81" s="169" t="s">
        <v>63</v>
      </c>
      <c r="T81" s="278">
        <f t="shared" si="3"/>
        <v>0</v>
      </c>
      <c r="U81" s="281"/>
      <c r="V81" s="282"/>
      <c r="W81" s="278"/>
      <c r="X81" s="278"/>
      <c r="Y81" s="597" t="s">
        <v>67</v>
      </c>
      <c r="Z81" s="176" t="s">
        <v>326</v>
      </c>
      <c r="AA81" s="597"/>
      <c r="AB81" s="405"/>
    </row>
    <row r="82" spans="1:28" s="176" customFormat="1" ht="54.95" customHeight="1" x14ac:dyDescent="0.15">
      <c r="A82" s="387"/>
      <c r="B82" s="164">
        <f>D6</f>
        <v>250</v>
      </c>
      <c r="C82" s="461"/>
      <c r="D82" s="461"/>
      <c r="E82" s="461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250</v>
      </c>
      <c r="N82" s="171"/>
      <c r="O82" s="277"/>
      <c r="P82" s="169" t="s">
        <v>63</v>
      </c>
      <c r="Q82" s="377"/>
      <c r="R82" s="168">
        <v>250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597"/>
      <c r="AA82" s="597"/>
      <c r="AB82" s="405"/>
    </row>
    <row r="83" spans="1:28" s="176" customFormat="1" ht="54.95" customHeight="1" x14ac:dyDescent="0.15">
      <c r="A83" s="387"/>
      <c r="B83" s="164">
        <f>E6</f>
        <v>58</v>
      </c>
      <c r="C83" s="461"/>
      <c r="D83" s="461"/>
      <c r="E83" s="461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58</v>
      </c>
      <c r="N83" s="171"/>
      <c r="O83" s="277"/>
      <c r="P83" s="169" t="s">
        <v>63</v>
      </c>
      <c r="Q83" s="377"/>
      <c r="R83" s="277">
        <v>58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597"/>
      <c r="AA83" s="597"/>
      <c r="AB83" s="405"/>
    </row>
    <row r="84" spans="1:28" s="176" customFormat="1" ht="54.95" customHeight="1" x14ac:dyDescent="0.15">
      <c r="A84" s="387"/>
      <c r="B84" s="164">
        <f>C7</f>
        <v>0</v>
      </c>
      <c r="C84" s="392">
        <f>A7</f>
        <v>0</v>
      </c>
      <c r="D84" s="393"/>
      <c r="E84" s="394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7"/>
      <c r="R84" s="277"/>
      <c r="S84" s="169" t="s">
        <v>63</v>
      </c>
      <c r="T84" s="278">
        <f t="shared" si="3"/>
        <v>0</v>
      </c>
      <c r="U84" s="281"/>
      <c r="V84" s="282"/>
      <c r="W84" s="278"/>
      <c r="X84" s="278"/>
      <c r="Y84" s="597" t="s">
        <v>67</v>
      </c>
      <c r="Z84" s="597"/>
      <c r="AA84" s="597"/>
      <c r="AB84" s="405"/>
    </row>
    <row r="85" spans="1:28" s="176" customFormat="1" ht="54.95" customHeight="1" x14ac:dyDescent="0.15">
      <c r="A85" s="387"/>
      <c r="B85" s="164">
        <f>D7</f>
        <v>0</v>
      </c>
      <c r="C85" s="392"/>
      <c r="D85" s="393"/>
      <c r="E85" s="394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7"/>
      <c r="R85" s="277"/>
      <c r="S85" s="169" t="s">
        <v>63</v>
      </c>
      <c r="T85" s="278">
        <f t="shared" si="3"/>
        <v>0</v>
      </c>
      <c r="U85" s="281"/>
      <c r="V85" s="282"/>
      <c r="W85" s="278"/>
      <c r="X85" s="278"/>
      <c r="Y85" s="597"/>
      <c r="Z85" s="597"/>
      <c r="AA85" s="597"/>
      <c r="AB85" s="405"/>
    </row>
    <row r="86" spans="1:28" s="176" customFormat="1" ht="54.95" customHeight="1" x14ac:dyDescent="0.15">
      <c r="A86" s="387"/>
      <c r="B86" s="164">
        <f>E7</f>
        <v>0</v>
      </c>
      <c r="C86" s="392"/>
      <c r="D86" s="393"/>
      <c r="E86" s="394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0</v>
      </c>
      <c r="N86" s="171"/>
      <c r="O86" s="277"/>
      <c r="P86" s="169" t="s">
        <v>63</v>
      </c>
      <c r="Q86" s="378"/>
      <c r="R86" s="168"/>
      <c r="S86" s="169" t="s">
        <v>63</v>
      </c>
      <c r="T86" s="278">
        <f t="shared" si="3"/>
        <v>0</v>
      </c>
      <c r="U86" s="281"/>
      <c r="V86" s="282"/>
      <c r="W86" s="278"/>
      <c r="X86" s="278"/>
      <c r="Y86" s="597"/>
      <c r="Z86" s="597"/>
      <c r="AA86" s="597"/>
      <c r="AB86" s="405"/>
    </row>
    <row r="87" spans="1:28" s="55" customFormat="1" ht="54.95" customHeight="1" x14ac:dyDescent="0.15">
      <c r="A87" s="386" t="s">
        <v>70</v>
      </c>
      <c r="B87" s="87">
        <f>C11</f>
        <v>710</v>
      </c>
      <c r="C87" s="389" t="s">
        <v>71</v>
      </c>
      <c r="D87" s="390"/>
      <c r="E87" s="391"/>
      <c r="F87" s="368"/>
      <c r="G87" s="369"/>
      <c r="H87" s="370"/>
      <c r="I87" s="152"/>
      <c r="J87" s="90"/>
      <c r="K87" s="156">
        <v>1</v>
      </c>
      <c r="L87" s="77" t="s">
        <v>63</v>
      </c>
      <c r="M87" s="88">
        <f t="shared" si="4"/>
        <v>710</v>
      </c>
      <c r="N87" s="89"/>
      <c r="O87" s="153"/>
      <c r="P87" s="88" t="s">
        <v>63</v>
      </c>
      <c r="Q87" s="398">
        <v>46064</v>
      </c>
      <c r="R87" s="93">
        <v>710</v>
      </c>
      <c r="S87" s="88" t="s">
        <v>63</v>
      </c>
      <c r="T87" s="154">
        <f t="shared" si="3"/>
        <v>0</v>
      </c>
      <c r="U87" s="91"/>
      <c r="V87" s="159"/>
      <c r="W87" s="159"/>
      <c r="X87" s="159"/>
      <c r="Y87" s="401" t="s">
        <v>258</v>
      </c>
      <c r="Z87" s="416"/>
      <c r="AA87" s="416"/>
      <c r="AB87" s="419" t="s">
        <v>276</v>
      </c>
    </row>
    <row r="88" spans="1:28" s="55" customFormat="1" ht="54.95" customHeight="1" x14ac:dyDescent="0.15">
      <c r="A88" s="387"/>
      <c r="B88" s="87">
        <f>D11</f>
        <v>480</v>
      </c>
      <c r="C88" s="392"/>
      <c r="D88" s="393"/>
      <c r="E88" s="394"/>
      <c r="F88" s="368"/>
      <c r="G88" s="369"/>
      <c r="H88" s="370"/>
      <c r="I88" s="152"/>
      <c r="J88" s="90"/>
      <c r="K88" s="156">
        <v>1</v>
      </c>
      <c r="L88" s="77" t="s">
        <v>63</v>
      </c>
      <c r="M88" s="88">
        <f t="shared" si="4"/>
        <v>480</v>
      </c>
      <c r="N88" s="89"/>
      <c r="O88" s="153"/>
      <c r="P88" s="88" t="s">
        <v>63</v>
      </c>
      <c r="Q88" s="399"/>
      <c r="R88" s="93">
        <v>480</v>
      </c>
      <c r="S88" s="88" t="s">
        <v>63</v>
      </c>
      <c r="T88" s="154">
        <f t="shared" si="3"/>
        <v>0</v>
      </c>
      <c r="U88" s="91"/>
      <c r="V88" s="159"/>
      <c r="W88" s="159"/>
      <c r="X88" s="159"/>
      <c r="Y88" s="402"/>
      <c r="Z88" s="417"/>
      <c r="AA88" s="417"/>
      <c r="AB88" s="420"/>
    </row>
    <row r="89" spans="1:28" s="55" customFormat="1" ht="54.95" customHeight="1" x14ac:dyDescent="0.15">
      <c r="A89" s="387"/>
      <c r="B89" s="87">
        <f>E11</f>
        <v>89</v>
      </c>
      <c r="C89" s="392"/>
      <c r="D89" s="393"/>
      <c r="E89" s="394"/>
      <c r="F89" s="368"/>
      <c r="G89" s="369"/>
      <c r="H89" s="370"/>
      <c r="I89" s="152"/>
      <c r="J89" s="90"/>
      <c r="K89" s="156">
        <v>1</v>
      </c>
      <c r="L89" s="77" t="s">
        <v>63</v>
      </c>
      <c r="M89" s="88">
        <f t="shared" si="4"/>
        <v>89</v>
      </c>
      <c r="N89" s="89"/>
      <c r="O89" s="153"/>
      <c r="P89" s="88" t="s">
        <v>63</v>
      </c>
      <c r="Q89" s="399"/>
      <c r="R89" s="93">
        <v>89</v>
      </c>
      <c r="S89" s="88" t="s">
        <v>63</v>
      </c>
      <c r="T89" s="154">
        <f t="shared" si="3"/>
        <v>0</v>
      </c>
      <c r="U89" s="91"/>
      <c r="V89" s="159"/>
      <c r="W89" s="159"/>
      <c r="X89" s="159"/>
      <c r="Y89" s="402"/>
      <c r="Z89" s="417"/>
      <c r="AA89" s="417"/>
      <c r="AB89" s="420"/>
    </row>
    <row r="90" spans="1:28" s="55" customFormat="1" ht="54.95" customHeight="1" x14ac:dyDescent="0.15">
      <c r="A90" s="388"/>
      <c r="B90" s="87">
        <f>F11</f>
        <v>0</v>
      </c>
      <c r="C90" s="395"/>
      <c r="D90" s="396"/>
      <c r="E90" s="397"/>
      <c r="F90" s="368"/>
      <c r="G90" s="369"/>
      <c r="H90" s="370"/>
      <c r="I90" s="152"/>
      <c r="J90" s="90"/>
      <c r="K90" s="156"/>
      <c r="L90" s="77" t="s">
        <v>63</v>
      </c>
      <c r="M90" s="88">
        <f t="shared" si="4"/>
        <v>0</v>
      </c>
      <c r="N90" s="89"/>
      <c r="O90" s="153"/>
      <c r="P90" s="88" t="s">
        <v>63</v>
      </c>
      <c r="Q90" s="400"/>
      <c r="R90" s="162"/>
      <c r="S90" s="88" t="s">
        <v>63</v>
      </c>
      <c r="T90" s="154">
        <f t="shared" si="3"/>
        <v>0</v>
      </c>
      <c r="U90" s="91"/>
      <c r="V90" s="159"/>
      <c r="W90" s="159"/>
      <c r="X90" s="159"/>
      <c r="Y90" s="403"/>
      <c r="Z90" s="418"/>
      <c r="AA90" s="418"/>
      <c r="AB90" s="421"/>
    </row>
    <row r="91" spans="1:28" s="176" customFormat="1" ht="54.95" customHeight="1" x14ac:dyDescent="0.15">
      <c r="A91" s="92" t="s">
        <v>73</v>
      </c>
      <c r="B91" s="164">
        <f>I11</f>
        <v>1279</v>
      </c>
      <c r="C91" s="371" t="s">
        <v>71</v>
      </c>
      <c r="D91" s="372"/>
      <c r="E91" s="373"/>
      <c r="F91" s="371"/>
      <c r="G91" s="372"/>
      <c r="H91" s="373"/>
      <c r="I91" s="165"/>
      <c r="J91" s="166"/>
      <c r="K91" s="167">
        <v>1</v>
      </c>
      <c r="L91" s="168" t="s">
        <v>63</v>
      </c>
      <c r="M91" s="88">
        <f t="shared" si="4"/>
        <v>1279</v>
      </c>
      <c r="N91" s="170"/>
      <c r="O91" s="170"/>
      <c r="P91" s="169" t="s">
        <v>63</v>
      </c>
      <c r="Q91" s="363">
        <v>46064</v>
      </c>
      <c r="R91" s="165">
        <v>1279</v>
      </c>
      <c r="S91" s="169" t="s">
        <v>63</v>
      </c>
      <c r="T91" s="154">
        <f t="shared" si="3"/>
        <v>0</v>
      </c>
      <c r="U91" s="170"/>
      <c r="V91" s="172"/>
      <c r="W91" s="172"/>
      <c r="X91" s="172"/>
      <c r="Y91" s="173" t="s">
        <v>72</v>
      </c>
      <c r="Z91" s="174"/>
      <c r="AA91" s="175"/>
      <c r="AB91" s="586" t="s">
        <v>276</v>
      </c>
    </row>
    <row r="92" spans="1:28" s="55" customFormat="1" ht="54.95" customHeight="1" x14ac:dyDescent="0.15">
      <c r="A92" s="92" t="s">
        <v>81</v>
      </c>
      <c r="B92" s="87">
        <f>I11</f>
        <v>1279</v>
      </c>
      <c r="C92" s="368" t="s">
        <v>71</v>
      </c>
      <c r="D92" s="369"/>
      <c r="E92" s="370"/>
      <c r="F92" s="368"/>
      <c r="G92" s="369"/>
      <c r="H92" s="370"/>
      <c r="I92" s="93"/>
      <c r="J92" s="90"/>
      <c r="K92" s="156">
        <v>1</v>
      </c>
      <c r="L92" s="77" t="s">
        <v>63</v>
      </c>
      <c r="M92" s="88">
        <f>K92*B92</f>
        <v>1279</v>
      </c>
      <c r="N92" s="91"/>
      <c r="O92" s="91"/>
      <c r="P92" s="88" t="s">
        <v>63</v>
      </c>
      <c r="Q92" s="364"/>
      <c r="R92" s="93">
        <v>1279</v>
      </c>
      <c r="S92" s="88" t="s">
        <v>63</v>
      </c>
      <c r="T92" s="154">
        <f t="shared" si="3"/>
        <v>0</v>
      </c>
      <c r="U92" s="91"/>
      <c r="V92" s="91"/>
      <c r="W92" s="91"/>
      <c r="X92" s="91"/>
      <c r="Y92" s="160" t="s">
        <v>72</v>
      </c>
      <c r="Z92" s="94"/>
      <c r="AA92" s="95"/>
      <c r="AB92" s="587"/>
    </row>
    <row r="93" spans="1:28" s="55" customFormat="1" ht="54.95" customHeight="1" x14ac:dyDescent="0.15">
      <c r="A93" s="96" t="s">
        <v>74</v>
      </c>
      <c r="B93" s="87">
        <f>I11</f>
        <v>1279</v>
      </c>
      <c r="C93" s="368" t="s">
        <v>71</v>
      </c>
      <c r="D93" s="369"/>
      <c r="E93" s="370"/>
      <c r="F93" s="368"/>
      <c r="G93" s="369"/>
      <c r="H93" s="370"/>
      <c r="I93" s="93" t="s">
        <v>236</v>
      </c>
      <c r="J93" s="93"/>
      <c r="K93" s="156">
        <v>1</v>
      </c>
      <c r="L93" s="77" t="s">
        <v>63</v>
      </c>
      <c r="M93" s="88">
        <f t="shared" si="4"/>
        <v>1279</v>
      </c>
      <c r="N93" s="91"/>
      <c r="O93" s="91"/>
      <c r="P93" s="89" t="s">
        <v>63</v>
      </c>
      <c r="Q93" s="365"/>
      <c r="R93" s="93">
        <v>1349</v>
      </c>
      <c r="S93" s="89" t="s">
        <v>63</v>
      </c>
      <c r="T93" s="154">
        <f t="shared" si="3"/>
        <v>70</v>
      </c>
      <c r="U93" s="91"/>
      <c r="V93" s="91"/>
      <c r="W93" s="91"/>
      <c r="X93" s="91"/>
      <c r="Y93" s="160" t="s">
        <v>72</v>
      </c>
      <c r="Z93" s="97"/>
      <c r="AA93" s="98"/>
      <c r="AB93" s="588"/>
    </row>
    <row r="94" spans="1:28" ht="13.5" customHeight="1" x14ac:dyDescent="0.15">
      <c r="A94" s="177"/>
      <c r="B94" s="366"/>
      <c r="C94" s="366"/>
      <c r="D94" s="177"/>
      <c r="E94" s="177"/>
      <c r="F94" s="100"/>
      <c r="G94" s="100"/>
      <c r="H94" s="100"/>
      <c r="I94" s="177"/>
      <c r="J94" s="177"/>
      <c r="K94" s="101"/>
      <c r="L94" s="102"/>
      <c r="M94" s="103"/>
      <c r="N94" s="104"/>
      <c r="O94" s="104"/>
      <c r="P94" s="177"/>
      <c r="Q94" s="105"/>
      <c r="R94" s="105"/>
      <c r="S94" s="106"/>
      <c r="T94" s="107"/>
      <c r="U94" s="108"/>
      <c r="V94" s="108"/>
      <c r="W94" s="109"/>
      <c r="X94" s="107"/>
      <c r="Y94" s="110"/>
      <c r="Z94" s="111"/>
      <c r="AA94" s="111"/>
    </row>
    <row r="95" spans="1:28" ht="13.5" customHeight="1" x14ac:dyDescent="0.15">
      <c r="A95" s="177"/>
      <c r="B95" s="366"/>
      <c r="C95" s="366"/>
      <c r="D95" s="177"/>
      <c r="E95" s="177"/>
      <c r="F95" s="367"/>
      <c r="G95" s="367"/>
      <c r="H95" s="367"/>
      <c r="I95" s="177"/>
      <c r="J95" s="177"/>
      <c r="K95" s="101"/>
      <c r="L95" s="102"/>
      <c r="M95" s="103"/>
      <c r="N95" s="104"/>
      <c r="O95" s="104"/>
      <c r="P95" s="177"/>
      <c r="Q95" s="105"/>
      <c r="R95" s="105"/>
      <c r="S95" s="106"/>
      <c r="T95" s="107"/>
      <c r="U95" s="108"/>
      <c r="V95" s="108"/>
      <c r="W95" s="109"/>
      <c r="X95" s="107"/>
      <c r="Y95" s="112"/>
      <c r="Z95" s="111"/>
      <c r="AA95" s="111"/>
    </row>
    <row r="96" spans="1:28" ht="13.5" customHeight="1" x14ac:dyDescent="0.15">
      <c r="J96" s="177"/>
    </row>
    <row r="97" spans="1:29" ht="13.5" customHeight="1" x14ac:dyDescent="0.15">
      <c r="J97" s="177"/>
    </row>
    <row r="104" spans="1:29" s="114" customFormat="1" x14ac:dyDescent="0.15">
      <c r="A104" s="1"/>
      <c r="B104" s="113"/>
      <c r="C104" s="1"/>
      <c r="D104" s="1"/>
      <c r="E104" s="1"/>
      <c r="F104" s="1"/>
      <c r="G104" s="1"/>
      <c r="H104" s="1"/>
      <c r="I104" s="1"/>
      <c r="J104" s="1"/>
      <c r="L104" s="115"/>
      <c r="M104" s="116"/>
      <c r="N104" s="117"/>
      <c r="O104" s="117"/>
      <c r="P104" s="1"/>
      <c r="Q104" s="118"/>
      <c r="R104" s="118"/>
      <c r="S104" s="115"/>
      <c r="T104" s="119"/>
      <c r="U104" s="1"/>
      <c r="V104" s="1"/>
      <c r="W104" s="120"/>
      <c r="X104" s="121"/>
      <c r="Y104" s="1"/>
      <c r="Z104" s="1"/>
      <c r="AA104" s="1"/>
      <c r="AB104" s="1"/>
      <c r="AC104" s="1"/>
    </row>
    <row r="105" spans="1:29" s="114" customFormat="1" x14ac:dyDescent="0.15">
      <c r="A105" s="1"/>
      <c r="B105" s="113"/>
      <c r="C105" s="1"/>
      <c r="D105" s="1"/>
      <c r="E105" s="1"/>
      <c r="F105" s="1"/>
      <c r="G105" s="1"/>
      <c r="H105" s="1"/>
      <c r="I105" s="1"/>
      <c r="J105" s="1"/>
      <c r="L105" s="115"/>
      <c r="M105" s="116"/>
      <c r="N105" s="117"/>
      <c r="O105" s="117"/>
      <c r="P105" s="1"/>
      <c r="Q105" s="118"/>
      <c r="R105" s="118"/>
      <c r="S105" s="115"/>
      <c r="T105" s="119"/>
      <c r="U105" s="1"/>
      <c r="V105" s="1"/>
      <c r="W105" s="120"/>
      <c r="X105" s="121"/>
      <c r="Y105" s="1"/>
      <c r="Z105" s="1"/>
      <c r="AA105" s="1"/>
      <c r="AB105" s="1"/>
      <c r="AC105" s="1"/>
    </row>
  </sheetData>
  <mergeCells count="353">
    <mergeCell ref="AB35:AB38"/>
    <mergeCell ref="Q35:Q38"/>
    <mergeCell ref="F57:H57"/>
    <mergeCell ref="I57:I58"/>
    <mergeCell ref="Q57:Q58"/>
    <mergeCell ref="Y57:Y58"/>
    <mergeCell ref="F60:H60"/>
    <mergeCell ref="AB51:AB52"/>
    <mergeCell ref="AB53:AB54"/>
    <mergeCell ref="AB55:AB56"/>
    <mergeCell ref="Y49:Y50"/>
    <mergeCell ref="Y41:Y42"/>
    <mergeCell ref="AB41:AB42"/>
    <mergeCell ref="Q47:Q50"/>
    <mergeCell ref="AB47:AB50"/>
    <mergeCell ref="B94:C94"/>
    <mergeCell ref="B95:C95"/>
    <mergeCell ref="F95:H95"/>
    <mergeCell ref="Y15:Y16"/>
    <mergeCell ref="AB15:AB16"/>
    <mergeCell ref="Q15:Q16"/>
    <mergeCell ref="C91:E91"/>
    <mergeCell ref="F91:H91"/>
    <mergeCell ref="Q91:Q93"/>
    <mergeCell ref="AB91:AB93"/>
    <mergeCell ref="C92:E92"/>
    <mergeCell ref="F92:H92"/>
    <mergeCell ref="C93:E93"/>
    <mergeCell ref="F93:H93"/>
    <mergeCell ref="AB87:AB90"/>
    <mergeCell ref="F88:H88"/>
    <mergeCell ref="F89:H89"/>
    <mergeCell ref="F90:H90"/>
    <mergeCell ref="AA84:AA86"/>
    <mergeCell ref="F85:H85"/>
    <mergeCell ref="F86:H86"/>
    <mergeCell ref="Q61:Q62"/>
    <mergeCell ref="AB78:AB86"/>
    <mergeCell ref="AB69:AB77"/>
    <mergeCell ref="A69:A77"/>
    <mergeCell ref="F79:H79"/>
    <mergeCell ref="F80:H80"/>
    <mergeCell ref="C81:E83"/>
    <mergeCell ref="F81:H81"/>
    <mergeCell ref="Y81:Y83"/>
    <mergeCell ref="AA81:AA83"/>
    <mergeCell ref="F82:H82"/>
    <mergeCell ref="F83:H83"/>
    <mergeCell ref="C78:E80"/>
    <mergeCell ref="F78:H78"/>
    <mergeCell ref="Q78:Q86"/>
    <mergeCell ref="Y78:Y80"/>
    <mergeCell ref="Z78:Z80"/>
    <mergeCell ref="C84:E86"/>
    <mergeCell ref="F84:H84"/>
    <mergeCell ref="Y84:Y86"/>
    <mergeCell ref="Z84:Z86"/>
    <mergeCell ref="AA69:AA71"/>
    <mergeCell ref="F70:H70"/>
    <mergeCell ref="F71:H71"/>
    <mergeCell ref="C72:E74"/>
    <mergeCell ref="F72:H72"/>
    <mergeCell ref="Y72:Y74"/>
    <mergeCell ref="A87:A90"/>
    <mergeCell ref="C87:E90"/>
    <mergeCell ref="F87:H87"/>
    <mergeCell ref="Q87:Q90"/>
    <mergeCell ref="Y87:Y90"/>
    <mergeCell ref="Z87:Z90"/>
    <mergeCell ref="AA87:AA90"/>
    <mergeCell ref="AA78:AA80"/>
    <mergeCell ref="A78:A86"/>
    <mergeCell ref="Z72:Z74"/>
    <mergeCell ref="AA72:AA74"/>
    <mergeCell ref="C69:E71"/>
    <mergeCell ref="F69:H69"/>
    <mergeCell ref="Y69:Y71"/>
    <mergeCell ref="Z69:Z71"/>
    <mergeCell ref="F73:H73"/>
    <mergeCell ref="F74:H74"/>
    <mergeCell ref="C75:E77"/>
    <mergeCell ref="F75:H75"/>
    <mergeCell ref="Y75:Y77"/>
    <mergeCell ref="Z75:Z77"/>
    <mergeCell ref="AA75:AA77"/>
    <mergeCell ref="F76:H76"/>
    <mergeCell ref="F77:H77"/>
    <mergeCell ref="Q69:Q77"/>
    <mergeCell ref="A64:A68"/>
    <mergeCell ref="C64:E68"/>
    <mergeCell ref="F64:H64"/>
    <mergeCell ref="AB57:AB58"/>
    <mergeCell ref="C58:E58"/>
    <mergeCell ref="F58:H58"/>
    <mergeCell ref="A59:A60"/>
    <mergeCell ref="C59:E59"/>
    <mergeCell ref="F59:H59"/>
    <mergeCell ref="I59:I60"/>
    <mergeCell ref="Q59:Q60"/>
    <mergeCell ref="Y59:Y60"/>
    <mergeCell ref="AB59:AB60"/>
    <mergeCell ref="Q64:Q68"/>
    <mergeCell ref="Y64:Y68"/>
    <mergeCell ref="Z64:Z68"/>
    <mergeCell ref="AA64:AA68"/>
    <mergeCell ref="AB64:AB68"/>
    <mergeCell ref="F65:H65"/>
    <mergeCell ref="F66:H66"/>
    <mergeCell ref="F67:H67"/>
    <mergeCell ref="F68:H68"/>
    <mergeCell ref="A57:A58"/>
    <mergeCell ref="C57:E57"/>
    <mergeCell ref="C63:E63"/>
    <mergeCell ref="F63:H63"/>
    <mergeCell ref="C54:E54"/>
    <mergeCell ref="F54:H54"/>
    <mergeCell ref="A55:A56"/>
    <mergeCell ref="C55:E55"/>
    <mergeCell ref="F55:H55"/>
    <mergeCell ref="Q55:Q56"/>
    <mergeCell ref="Y51:Y52"/>
    <mergeCell ref="C52:E52"/>
    <mergeCell ref="F52:H52"/>
    <mergeCell ref="A53:A54"/>
    <mergeCell ref="C53:E53"/>
    <mergeCell ref="F53:H53"/>
    <mergeCell ref="Q53:Q54"/>
    <mergeCell ref="Y53:Y54"/>
    <mergeCell ref="Y55:Y56"/>
    <mergeCell ref="C62:E62"/>
    <mergeCell ref="F62:H62"/>
    <mergeCell ref="A61:A62"/>
    <mergeCell ref="C61:E61"/>
    <mergeCell ref="F61:H61"/>
    <mergeCell ref="Y61:Y62"/>
    <mergeCell ref="C60:E60"/>
    <mergeCell ref="C56:E56"/>
    <mergeCell ref="F56:H56"/>
    <mergeCell ref="C50:E50"/>
    <mergeCell ref="F50:H50"/>
    <mergeCell ref="A51:A52"/>
    <mergeCell ref="C51:E51"/>
    <mergeCell ref="F51:H51"/>
    <mergeCell ref="Q51:Q52"/>
    <mergeCell ref="A49:A50"/>
    <mergeCell ref="C49:E49"/>
    <mergeCell ref="F49:H49"/>
    <mergeCell ref="A47:A48"/>
    <mergeCell ref="C47:E47"/>
    <mergeCell ref="F47:H47"/>
    <mergeCell ref="Y47:Y48"/>
    <mergeCell ref="C48:E48"/>
    <mergeCell ref="F48:H48"/>
    <mergeCell ref="C44:E44"/>
    <mergeCell ref="F44:H44"/>
    <mergeCell ref="A45:A46"/>
    <mergeCell ref="C45:E45"/>
    <mergeCell ref="F45:H45"/>
    <mergeCell ref="Q45:Q46"/>
    <mergeCell ref="C42:E42"/>
    <mergeCell ref="F42:H42"/>
    <mergeCell ref="A43:A44"/>
    <mergeCell ref="C43:E43"/>
    <mergeCell ref="F43:H43"/>
    <mergeCell ref="Q43:Q44"/>
    <mergeCell ref="Y43:Y44"/>
    <mergeCell ref="AB43:AB44"/>
    <mergeCell ref="Y45:Y46"/>
    <mergeCell ref="AB45:AB46"/>
    <mergeCell ref="C46:E46"/>
    <mergeCell ref="F46:H46"/>
    <mergeCell ref="Q33:Q34"/>
    <mergeCell ref="Y39:Y40"/>
    <mergeCell ref="AB39:AB40"/>
    <mergeCell ref="C40:E40"/>
    <mergeCell ref="F40:H40"/>
    <mergeCell ref="AC40:AF40"/>
    <mergeCell ref="A41:A42"/>
    <mergeCell ref="C41:E41"/>
    <mergeCell ref="F41:H41"/>
    <mergeCell ref="I41:I42"/>
    <mergeCell ref="Q41:Q42"/>
    <mergeCell ref="A39:A40"/>
    <mergeCell ref="C39:E39"/>
    <mergeCell ref="F39:H39"/>
    <mergeCell ref="I39:I40"/>
    <mergeCell ref="Q39:Q40"/>
    <mergeCell ref="AC38:AF38"/>
    <mergeCell ref="A37:A38"/>
    <mergeCell ref="C37:E37"/>
    <mergeCell ref="F37:H37"/>
    <mergeCell ref="I37:I38"/>
    <mergeCell ref="Y37:Y38"/>
    <mergeCell ref="C38:E38"/>
    <mergeCell ref="F38:H38"/>
    <mergeCell ref="F30:H30"/>
    <mergeCell ref="Y33:Y34"/>
    <mergeCell ref="AB33:AB34"/>
    <mergeCell ref="C34:E34"/>
    <mergeCell ref="F34:H34"/>
    <mergeCell ref="AC26:AF26"/>
    <mergeCell ref="A35:A36"/>
    <mergeCell ref="C35:E35"/>
    <mergeCell ref="F35:H35"/>
    <mergeCell ref="I35:I36"/>
    <mergeCell ref="AC34:AF34"/>
    <mergeCell ref="Y31:Y32"/>
    <mergeCell ref="AB31:AB32"/>
    <mergeCell ref="C32:E32"/>
    <mergeCell ref="F32:H32"/>
    <mergeCell ref="AC32:AF32"/>
    <mergeCell ref="Y35:Y36"/>
    <mergeCell ref="C36:E36"/>
    <mergeCell ref="F36:H36"/>
    <mergeCell ref="AC36:AF36"/>
    <mergeCell ref="A33:A34"/>
    <mergeCell ref="C33:E33"/>
    <mergeCell ref="F33:H33"/>
    <mergeCell ref="I33:I34"/>
    <mergeCell ref="A27:A28"/>
    <mergeCell ref="C27:E27"/>
    <mergeCell ref="F27:H27"/>
    <mergeCell ref="I27:I28"/>
    <mergeCell ref="Q27:Q28"/>
    <mergeCell ref="AC30:AF30"/>
    <mergeCell ref="A31:A32"/>
    <mergeCell ref="C31:E31"/>
    <mergeCell ref="F31:H31"/>
    <mergeCell ref="I31:I32"/>
    <mergeCell ref="Q31:Q32"/>
    <mergeCell ref="Y27:Y28"/>
    <mergeCell ref="AB27:AB28"/>
    <mergeCell ref="C28:E28"/>
    <mergeCell ref="F28:H28"/>
    <mergeCell ref="AC28:AF28"/>
    <mergeCell ref="A29:A30"/>
    <mergeCell ref="C29:E29"/>
    <mergeCell ref="F29:H29"/>
    <mergeCell ref="I29:I30"/>
    <mergeCell ref="Q29:Q30"/>
    <mergeCell ref="Y29:Y30"/>
    <mergeCell ref="AB29:AB30"/>
    <mergeCell ref="C30:E30"/>
    <mergeCell ref="AB23:AB24"/>
    <mergeCell ref="C24:E24"/>
    <mergeCell ref="F24:H24"/>
    <mergeCell ref="A25:A26"/>
    <mergeCell ref="C25:E25"/>
    <mergeCell ref="F25:H25"/>
    <mergeCell ref="I25:I26"/>
    <mergeCell ref="Q25:Q26"/>
    <mergeCell ref="Y25:Y26"/>
    <mergeCell ref="AB25:AB26"/>
    <mergeCell ref="C26:E26"/>
    <mergeCell ref="F26:H26"/>
    <mergeCell ref="C22:E22"/>
    <mergeCell ref="F22:H22"/>
    <mergeCell ref="A23:A24"/>
    <mergeCell ref="C23:E23"/>
    <mergeCell ref="F23:H23"/>
    <mergeCell ref="I23:I24"/>
    <mergeCell ref="AB19:AB20"/>
    <mergeCell ref="C20:E20"/>
    <mergeCell ref="F20:H20"/>
    <mergeCell ref="A21:A22"/>
    <mergeCell ref="C21:E21"/>
    <mergeCell ref="F21:H21"/>
    <mergeCell ref="I21:I22"/>
    <mergeCell ref="Q21:Q22"/>
    <mergeCell ref="Y21:Y22"/>
    <mergeCell ref="AB21:AB22"/>
    <mergeCell ref="A19:A20"/>
    <mergeCell ref="C19:E19"/>
    <mergeCell ref="F19:H19"/>
    <mergeCell ref="I19:I20"/>
    <mergeCell ref="Q19:Q20"/>
    <mergeCell ref="Y19:Y20"/>
    <mergeCell ref="Q23:Q24"/>
    <mergeCell ref="Y23:Y24"/>
    <mergeCell ref="C17:E17"/>
    <mergeCell ref="F17:H17"/>
    <mergeCell ref="Q17:Q18"/>
    <mergeCell ref="Y17:Y18"/>
    <mergeCell ref="AB17:AB18"/>
    <mergeCell ref="C18:E18"/>
    <mergeCell ref="F18:H18"/>
    <mergeCell ref="A15:A16"/>
    <mergeCell ref="C15:E15"/>
    <mergeCell ref="F15:H15"/>
    <mergeCell ref="A17:A18"/>
    <mergeCell ref="AC15:AF15"/>
    <mergeCell ref="C16:E16"/>
    <mergeCell ref="F16:H16"/>
    <mergeCell ref="AC16:AF16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9:B9"/>
    <mergeCell ref="I9:J9"/>
    <mergeCell ref="X9:Y9"/>
    <mergeCell ref="A10:B10"/>
    <mergeCell ref="I10:J10"/>
    <mergeCell ref="I6:J6"/>
    <mergeCell ref="A7:B7"/>
    <mergeCell ref="I7:J7"/>
    <mergeCell ref="P7:V8"/>
    <mergeCell ref="A8:B8"/>
    <mergeCell ref="H8:H10"/>
    <mergeCell ref="I8:J8"/>
    <mergeCell ref="A13:A14"/>
    <mergeCell ref="AB61:AB62"/>
    <mergeCell ref="A1:AB1"/>
    <mergeCell ref="B2:G2"/>
    <mergeCell ref="I2:L2"/>
    <mergeCell ref="M2:N2"/>
    <mergeCell ref="O2:S2"/>
    <mergeCell ref="T2:U2"/>
    <mergeCell ref="V2:X2"/>
    <mergeCell ref="Z2:AB2"/>
    <mergeCell ref="Z8:AB8"/>
    <mergeCell ref="Z9:AB9"/>
    <mergeCell ref="Z10:AB10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3" orientation="portrait" r:id="rId1"/>
  <headerFooter alignWithMargins="0"/>
  <rowBreaks count="1" manualBreakCount="1">
    <brk id="68" max="27" man="1"/>
  </rowBreaks>
  <colBreaks count="1" manualBreakCount="1">
    <brk id="2" max="46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28B9-48BE-4EDD-900D-CD0C804A4D8C}">
  <sheetPr>
    <pageSetUpPr fitToPage="1"/>
  </sheetPr>
  <dimension ref="A1:AF105"/>
  <sheetViews>
    <sheetView view="pageBreakPreview" topLeftCell="A13" zoomScale="75" zoomScaleNormal="100" zoomScaleSheetLayoutView="75" workbookViewId="0">
      <selection activeCell="W49" sqref="W49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7773437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269</v>
      </c>
      <c r="C2" s="548"/>
      <c r="D2" s="548"/>
      <c r="E2" s="548"/>
      <c r="F2" s="548"/>
      <c r="G2" s="549"/>
      <c r="H2" s="180" t="s">
        <v>1</v>
      </c>
      <c r="I2" s="550">
        <f>I11</f>
        <v>1330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268</v>
      </c>
      <c r="B5" s="480"/>
      <c r="C5" s="182">
        <v>400</v>
      </c>
      <c r="D5" s="182">
        <v>239</v>
      </c>
      <c r="E5" s="182"/>
      <c r="F5" s="182"/>
      <c r="G5" s="182"/>
      <c r="H5" s="542" t="s">
        <v>24</v>
      </c>
      <c r="I5" s="524">
        <f t="shared" ref="I5:I11" si="0">SUM(C5:G5)</f>
        <v>639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261</v>
      </c>
      <c r="B6" s="523"/>
      <c r="C6" s="182">
        <v>430</v>
      </c>
      <c r="D6" s="182">
        <v>261</v>
      </c>
      <c r="E6" s="182"/>
      <c r="F6" s="182"/>
      <c r="G6" s="182"/>
      <c r="H6" s="537"/>
      <c r="I6" s="524">
        <f t="shared" si="0"/>
        <v>691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46058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90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830</v>
      </c>
      <c r="D11" s="181">
        <f>SUM(D5:D10)</f>
        <v>500</v>
      </c>
      <c r="E11" s="181">
        <f>SUM(E5:E10)</f>
        <v>0</v>
      </c>
      <c r="F11" s="181">
        <f>SUM(F5:F10)</f>
        <v>0</v>
      </c>
      <c r="G11" s="181">
        <f>SUM(G5:G10)</f>
        <v>0</v>
      </c>
      <c r="H11" s="182"/>
      <c r="I11" s="481">
        <f t="shared" si="0"/>
        <v>1330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45902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846.6</v>
      </c>
      <c r="D12" s="43">
        <f>D11*1.02</f>
        <v>510</v>
      </c>
      <c r="E12" s="43">
        <f>E11*1.02</f>
        <v>0</v>
      </c>
      <c r="F12" s="43">
        <f>F11*1.02</f>
        <v>0</v>
      </c>
      <c r="G12" s="43">
        <f>G11*1.02</f>
        <v>0</v>
      </c>
      <c r="H12" s="44"/>
      <c r="I12" s="486">
        <f>I11*1.02</f>
        <v>1356.6000000000001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639</v>
      </c>
      <c r="C15" s="474" t="str">
        <f t="shared" ref="C15:C23" si="2">$A$5</f>
        <v>CA</v>
      </c>
      <c r="D15" s="475"/>
      <c r="E15" s="476"/>
      <c r="F15" s="474"/>
      <c r="G15" s="475"/>
      <c r="H15" s="476"/>
      <c r="I15" s="71" t="s">
        <v>128</v>
      </c>
      <c r="J15" s="65" t="s">
        <v>6</v>
      </c>
      <c r="K15" s="66">
        <v>1.1100000000000001</v>
      </c>
      <c r="L15" s="67" t="s">
        <v>7</v>
      </c>
      <c r="M15" s="68">
        <f>K15*B15</f>
        <v>709.29000000000008</v>
      </c>
      <c r="N15" s="69"/>
      <c r="O15" s="70"/>
      <c r="P15" s="67" t="s">
        <v>7</v>
      </c>
      <c r="Q15" s="478">
        <v>46060</v>
      </c>
      <c r="R15" s="311">
        <v>710</v>
      </c>
      <c r="S15" s="71" t="s">
        <v>7</v>
      </c>
      <c r="T15" s="123">
        <f t="shared" ref="T15:T93" si="3">R15-M15</f>
        <v>0.70999999999992269</v>
      </c>
      <c r="U15" s="72"/>
      <c r="V15" s="72"/>
      <c r="W15" s="73"/>
      <c r="X15" s="74"/>
      <c r="Y15" s="314" t="s">
        <v>270</v>
      </c>
      <c r="Z15" s="63"/>
      <c r="AA15" s="64"/>
      <c r="AB15" s="566" t="s">
        <v>262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691</v>
      </c>
      <c r="C16" s="368" t="str">
        <f>$A$6</f>
        <v>MG</v>
      </c>
      <c r="D16" s="369"/>
      <c r="E16" s="370"/>
      <c r="F16" s="368"/>
      <c r="G16" s="369"/>
      <c r="H16" s="370"/>
      <c r="I16" s="75" t="s">
        <v>128</v>
      </c>
      <c r="J16" s="76" t="s">
        <v>6</v>
      </c>
      <c r="K16" s="83">
        <v>1.1100000000000001</v>
      </c>
      <c r="L16" s="77" t="s">
        <v>7</v>
      </c>
      <c r="M16" s="78">
        <f t="shared" ref="M16:M93" si="4">K16*B16</f>
        <v>767.0100000000001</v>
      </c>
      <c r="N16" s="79"/>
      <c r="O16" s="128"/>
      <c r="P16" s="77" t="s">
        <v>7</v>
      </c>
      <c r="Q16" s="444"/>
      <c r="R16" s="294">
        <v>767.2</v>
      </c>
      <c r="S16" s="75" t="s">
        <v>7</v>
      </c>
      <c r="T16" s="81">
        <f t="shared" si="3"/>
        <v>0.18999999999994088</v>
      </c>
      <c r="U16" s="131"/>
      <c r="V16" s="131"/>
      <c r="W16" s="132"/>
      <c r="X16" s="133"/>
      <c r="Y16" s="320" t="s">
        <v>271</v>
      </c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639</v>
      </c>
      <c r="C17" s="461" t="str">
        <f t="shared" si="2"/>
        <v>CA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691</v>
      </c>
      <c r="C18" s="461" t="str">
        <f>$A$6</f>
        <v>MG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55" customFormat="1" ht="69.95" customHeight="1" x14ac:dyDescent="0.15">
      <c r="A19" s="431" t="s">
        <v>263</v>
      </c>
      <c r="B19" s="191">
        <f t="shared" si="1"/>
        <v>639</v>
      </c>
      <c r="C19" s="465" t="str">
        <f t="shared" si="2"/>
        <v>CA</v>
      </c>
      <c r="D19" s="465"/>
      <c r="E19" s="465"/>
      <c r="F19" s="465"/>
      <c r="G19" s="465"/>
      <c r="H19" s="465"/>
      <c r="I19" s="433" t="s">
        <v>8</v>
      </c>
      <c r="J19" s="192" t="s">
        <v>6</v>
      </c>
      <c r="K19" s="209">
        <v>0.17</v>
      </c>
      <c r="L19" s="194" t="s">
        <v>7</v>
      </c>
      <c r="M19" s="195">
        <f t="shared" si="4"/>
        <v>108.63000000000001</v>
      </c>
      <c r="N19" s="196"/>
      <c r="O19" s="195"/>
      <c r="P19" s="197" t="s">
        <v>7</v>
      </c>
      <c r="Q19" s="435"/>
      <c r="R19" s="195"/>
      <c r="S19" s="197" t="s">
        <v>7</v>
      </c>
      <c r="T19" s="198">
        <f t="shared" si="3"/>
        <v>-108.63000000000001</v>
      </c>
      <c r="U19" s="199"/>
      <c r="V19" s="200"/>
      <c r="W19" s="195"/>
      <c r="X19" s="195"/>
      <c r="Y19" s="437" t="s">
        <v>93</v>
      </c>
      <c r="Z19" s="235"/>
      <c r="AA19" s="202"/>
      <c r="AB19" s="439"/>
      <c r="AC19" s="178"/>
      <c r="AD19" s="179"/>
      <c r="AE19" s="179"/>
      <c r="AF19" s="179"/>
    </row>
    <row r="20" spans="1:32" s="55" customFormat="1" ht="69.95" customHeight="1" x14ac:dyDescent="0.15">
      <c r="A20" s="432"/>
      <c r="B20" s="191">
        <f>$I$6</f>
        <v>691</v>
      </c>
      <c r="C20" s="465" t="str">
        <f>$A$6</f>
        <v>MG</v>
      </c>
      <c r="D20" s="465"/>
      <c r="E20" s="465"/>
      <c r="F20" s="465"/>
      <c r="G20" s="465"/>
      <c r="H20" s="465"/>
      <c r="I20" s="434"/>
      <c r="J20" s="192" t="s">
        <v>6</v>
      </c>
      <c r="K20" s="209">
        <v>0.17</v>
      </c>
      <c r="L20" s="194" t="s">
        <v>7</v>
      </c>
      <c r="M20" s="195">
        <f t="shared" si="4"/>
        <v>117.47000000000001</v>
      </c>
      <c r="N20" s="196"/>
      <c r="O20" s="210"/>
      <c r="P20" s="194" t="s">
        <v>7</v>
      </c>
      <c r="Q20" s="436"/>
      <c r="R20" s="236"/>
      <c r="S20" s="207" t="s">
        <v>7</v>
      </c>
      <c r="T20" s="198">
        <f t="shared" si="3"/>
        <v>-117.47000000000001</v>
      </c>
      <c r="U20" s="211"/>
      <c r="V20" s="211"/>
      <c r="W20" s="212"/>
      <c r="X20" s="213"/>
      <c r="Y20" s="438"/>
      <c r="Z20" s="238"/>
      <c r="AA20" s="238"/>
      <c r="AB20" s="440"/>
      <c r="AC20" s="178"/>
      <c r="AD20" s="179"/>
      <c r="AE20" s="179"/>
      <c r="AF20" s="179"/>
    </row>
    <row r="21" spans="1:32" s="206" customFormat="1" ht="69.95" customHeight="1" x14ac:dyDescent="0.15">
      <c r="A21" s="431" t="s">
        <v>115</v>
      </c>
      <c r="B21" s="191">
        <f t="shared" si="1"/>
        <v>639</v>
      </c>
      <c r="C21" s="465" t="str">
        <f t="shared" si="2"/>
        <v>CA</v>
      </c>
      <c r="D21" s="465"/>
      <c r="E21" s="465"/>
      <c r="F21" s="465"/>
      <c r="G21" s="465"/>
      <c r="H21" s="465"/>
      <c r="I21" s="433" t="s">
        <v>8</v>
      </c>
      <c r="J21" s="192" t="s">
        <v>6</v>
      </c>
      <c r="K21" s="209"/>
      <c r="L21" s="194" t="s">
        <v>7</v>
      </c>
      <c r="M21" s="195">
        <f t="shared" si="4"/>
        <v>0</v>
      </c>
      <c r="N21" s="196"/>
      <c r="O21" s="195"/>
      <c r="P21" s="197" t="s">
        <v>7</v>
      </c>
      <c r="Q21" s="435"/>
      <c r="R21" s="195"/>
      <c r="S21" s="197" t="s">
        <v>7</v>
      </c>
      <c r="T21" s="198">
        <f t="shared" si="3"/>
        <v>0</v>
      </c>
      <c r="U21" s="199"/>
      <c r="V21" s="200"/>
      <c r="W21" s="195"/>
      <c r="X21" s="195"/>
      <c r="Y21" s="437" t="s">
        <v>93</v>
      </c>
      <c r="Z21" s="235"/>
      <c r="AA21" s="202"/>
      <c r="AB21" s="439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$I$6</f>
        <v>691</v>
      </c>
      <c r="C22" s="465" t="str">
        <f>$A$6</f>
        <v>MG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38"/>
      <c r="AA22" s="238"/>
      <c r="AB22" s="440"/>
      <c r="AC22" s="229"/>
      <c r="AD22" s="230"/>
      <c r="AE22" s="230"/>
      <c r="AF22" s="230"/>
    </row>
    <row r="23" spans="1:32" s="55" customFormat="1" ht="69.95" customHeight="1" x14ac:dyDescent="0.15">
      <c r="A23" s="431" t="s">
        <v>107</v>
      </c>
      <c r="B23" s="191">
        <f t="shared" si="1"/>
        <v>639</v>
      </c>
      <c r="C23" s="465" t="str">
        <f t="shared" si="2"/>
        <v>CA</v>
      </c>
      <c r="D23" s="465"/>
      <c r="E23" s="465"/>
      <c r="F23" s="465"/>
      <c r="G23" s="465"/>
      <c r="H23" s="465"/>
      <c r="I23" s="433" t="s">
        <v>58</v>
      </c>
      <c r="J23" s="192"/>
      <c r="K23" s="209">
        <v>0.06</v>
      </c>
      <c r="L23" s="194" t="s">
        <v>7</v>
      </c>
      <c r="M23" s="195">
        <f t="shared" si="4"/>
        <v>38.339999999999996</v>
      </c>
      <c r="N23" s="196"/>
      <c r="O23" s="195"/>
      <c r="P23" s="197" t="s">
        <v>7</v>
      </c>
      <c r="Q23" s="435"/>
      <c r="R23" s="198"/>
      <c r="S23" s="197" t="s">
        <v>7</v>
      </c>
      <c r="T23" s="198">
        <f t="shared" si="3"/>
        <v>-38.339999999999996</v>
      </c>
      <c r="U23" s="199"/>
      <c r="V23" s="200"/>
      <c r="W23" s="195"/>
      <c r="X23" s="195"/>
      <c r="Y23" s="437" t="s">
        <v>59</v>
      </c>
      <c r="Z23" s="235"/>
      <c r="AA23" s="202"/>
      <c r="AB23" s="439"/>
      <c r="AC23" s="178"/>
      <c r="AD23" s="179"/>
      <c r="AE23" s="179"/>
      <c r="AF23" s="179"/>
    </row>
    <row r="24" spans="1:32" s="55" customFormat="1" ht="69.95" customHeight="1" thickBot="1" x14ac:dyDescent="0.2">
      <c r="A24" s="432"/>
      <c r="B24" s="191">
        <f>$I$6</f>
        <v>691</v>
      </c>
      <c r="C24" s="465" t="str">
        <f>$A$6</f>
        <v>MG</v>
      </c>
      <c r="D24" s="465"/>
      <c r="E24" s="465"/>
      <c r="F24" s="465"/>
      <c r="G24" s="465"/>
      <c r="H24" s="465"/>
      <c r="I24" s="434"/>
      <c r="J24" s="192"/>
      <c r="K24" s="209">
        <v>0.06</v>
      </c>
      <c r="L24" s="194" t="s">
        <v>7</v>
      </c>
      <c r="M24" s="195">
        <f t="shared" si="4"/>
        <v>41.46</v>
      </c>
      <c r="N24" s="196"/>
      <c r="O24" s="210"/>
      <c r="P24" s="194" t="s">
        <v>7</v>
      </c>
      <c r="Q24" s="436"/>
      <c r="R24" s="236"/>
      <c r="S24" s="207" t="s">
        <v>7</v>
      </c>
      <c r="T24" s="198">
        <f t="shared" si="3"/>
        <v>-41.46</v>
      </c>
      <c r="U24" s="211"/>
      <c r="V24" s="211"/>
      <c r="W24" s="212"/>
      <c r="X24" s="213"/>
      <c r="Y24" s="438"/>
      <c r="Z24" s="214"/>
      <c r="AA24" s="202"/>
      <c r="AB24" s="440"/>
      <c r="AC24" s="178"/>
      <c r="AD24" s="179"/>
      <c r="AE24" s="179"/>
      <c r="AF24" s="179"/>
    </row>
    <row r="25" spans="1:32" s="143" customFormat="1" ht="69.95" customHeight="1" thickTop="1" x14ac:dyDescent="0.15">
      <c r="A25" s="431" t="s">
        <v>108</v>
      </c>
      <c r="B25" s="191">
        <f>$I$5</f>
        <v>639</v>
      </c>
      <c r="C25" s="465" t="str">
        <f>$A$5</f>
        <v>CA</v>
      </c>
      <c r="D25" s="465"/>
      <c r="E25" s="465"/>
      <c r="F25" s="465"/>
      <c r="G25" s="465"/>
      <c r="H25" s="465"/>
      <c r="I25" s="433" t="s">
        <v>8</v>
      </c>
      <c r="J25" s="192" t="s">
        <v>6</v>
      </c>
      <c r="K25" s="209"/>
      <c r="L25" s="194" t="s">
        <v>7</v>
      </c>
      <c r="M25" s="195">
        <f>K25*B25</f>
        <v>0</v>
      </c>
      <c r="N25" s="196"/>
      <c r="O25" s="195"/>
      <c r="P25" s="197" t="s">
        <v>7</v>
      </c>
      <c r="Q25" s="435"/>
      <c r="R25" s="195"/>
      <c r="S25" s="197" t="s">
        <v>9</v>
      </c>
      <c r="T25" s="198">
        <f t="shared" si="3"/>
        <v>0</v>
      </c>
      <c r="U25" s="199"/>
      <c r="V25" s="200"/>
      <c r="W25" s="195"/>
      <c r="X25" s="195"/>
      <c r="Y25" s="437" t="s">
        <v>59</v>
      </c>
      <c r="Z25" s="201"/>
      <c r="AA25" s="202"/>
      <c r="AB25" s="596"/>
    </row>
    <row r="26" spans="1:32" s="143" customFormat="1" ht="69.95" customHeight="1" x14ac:dyDescent="0.15">
      <c r="A26" s="432"/>
      <c r="B26" s="191">
        <f>$I$6</f>
        <v>691</v>
      </c>
      <c r="C26" s="465" t="str">
        <f>$A$6</f>
        <v>MG</v>
      </c>
      <c r="D26" s="465"/>
      <c r="E26" s="465"/>
      <c r="F26" s="465"/>
      <c r="G26" s="465"/>
      <c r="H26" s="465"/>
      <c r="I26" s="434"/>
      <c r="J26" s="192" t="s">
        <v>6</v>
      </c>
      <c r="K26" s="209"/>
      <c r="L26" s="194" t="s">
        <v>7</v>
      </c>
      <c r="M26" s="195">
        <f>K26*B26</f>
        <v>0</v>
      </c>
      <c r="N26" s="196"/>
      <c r="O26" s="210"/>
      <c r="P26" s="194" t="s">
        <v>7</v>
      </c>
      <c r="Q26" s="436"/>
      <c r="R26" s="200"/>
      <c r="S26" s="207" t="s">
        <v>9</v>
      </c>
      <c r="T26" s="198">
        <f t="shared" si="3"/>
        <v>0</v>
      </c>
      <c r="U26" s="211"/>
      <c r="V26" s="211"/>
      <c r="W26" s="212"/>
      <c r="X26" s="213"/>
      <c r="Y26" s="438"/>
      <c r="Z26" s="214"/>
      <c r="AA26" s="202"/>
      <c r="AB26" s="440"/>
      <c r="AC26" s="577"/>
      <c r="AD26" s="578"/>
      <c r="AE26" s="578"/>
      <c r="AF26" s="578"/>
    </row>
    <row r="27" spans="1:32" s="143" customFormat="1" ht="69.95" customHeight="1" x14ac:dyDescent="0.15">
      <c r="A27" s="464" t="s">
        <v>86</v>
      </c>
      <c r="B27" s="182">
        <f>$I$5</f>
        <v>639</v>
      </c>
      <c r="C27" s="461" t="str">
        <f>$A$5</f>
        <v>CA</v>
      </c>
      <c r="D27" s="461"/>
      <c r="E27" s="461"/>
      <c r="F27" s="461"/>
      <c r="G27" s="461"/>
      <c r="H27" s="461"/>
      <c r="I27" s="441" t="s">
        <v>251</v>
      </c>
      <c r="J27" s="76"/>
      <c r="K27" s="136">
        <v>6.5</v>
      </c>
      <c r="L27" s="77" t="s">
        <v>7</v>
      </c>
      <c r="M27" s="78">
        <f t="shared" ref="M27:M34" si="5">K27*B27/50</f>
        <v>83.07</v>
      </c>
      <c r="N27" s="79"/>
      <c r="O27" s="78"/>
      <c r="P27" s="80" t="s">
        <v>7</v>
      </c>
      <c r="Q27" s="443">
        <v>46064</v>
      </c>
      <c r="R27" s="78">
        <v>84</v>
      </c>
      <c r="S27" s="80" t="s">
        <v>9</v>
      </c>
      <c r="T27" s="81">
        <f t="shared" si="3"/>
        <v>0.93000000000000682</v>
      </c>
      <c r="U27" s="82"/>
      <c r="V27" s="137"/>
      <c r="W27" s="78"/>
      <c r="X27" s="78"/>
      <c r="Y27" s="445" t="s">
        <v>94</v>
      </c>
      <c r="Z27" s="141"/>
      <c r="AA27" s="135"/>
      <c r="AB27" s="360" t="s">
        <v>276</v>
      </c>
    </row>
    <row r="28" spans="1:32" s="143" customFormat="1" ht="69.95" customHeight="1" x14ac:dyDescent="0.15">
      <c r="A28" s="464"/>
      <c r="B28" s="182">
        <f>$I$6</f>
        <v>691</v>
      </c>
      <c r="C28" s="461" t="str">
        <f>$A$6</f>
        <v>MG</v>
      </c>
      <c r="D28" s="461"/>
      <c r="E28" s="461"/>
      <c r="F28" s="461"/>
      <c r="G28" s="461"/>
      <c r="H28" s="461"/>
      <c r="I28" s="442"/>
      <c r="J28" s="76"/>
      <c r="K28" s="136">
        <v>6.5</v>
      </c>
      <c r="L28" s="77" t="s">
        <v>7</v>
      </c>
      <c r="M28" s="78">
        <f t="shared" si="5"/>
        <v>89.83</v>
      </c>
      <c r="N28" s="79"/>
      <c r="O28" s="128"/>
      <c r="P28" s="77" t="s">
        <v>7</v>
      </c>
      <c r="Q28" s="444"/>
      <c r="R28" s="137">
        <v>90</v>
      </c>
      <c r="S28" s="75" t="s">
        <v>9</v>
      </c>
      <c r="T28" s="81">
        <f t="shared" si="3"/>
        <v>0.17000000000000171</v>
      </c>
      <c r="U28" s="131"/>
      <c r="V28" s="131"/>
      <c r="W28" s="132"/>
      <c r="X28" s="133"/>
      <c r="Y28" s="446"/>
      <c r="Z28" s="134"/>
      <c r="AA28" s="135"/>
      <c r="AB28" s="362"/>
      <c r="AC28" s="577"/>
      <c r="AD28" s="578"/>
      <c r="AE28" s="578"/>
      <c r="AF28" s="578"/>
    </row>
    <row r="29" spans="1:32" s="143" customFormat="1" ht="69.95" customHeight="1" x14ac:dyDescent="0.15">
      <c r="A29" s="464" t="s">
        <v>222</v>
      </c>
      <c r="B29" s="191">
        <f>$I$5</f>
        <v>639</v>
      </c>
      <c r="C29" s="465" t="str">
        <f>$A$5</f>
        <v>CA</v>
      </c>
      <c r="D29" s="465"/>
      <c r="E29" s="465"/>
      <c r="F29" s="465"/>
      <c r="G29" s="465"/>
      <c r="H29" s="465"/>
      <c r="I29" s="433" t="s">
        <v>252</v>
      </c>
      <c r="J29" s="192"/>
      <c r="K29" s="209">
        <v>1.3</v>
      </c>
      <c r="L29" s="194" t="s">
        <v>7</v>
      </c>
      <c r="M29" s="195">
        <f t="shared" si="5"/>
        <v>16.614000000000001</v>
      </c>
      <c r="N29" s="196"/>
      <c r="O29" s="195"/>
      <c r="P29" s="197" t="s">
        <v>7</v>
      </c>
      <c r="Q29" s="435"/>
      <c r="R29" s="195"/>
      <c r="S29" s="197" t="s">
        <v>9</v>
      </c>
      <c r="T29" s="198">
        <f t="shared" si="3"/>
        <v>-16.614000000000001</v>
      </c>
      <c r="U29" s="199"/>
      <c r="V29" s="200"/>
      <c r="W29" s="195"/>
      <c r="X29" s="195"/>
      <c r="Y29" s="437" t="s">
        <v>94</v>
      </c>
      <c r="Z29" s="201"/>
      <c r="AA29" s="202"/>
      <c r="AB29" s="439"/>
    </row>
    <row r="30" spans="1:32" s="143" customFormat="1" ht="69.95" customHeight="1" x14ac:dyDescent="0.15">
      <c r="A30" s="464"/>
      <c r="B30" s="191">
        <f>$I$6</f>
        <v>691</v>
      </c>
      <c r="C30" s="465" t="str">
        <f>$A$6</f>
        <v>MG</v>
      </c>
      <c r="D30" s="465"/>
      <c r="E30" s="465"/>
      <c r="F30" s="465"/>
      <c r="G30" s="465"/>
      <c r="H30" s="465"/>
      <c r="I30" s="434"/>
      <c r="J30" s="192"/>
      <c r="K30" s="209">
        <v>1.3</v>
      </c>
      <c r="L30" s="194" t="s">
        <v>7</v>
      </c>
      <c r="M30" s="195">
        <f t="shared" si="5"/>
        <v>17.966000000000001</v>
      </c>
      <c r="N30" s="196"/>
      <c r="O30" s="210"/>
      <c r="P30" s="194" t="s">
        <v>7</v>
      </c>
      <c r="Q30" s="436"/>
      <c r="R30" s="200"/>
      <c r="S30" s="207" t="s">
        <v>9</v>
      </c>
      <c r="T30" s="198">
        <f t="shared" si="3"/>
        <v>-17.966000000000001</v>
      </c>
      <c r="U30" s="211"/>
      <c r="V30" s="211"/>
      <c r="W30" s="212"/>
      <c r="X30" s="213"/>
      <c r="Y30" s="438"/>
      <c r="Z30" s="214"/>
      <c r="AA30" s="202"/>
      <c r="AB30" s="440"/>
      <c r="AC30" s="577"/>
      <c r="AD30" s="578"/>
      <c r="AE30" s="578"/>
      <c r="AF30" s="578"/>
    </row>
    <row r="31" spans="1:32" s="203" customFormat="1" ht="69.95" customHeight="1" x14ac:dyDescent="0.15">
      <c r="A31" s="464" t="s">
        <v>77</v>
      </c>
      <c r="B31" s="182">
        <f>$I$5</f>
        <v>639</v>
      </c>
      <c r="C31" s="461" t="str">
        <f>$A$5</f>
        <v>CA</v>
      </c>
      <c r="D31" s="461"/>
      <c r="E31" s="461"/>
      <c r="F31" s="461"/>
      <c r="G31" s="461"/>
      <c r="H31" s="461"/>
      <c r="I31" s="441" t="s">
        <v>76</v>
      </c>
      <c r="J31" s="76"/>
      <c r="K31" s="136">
        <v>1.2</v>
      </c>
      <c r="L31" s="77" t="s">
        <v>7</v>
      </c>
      <c r="M31" s="78">
        <f t="shared" si="5"/>
        <v>15.335999999999999</v>
      </c>
      <c r="N31" s="79"/>
      <c r="O31" s="78"/>
      <c r="P31" s="80" t="s">
        <v>7</v>
      </c>
      <c r="Q31" s="443">
        <v>46064</v>
      </c>
      <c r="R31" s="78">
        <v>16</v>
      </c>
      <c r="S31" s="80" t="s">
        <v>9</v>
      </c>
      <c r="T31" s="81">
        <f>R31-M31</f>
        <v>0.66400000000000148</v>
      </c>
      <c r="U31" s="82"/>
      <c r="V31" s="137"/>
      <c r="W31" s="78"/>
      <c r="X31" s="78"/>
      <c r="Y31" s="445" t="s">
        <v>94</v>
      </c>
      <c r="Z31" s="141"/>
      <c r="AA31" s="135"/>
      <c r="AB31" s="360" t="s">
        <v>276</v>
      </c>
    </row>
    <row r="32" spans="1:32" s="203" customFormat="1" ht="69.95" customHeight="1" x14ac:dyDescent="0.15">
      <c r="A32" s="464"/>
      <c r="B32" s="182">
        <f>$I$6</f>
        <v>691</v>
      </c>
      <c r="C32" s="461" t="str">
        <f>$A$6</f>
        <v>MG</v>
      </c>
      <c r="D32" s="461"/>
      <c r="E32" s="461"/>
      <c r="F32" s="461"/>
      <c r="G32" s="461"/>
      <c r="H32" s="461"/>
      <c r="I32" s="442"/>
      <c r="J32" s="76"/>
      <c r="K32" s="83">
        <v>1.2</v>
      </c>
      <c r="L32" s="77" t="s">
        <v>7</v>
      </c>
      <c r="M32" s="78">
        <f t="shared" si="5"/>
        <v>16.584</v>
      </c>
      <c r="N32" s="79"/>
      <c r="O32" s="128"/>
      <c r="P32" s="77" t="s">
        <v>7</v>
      </c>
      <c r="Q32" s="444"/>
      <c r="R32" s="137">
        <v>17</v>
      </c>
      <c r="S32" s="75" t="s">
        <v>9</v>
      </c>
      <c r="T32" s="81">
        <f>R32-M32</f>
        <v>0.41600000000000037</v>
      </c>
      <c r="U32" s="131"/>
      <c r="V32" s="131"/>
      <c r="W32" s="132"/>
      <c r="X32" s="133"/>
      <c r="Y32" s="446"/>
      <c r="Z32" s="134"/>
      <c r="AA32" s="135"/>
      <c r="AB32" s="362"/>
      <c r="AC32" s="466"/>
      <c r="AD32" s="467"/>
      <c r="AE32" s="467"/>
      <c r="AF32" s="467"/>
    </row>
    <row r="33" spans="1:32" s="203" customFormat="1" ht="69.95" customHeight="1" x14ac:dyDescent="0.15">
      <c r="A33" s="464" t="s">
        <v>116</v>
      </c>
      <c r="B33" s="191">
        <f>$I$5</f>
        <v>639</v>
      </c>
      <c r="C33" s="465" t="str">
        <f>$A$5</f>
        <v>CA</v>
      </c>
      <c r="D33" s="465"/>
      <c r="E33" s="465"/>
      <c r="F33" s="465"/>
      <c r="G33" s="465"/>
      <c r="H33" s="465"/>
      <c r="I33" s="433" t="s">
        <v>76</v>
      </c>
      <c r="J33" s="192"/>
      <c r="K33" s="209"/>
      <c r="L33" s="194" t="s">
        <v>7</v>
      </c>
      <c r="M33" s="195">
        <f t="shared" si="5"/>
        <v>0</v>
      </c>
      <c r="N33" s="196"/>
      <c r="O33" s="195"/>
      <c r="P33" s="197" t="s">
        <v>7</v>
      </c>
      <c r="Q33" s="435"/>
      <c r="R33" s="195"/>
      <c r="S33" s="197" t="s">
        <v>9</v>
      </c>
      <c r="T33" s="198">
        <f t="shared" si="3"/>
        <v>0</v>
      </c>
      <c r="U33" s="199"/>
      <c r="V33" s="200"/>
      <c r="W33" s="195"/>
      <c r="X33" s="195"/>
      <c r="Y33" s="437" t="s">
        <v>94</v>
      </c>
      <c r="Z33" s="201"/>
      <c r="AA33" s="202"/>
      <c r="AB33" s="439"/>
    </row>
    <row r="34" spans="1:32" s="203" customFormat="1" ht="69.95" customHeight="1" x14ac:dyDescent="0.15">
      <c r="A34" s="464"/>
      <c r="B34" s="191">
        <f>$I$6</f>
        <v>691</v>
      </c>
      <c r="C34" s="465" t="str">
        <f>$A$6</f>
        <v>MG</v>
      </c>
      <c r="D34" s="465"/>
      <c r="E34" s="465"/>
      <c r="F34" s="465"/>
      <c r="G34" s="465"/>
      <c r="H34" s="465"/>
      <c r="I34" s="434"/>
      <c r="J34" s="192"/>
      <c r="K34" s="208"/>
      <c r="L34" s="194" t="s">
        <v>7</v>
      </c>
      <c r="M34" s="195">
        <f t="shared" si="5"/>
        <v>0</v>
      </c>
      <c r="N34" s="196"/>
      <c r="O34" s="210"/>
      <c r="P34" s="194" t="s">
        <v>7</v>
      </c>
      <c r="Q34" s="436"/>
      <c r="R34" s="200"/>
      <c r="S34" s="207" t="s">
        <v>9</v>
      </c>
      <c r="T34" s="198">
        <f t="shared" si="3"/>
        <v>0</v>
      </c>
      <c r="U34" s="211"/>
      <c r="V34" s="211"/>
      <c r="W34" s="212"/>
      <c r="X34" s="213"/>
      <c r="Y34" s="438"/>
      <c r="Z34" s="214"/>
      <c r="AA34" s="202"/>
      <c r="AB34" s="440"/>
      <c r="AC34" s="466"/>
      <c r="AD34" s="467"/>
      <c r="AE34" s="467"/>
      <c r="AF34" s="467"/>
    </row>
    <row r="35" spans="1:32" s="143" customFormat="1" ht="69.95" customHeight="1" x14ac:dyDescent="0.15">
      <c r="A35" s="431" t="s">
        <v>88</v>
      </c>
      <c r="B35" s="182">
        <f>$I$5</f>
        <v>639</v>
      </c>
      <c r="C35" s="461" t="str">
        <f>$A$5</f>
        <v>CA</v>
      </c>
      <c r="D35" s="461"/>
      <c r="E35" s="461"/>
      <c r="F35" s="461" t="str">
        <f>$A$5</f>
        <v>CA</v>
      </c>
      <c r="G35" s="461"/>
      <c r="H35" s="461"/>
      <c r="I35" s="441" t="s">
        <v>62</v>
      </c>
      <c r="J35" s="76"/>
      <c r="K35" s="139">
        <v>150</v>
      </c>
      <c r="L35" s="77" t="s">
        <v>61</v>
      </c>
      <c r="M35" s="78">
        <f t="shared" ref="M35:M36" si="6">K35*B35/2500</f>
        <v>38.340000000000003</v>
      </c>
      <c r="N35" s="79"/>
      <c r="O35" s="78"/>
      <c r="P35" s="80" t="s">
        <v>10</v>
      </c>
      <c r="Q35" s="443">
        <v>46064</v>
      </c>
      <c r="R35" s="78">
        <v>39</v>
      </c>
      <c r="S35" s="80" t="s">
        <v>10</v>
      </c>
      <c r="T35" s="81">
        <f t="shared" si="3"/>
        <v>0.65999999999999659</v>
      </c>
      <c r="U35" s="82"/>
      <c r="V35" s="137"/>
      <c r="W35" s="78"/>
      <c r="X35" s="78"/>
      <c r="Y35" s="445" t="s">
        <v>94</v>
      </c>
      <c r="Z35" s="141"/>
      <c r="AA35" s="135"/>
      <c r="AB35" s="360" t="s">
        <v>276</v>
      </c>
    </row>
    <row r="36" spans="1:32" s="55" customFormat="1" ht="69.95" customHeight="1" x14ac:dyDescent="0.15">
      <c r="A36" s="432"/>
      <c r="B36" s="186">
        <f>$I$6</f>
        <v>691</v>
      </c>
      <c r="C36" s="395" t="str">
        <f>$A$6</f>
        <v>MG</v>
      </c>
      <c r="D36" s="396"/>
      <c r="E36" s="397"/>
      <c r="F36" s="395" t="str">
        <f>$A$6</f>
        <v>MG</v>
      </c>
      <c r="G36" s="396"/>
      <c r="H36" s="397"/>
      <c r="I36" s="442"/>
      <c r="J36" s="144"/>
      <c r="K36" s="139">
        <v>150</v>
      </c>
      <c r="L36" s="145" t="s">
        <v>61</v>
      </c>
      <c r="M36" s="78">
        <f t="shared" si="6"/>
        <v>41.46</v>
      </c>
      <c r="N36" s="146"/>
      <c r="O36" s="147"/>
      <c r="P36" s="145" t="s">
        <v>10</v>
      </c>
      <c r="Q36" s="444"/>
      <c r="R36" s="161">
        <v>42</v>
      </c>
      <c r="S36" s="148" t="s">
        <v>10</v>
      </c>
      <c r="T36" s="84">
        <f t="shared" si="3"/>
        <v>0.53999999999999915</v>
      </c>
      <c r="U36" s="149"/>
      <c r="V36" s="149"/>
      <c r="W36" s="150"/>
      <c r="X36" s="151"/>
      <c r="Y36" s="446"/>
      <c r="Z36" s="216"/>
      <c r="AA36" s="217"/>
      <c r="AB36" s="362"/>
      <c r="AC36" s="471"/>
      <c r="AD36" s="472"/>
      <c r="AE36" s="472"/>
      <c r="AF36" s="472"/>
    </row>
    <row r="37" spans="1:32" s="143" customFormat="1" ht="69.95" customHeight="1" x14ac:dyDescent="0.15">
      <c r="A37" s="431" t="s">
        <v>147</v>
      </c>
      <c r="B37" s="191">
        <f>$I$5</f>
        <v>639</v>
      </c>
      <c r="C37" s="465" t="str">
        <f>$A$5</f>
        <v>CA</v>
      </c>
      <c r="D37" s="465"/>
      <c r="E37" s="465"/>
      <c r="F37" s="465" t="str">
        <f>$A$5</f>
        <v>CA</v>
      </c>
      <c r="G37" s="465"/>
      <c r="H37" s="465"/>
      <c r="I37" s="433" t="s">
        <v>60</v>
      </c>
      <c r="J37" s="192"/>
      <c r="K37" s="193">
        <v>50</v>
      </c>
      <c r="L37" s="194" t="s">
        <v>61</v>
      </c>
      <c r="M37" s="195">
        <f>K37*B37/4000</f>
        <v>7.9874999999999998</v>
      </c>
      <c r="N37" s="196"/>
      <c r="O37" s="195"/>
      <c r="P37" s="197" t="s">
        <v>10</v>
      </c>
      <c r="Q37" s="435"/>
      <c r="R37" s="195"/>
      <c r="S37" s="197" t="s">
        <v>10</v>
      </c>
      <c r="T37" s="198">
        <f t="shared" si="3"/>
        <v>-7.9874999999999998</v>
      </c>
      <c r="U37" s="199"/>
      <c r="V37" s="200"/>
      <c r="W37" s="195"/>
      <c r="X37" s="195"/>
      <c r="Y37" s="437" t="s">
        <v>94</v>
      </c>
      <c r="Z37" s="201"/>
      <c r="AA37" s="202"/>
      <c r="AB37" s="439"/>
    </row>
    <row r="38" spans="1:32" s="55" customFormat="1" ht="69.95" customHeight="1" x14ac:dyDescent="0.15">
      <c r="A38" s="432"/>
      <c r="B38" s="204">
        <f>$I$6</f>
        <v>691</v>
      </c>
      <c r="C38" s="453" t="str">
        <f>$A$6</f>
        <v>MG</v>
      </c>
      <c r="D38" s="454"/>
      <c r="E38" s="455"/>
      <c r="F38" s="453" t="str">
        <f>$A$6</f>
        <v>MG</v>
      </c>
      <c r="G38" s="454"/>
      <c r="H38" s="455"/>
      <c r="I38" s="434"/>
      <c r="J38" s="218"/>
      <c r="K38" s="193">
        <v>50</v>
      </c>
      <c r="L38" s="219" t="s">
        <v>61</v>
      </c>
      <c r="M38" s="195">
        <f>K38*B38/4000</f>
        <v>8.6374999999999993</v>
      </c>
      <c r="N38" s="220"/>
      <c r="O38" s="221"/>
      <c r="P38" s="219" t="s">
        <v>10</v>
      </c>
      <c r="Q38" s="436"/>
      <c r="R38" s="222"/>
      <c r="S38" s="215" t="s">
        <v>10</v>
      </c>
      <c r="T38" s="205">
        <f t="shared" si="3"/>
        <v>-8.6374999999999993</v>
      </c>
      <c r="U38" s="223"/>
      <c r="V38" s="223"/>
      <c r="W38" s="224"/>
      <c r="X38" s="225"/>
      <c r="Y38" s="438"/>
      <c r="Z38" s="226"/>
      <c r="AA38" s="227"/>
      <c r="AB38" s="440"/>
      <c r="AC38" s="471"/>
      <c r="AD38" s="472"/>
      <c r="AE38" s="472"/>
      <c r="AF38" s="472"/>
    </row>
    <row r="39" spans="1:32" s="143" customFormat="1" ht="69.95" customHeight="1" x14ac:dyDescent="0.15">
      <c r="A39" s="431" t="s">
        <v>253</v>
      </c>
      <c r="B39" s="191">
        <f>$I$5</f>
        <v>639</v>
      </c>
      <c r="C39" s="465" t="str">
        <f>$A$5</f>
        <v>CA</v>
      </c>
      <c r="D39" s="465"/>
      <c r="E39" s="465"/>
      <c r="F39" s="465" t="str">
        <f>$A$5</f>
        <v>CA</v>
      </c>
      <c r="G39" s="465"/>
      <c r="H39" s="465"/>
      <c r="I39" s="433" t="s">
        <v>254</v>
      </c>
      <c r="J39" s="192"/>
      <c r="K39" s="193">
        <v>10</v>
      </c>
      <c r="L39" s="194" t="s">
        <v>61</v>
      </c>
      <c r="M39" s="195">
        <f>K39*B39/6000</f>
        <v>1.0649999999999999</v>
      </c>
      <c r="N39" s="196"/>
      <c r="O39" s="195"/>
      <c r="P39" s="197" t="s">
        <v>10</v>
      </c>
      <c r="Q39" s="435"/>
      <c r="R39" s="195"/>
      <c r="S39" s="197" t="s">
        <v>10</v>
      </c>
      <c r="T39" s="198">
        <f t="shared" si="3"/>
        <v>-1.0649999999999999</v>
      </c>
      <c r="U39" s="199"/>
      <c r="V39" s="200"/>
      <c r="W39" s="195"/>
      <c r="X39" s="195"/>
      <c r="Y39" s="437" t="s">
        <v>94</v>
      </c>
      <c r="Z39" s="201"/>
      <c r="AA39" s="202"/>
      <c r="AB39" s="439"/>
    </row>
    <row r="40" spans="1:32" s="55" customFormat="1" ht="69.95" customHeight="1" x14ac:dyDescent="0.15">
      <c r="A40" s="432"/>
      <c r="B40" s="204">
        <f>$I$6</f>
        <v>691</v>
      </c>
      <c r="C40" s="453" t="str">
        <f>$A$6</f>
        <v>MG</v>
      </c>
      <c r="D40" s="454"/>
      <c r="E40" s="455"/>
      <c r="F40" s="453" t="str">
        <f>$A$6</f>
        <v>MG</v>
      </c>
      <c r="G40" s="454"/>
      <c r="H40" s="455"/>
      <c r="I40" s="434"/>
      <c r="J40" s="218"/>
      <c r="K40" s="193">
        <v>10</v>
      </c>
      <c r="L40" s="219" t="s">
        <v>61</v>
      </c>
      <c r="M40" s="195">
        <f>K40*B40/6000</f>
        <v>1.1516666666666666</v>
      </c>
      <c r="N40" s="220"/>
      <c r="O40" s="221"/>
      <c r="P40" s="219" t="s">
        <v>10</v>
      </c>
      <c r="Q40" s="436"/>
      <c r="R40" s="222"/>
      <c r="S40" s="215" t="s">
        <v>10</v>
      </c>
      <c r="T40" s="205">
        <f t="shared" si="3"/>
        <v>-1.1516666666666666</v>
      </c>
      <c r="U40" s="223"/>
      <c r="V40" s="223"/>
      <c r="W40" s="224"/>
      <c r="X40" s="225"/>
      <c r="Y40" s="438"/>
      <c r="Z40" s="226"/>
      <c r="AA40" s="227"/>
      <c r="AB40" s="440"/>
      <c r="AC40" s="471"/>
      <c r="AD40" s="472"/>
      <c r="AE40" s="472"/>
      <c r="AF40" s="472"/>
    </row>
    <row r="41" spans="1:32" s="206" customFormat="1" ht="69.95" customHeight="1" x14ac:dyDescent="0.15">
      <c r="A41" s="431" t="s">
        <v>117</v>
      </c>
      <c r="B41" s="191">
        <f t="shared" ref="B41:B43" si="7">$I$5</f>
        <v>639</v>
      </c>
      <c r="C41" s="422" t="str">
        <f t="shared" ref="C41:C43" si="8">$A$5</f>
        <v>CA</v>
      </c>
      <c r="D41" s="423"/>
      <c r="E41" s="424"/>
      <c r="F41" s="425"/>
      <c r="G41" s="423"/>
      <c r="H41" s="424"/>
      <c r="I41" s="433" t="s">
        <v>80</v>
      </c>
      <c r="J41" s="192"/>
      <c r="K41" s="193"/>
      <c r="L41" s="194" t="s">
        <v>65</v>
      </c>
      <c r="M41" s="195">
        <f t="shared" ref="M41:M56" si="9">K41*B41</f>
        <v>0</v>
      </c>
      <c r="N41" s="196"/>
      <c r="O41" s="195"/>
      <c r="P41" s="194" t="s">
        <v>65</v>
      </c>
      <c r="Q41" s="435"/>
      <c r="R41" s="195"/>
      <c r="S41" s="194" t="s">
        <v>65</v>
      </c>
      <c r="T41" s="205">
        <f t="shared" si="3"/>
        <v>0</v>
      </c>
      <c r="U41" s="199"/>
      <c r="V41" s="199"/>
      <c r="W41" s="208"/>
      <c r="X41" s="198"/>
      <c r="Y41" s="437" t="s">
        <v>57</v>
      </c>
      <c r="Z41" s="231"/>
      <c r="AA41" s="232"/>
      <c r="AB41" s="439"/>
    </row>
    <row r="42" spans="1:32" s="206" customFormat="1" ht="69.95" customHeight="1" x14ac:dyDescent="0.15">
      <c r="A42" s="432"/>
      <c r="B42" s="204">
        <f>$I$6</f>
        <v>691</v>
      </c>
      <c r="C42" s="453" t="str">
        <f>$A$6</f>
        <v>MG</v>
      </c>
      <c r="D42" s="454"/>
      <c r="E42" s="455"/>
      <c r="F42" s="425"/>
      <c r="G42" s="423"/>
      <c r="H42" s="424"/>
      <c r="I42" s="434"/>
      <c r="J42" s="192"/>
      <c r="K42" s="193"/>
      <c r="L42" s="194" t="s">
        <v>65</v>
      </c>
      <c r="M42" s="195">
        <f t="shared" si="9"/>
        <v>0</v>
      </c>
      <c r="N42" s="233"/>
      <c r="O42" s="195"/>
      <c r="P42" s="194" t="s">
        <v>65</v>
      </c>
      <c r="Q42" s="436"/>
      <c r="R42" s="195"/>
      <c r="S42" s="194" t="s">
        <v>65</v>
      </c>
      <c r="T42" s="198">
        <f t="shared" si="3"/>
        <v>0</v>
      </c>
      <c r="U42" s="199"/>
      <c r="V42" s="200"/>
      <c r="W42" s="195"/>
      <c r="X42" s="195"/>
      <c r="Y42" s="438"/>
      <c r="Z42" s="201"/>
      <c r="AA42" s="202"/>
      <c r="AB42" s="440"/>
      <c r="AC42" s="234"/>
      <c r="AD42" s="230"/>
      <c r="AE42" s="230"/>
      <c r="AF42" s="230"/>
    </row>
    <row r="43" spans="1:32" s="206" customFormat="1" ht="69.95" customHeight="1" x14ac:dyDescent="0.15">
      <c r="A43" s="431" t="s">
        <v>78</v>
      </c>
      <c r="B43" s="191">
        <f t="shared" si="7"/>
        <v>639</v>
      </c>
      <c r="C43" s="422" t="str">
        <f t="shared" si="8"/>
        <v>CA</v>
      </c>
      <c r="D43" s="423"/>
      <c r="E43" s="424"/>
      <c r="F43" s="425"/>
      <c r="G43" s="423"/>
      <c r="H43" s="424"/>
      <c r="I43" s="207"/>
      <c r="J43" s="192"/>
      <c r="K43" s="193"/>
      <c r="L43" s="194" t="s">
        <v>65</v>
      </c>
      <c r="M43" s="195">
        <f t="shared" si="9"/>
        <v>0</v>
      </c>
      <c r="N43" s="196"/>
      <c r="O43" s="195"/>
      <c r="P43" s="194" t="s">
        <v>65</v>
      </c>
      <c r="Q43" s="435"/>
      <c r="R43" s="195"/>
      <c r="S43" s="194" t="s">
        <v>65</v>
      </c>
      <c r="T43" s="205">
        <f t="shared" si="3"/>
        <v>0</v>
      </c>
      <c r="U43" s="199"/>
      <c r="V43" s="199"/>
      <c r="W43" s="208"/>
      <c r="X43" s="198"/>
      <c r="Y43" s="437" t="s">
        <v>57</v>
      </c>
      <c r="Z43" s="231"/>
      <c r="AA43" s="232"/>
      <c r="AB43" s="439"/>
    </row>
    <row r="44" spans="1:32" s="206" customFormat="1" ht="69.95" customHeight="1" x14ac:dyDescent="0.15">
      <c r="A44" s="432"/>
      <c r="B44" s="204">
        <f>$I$6</f>
        <v>691</v>
      </c>
      <c r="C44" s="453" t="str">
        <f>$A$6</f>
        <v>MG</v>
      </c>
      <c r="D44" s="454"/>
      <c r="E44" s="455"/>
      <c r="F44" s="425"/>
      <c r="G44" s="423"/>
      <c r="H44" s="424"/>
      <c r="I44" s="207"/>
      <c r="J44" s="192"/>
      <c r="K44" s="193"/>
      <c r="L44" s="194" t="s">
        <v>65</v>
      </c>
      <c r="M44" s="195">
        <f t="shared" si="9"/>
        <v>0</v>
      </c>
      <c r="N44" s="233"/>
      <c r="O44" s="195"/>
      <c r="P44" s="194" t="s">
        <v>65</v>
      </c>
      <c r="Q44" s="436"/>
      <c r="R44" s="195"/>
      <c r="S44" s="194" t="s">
        <v>65</v>
      </c>
      <c r="T44" s="198">
        <f t="shared" si="3"/>
        <v>0</v>
      </c>
      <c r="U44" s="199"/>
      <c r="V44" s="200"/>
      <c r="W44" s="195"/>
      <c r="X44" s="195"/>
      <c r="Y44" s="438"/>
      <c r="Z44" s="201"/>
      <c r="AA44" s="202"/>
      <c r="AB44" s="440"/>
      <c r="AC44" s="234"/>
      <c r="AD44" s="230"/>
      <c r="AE44" s="230"/>
      <c r="AF44" s="230"/>
    </row>
    <row r="45" spans="1:32" s="55" customFormat="1" ht="69.95" customHeight="1" x14ac:dyDescent="0.15">
      <c r="A45" s="431" t="s">
        <v>100</v>
      </c>
      <c r="B45" s="191">
        <f t="shared" ref="B45:B53" si="10">$I$5</f>
        <v>639</v>
      </c>
      <c r="C45" s="422" t="str">
        <f t="shared" ref="C45:C53" si="11">$A$5</f>
        <v>CA</v>
      </c>
      <c r="D45" s="423"/>
      <c r="E45" s="424"/>
      <c r="F45" s="425"/>
      <c r="G45" s="423"/>
      <c r="H45" s="424"/>
      <c r="I45" s="207" t="s">
        <v>101</v>
      </c>
      <c r="J45" s="192"/>
      <c r="K45" s="193"/>
      <c r="L45" s="194" t="s">
        <v>63</v>
      </c>
      <c r="M45" s="195">
        <f t="shared" si="9"/>
        <v>0</v>
      </c>
      <c r="N45" s="196"/>
      <c r="O45" s="195"/>
      <c r="P45" s="197" t="s">
        <v>63</v>
      </c>
      <c r="Q45" s="435"/>
      <c r="R45" s="195"/>
      <c r="S45" s="197" t="s">
        <v>63</v>
      </c>
      <c r="T45" s="205">
        <f t="shared" si="3"/>
        <v>0</v>
      </c>
      <c r="U45" s="199"/>
      <c r="V45" s="199"/>
      <c r="W45" s="208"/>
      <c r="X45" s="198"/>
      <c r="Y45" s="437" t="s">
        <v>94</v>
      </c>
      <c r="Z45" s="231"/>
      <c r="AA45" s="232"/>
      <c r="AB45" s="439"/>
    </row>
    <row r="46" spans="1:32" s="55" customFormat="1" ht="69.95" customHeight="1" x14ac:dyDescent="0.15">
      <c r="A46" s="432"/>
      <c r="B46" s="204">
        <f>$I$6</f>
        <v>691</v>
      </c>
      <c r="C46" s="453" t="str">
        <f>$A$6</f>
        <v>MG</v>
      </c>
      <c r="D46" s="454"/>
      <c r="E46" s="455"/>
      <c r="F46" s="425"/>
      <c r="G46" s="423"/>
      <c r="H46" s="424"/>
      <c r="I46" s="207" t="s">
        <v>101</v>
      </c>
      <c r="J46" s="192"/>
      <c r="K46" s="193"/>
      <c r="L46" s="194" t="s">
        <v>63</v>
      </c>
      <c r="M46" s="195">
        <f t="shared" si="9"/>
        <v>0</v>
      </c>
      <c r="N46" s="233"/>
      <c r="O46" s="195"/>
      <c r="P46" s="197" t="s">
        <v>63</v>
      </c>
      <c r="Q46" s="436"/>
      <c r="R46" s="195"/>
      <c r="S46" s="197" t="s">
        <v>63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440"/>
      <c r="AC46" s="142"/>
      <c r="AD46" s="179"/>
      <c r="AE46" s="179"/>
      <c r="AF46" s="179"/>
    </row>
    <row r="47" spans="1:32" s="206" customFormat="1" ht="69.95" customHeight="1" x14ac:dyDescent="0.15">
      <c r="A47" s="431" t="s">
        <v>265</v>
      </c>
      <c r="B47" s="191">
        <f t="shared" ref="B47" si="12">$I$5</f>
        <v>639</v>
      </c>
      <c r="C47" s="422" t="str">
        <f t="shared" si="11"/>
        <v>CA</v>
      </c>
      <c r="D47" s="423"/>
      <c r="E47" s="424"/>
      <c r="F47" s="425"/>
      <c r="G47" s="426"/>
      <c r="H47" s="427"/>
      <c r="I47" s="215"/>
      <c r="J47" s="192"/>
      <c r="K47" s="193">
        <v>2</v>
      </c>
      <c r="L47" s="194" t="s">
        <v>267</v>
      </c>
      <c r="M47" s="321">
        <f t="shared" si="9"/>
        <v>1278</v>
      </c>
      <c r="N47" s="233"/>
      <c r="O47" s="195"/>
      <c r="P47" s="197"/>
      <c r="Q47" s="317"/>
      <c r="R47" s="195"/>
      <c r="S47" s="197" t="s">
        <v>264</v>
      </c>
      <c r="T47" s="322">
        <f t="shared" si="3"/>
        <v>-1278</v>
      </c>
      <c r="U47" s="199"/>
      <c r="V47" s="200"/>
      <c r="W47" s="195"/>
      <c r="X47" s="195"/>
      <c r="Y47" s="437" t="s">
        <v>64</v>
      </c>
      <c r="Z47" s="201"/>
      <c r="AA47" s="202"/>
      <c r="AB47" s="439"/>
      <c r="AC47" s="234"/>
      <c r="AD47" s="230"/>
      <c r="AE47" s="230"/>
      <c r="AF47" s="230"/>
    </row>
    <row r="48" spans="1:32" s="206" customFormat="1" ht="69.95" customHeight="1" x14ac:dyDescent="0.15">
      <c r="A48" s="432"/>
      <c r="B48" s="204">
        <f>$I$6</f>
        <v>691</v>
      </c>
      <c r="C48" s="422" t="str">
        <f>$A$6</f>
        <v>MG</v>
      </c>
      <c r="D48" s="423"/>
      <c r="E48" s="424"/>
      <c r="F48" s="425"/>
      <c r="G48" s="426"/>
      <c r="H48" s="427"/>
      <c r="I48" s="215"/>
      <c r="J48" s="192"/>
      <c r="K48" s="193">
        <v>2</v>
      </c>
      <c r="L48" s="194" t="s">
        <v>267</v>
      </c>
      <c r="M48" s="321">
        <f t="shared" si="9"/>
        <v>1382</v>
      </c>
      <c r="N48" s="233"/>
      <c r="O48" s="195"/>
      <c r="P48" s="197"/>
      <c r="Q48" s="317"/>
      <c r="R48" s="195"/>
      <c r="S48" s="197" t="s">
        <v>264</v>
      </c>
      <c r="T48" s="322">
        <f t="shared" si="3"/>
        <v>-1382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206" customFormat="1" ht="69.95" customHeight="1" x14ac:dyDescent="0.15">
      <c r="A49" s="431" t="s">
        <v>90</v>
      </c>
      <c r="B49" s="182">
        <f t="shared" si="10"/>
        <v>639</v>
      </c>
      <c r="C49" s="368" t="str">
        <f t="shared" si="11"/>
        <v>CA</v>
      </c>
      <c r="D49" s="369"/>
      <c r="E49" s="370"/>
      <c r="F49" s="428"/>
      <c r="G49" s="429"/>
      <c r="H49" s="430"/>
      <c r="I49" s="75" t="s">
        <v>121</v>
      </c>
      <c r="J49" s="76"/>
      <c r="K49" s="139">
        <v>1</v>
      </c>
      <c r="L49" s="77" t="s">
        <v>63</v>
      </c>
      <c r="M49" s="78">
        <f t="shared" si="9"/>
        <v>639</v>
      </c>
      <c r="N49" s="79"/>
      <c r="O49" s="78"/>
      <c r="P49" s="80" t="s">
        <v>63</v>
      </c>
      <c r="Q49" s="443">
        <v>46127</v>
      </c>
      <c r="R49" s="78">
        <v>639</v>
      </c>
      <c r="S49" s="80" t="s">
        <v>63</v>
      </c>
      <c r="T49" s="84">
        <f t="shared" si="3"/>
        <v>0</v>
      </c>
      <c r="U49" s="82"/>
      <c r="V49" s="82"/>
      <c r="W49" s="83"/>
      <c r="X49" s="81"/>
      <c r="Y49" s="445" t="s">
        <v>64</v>
      </c>
      <c r="Z49" s="86"/>
      <c r="AA49" s="85"/>
      <c r="AB49" s="360" t="s">
        <v>324</v>
      </c>
    </row>
    <row r="50" spans="1:32" s="206" customFormat="1" ht="69.95" customHeight="1" x14ac:dyDescent="0.15">
      <c r="A50" s="432"/>
      <c r="B50" s="186">
        <f>$I$6</f>
        <v>691</v>
      </c>
      <c r="C50" s="368" t="str">
        <f>$A$6</f>
        <v>MG</v>
      </c>
      <c r="D50" s="369"/>
      <c r="E50" s="370"/>
      <c r="F50" s="428"/>
      <c r="G50" s="429"/>
      <c r="H50" s="430"/>
      <c r="I50" s="75" t="s">
        <v>121</v>
      </c>
      <c r="J50" s="76"/>
      <c r="K50" s="139">
        <v>1</v>
      </c>
      <c r="L50" s="77" t="s">
        <v>63</v>
      </c>
      <c r="M50" s="78">
        <f t="shared" si="9"/>
        <v>691</v>
      </c>
      <c r="N50" s="140"/>
      <c r="O50" s="78"/>
      <c r="P50" s="80" t="s">
        <v>63</v>
      </c>
      <c r="Q50" s="444"/>
      <c r="R50" s="78">
        <v>691</v>
      </c>
      <c r="S50" s="80" t="s">
        <v>63</v>
      </c>
      <c r="T50" s="81">
        <f t="shared" si="3"/>
        <v>0</v>
      </c>
      <c r="U50" s="82"/>
      <c r="V50" s="137"/>
      <c r="W50" s="78"/>
      <c r="X50" s="78"/>
      <c r="Y50" s="446"/>
      <c r="Z50" s="141"/>
      <c r="AA50" s="135"/>
      <c r="AB50" s="362"/>
      <c r="AC50" s="234"/>
      <c r="AD50" s="230"/>
      <c r="AE50" s="230"/>
      <c r="AF50" s="230"/>
    </row>
    <row r="51" spans="1:32" s="55" customFormat="1" ht="69.95" customHeight="1" x14ac:dyDescent="0.15">
      <c r="A51" s="431" t="s">
        <v>91</v>
      </c>
      <c r="B51" s="191">
        <f t="shared" si="10"/>
        <v>639</v>
      </c>
      <c r="C51" s="422" t="str">
        <f t="shared" si="11"/>
        <v>CA</v>
      </c>
      <c r="D51" s="423"/>
      <c r="E51" s="424"/>
      <c r="F51" s="425"/>
      <c r="G51" s="426"/>
      <c r="H51" s="427"/>
      <c r="I51" s="207" t="s">
        <v>75</v>
      </c>
      <c r="J51" s="192"/>
      <c r="K51" s="193"/>
      <c r="L51" s="194" t="s">
        <v>63</v>
      </c>
      <c r="M51" s="195">
        <f t="shared" si="9"/>
        <v>0</v>
      </c>
      <c r="N51" s="196"/>
      <c r="O51" s="195"/>
      <c r="P51" s="197" t="s">
        <v>63</v>
      </c>
      <c r="Q51" s="435"/>
      <c r="R51" s="195"/>
      <c r="S51" s="197" t="s">
        <v>63</v>
      </c>
      <c r="T51" s="205">
        <f t="shared" si="3"/>
        <v>0</v>
      </c>
      <c r="U51" s="199"/>
      <c r="V51" s="199"/>
      <c r="W51" s="208"/>
      <c r="X51" s="198"/>
      <c r="Y51" s="437" t="s">
        <v>64</v>
      </c>
      <c r="Z51" s="231"/>
      <c r="AA51" s="232"/>
      <c r="AB51" s="439"/>
    </row>
    <row r="52" spans="1:32" s="55" customFormat="1" ht="69.95" customHeight="1" x14ac:dyDescent="0.15">
      <c r="A52" s="432"/>
      <c r="B52" s="204">
        <f>$I$6</f>
        <v>691</v>
      </c>
      <c r="C52" s="422" t="str">
        <f>$A$6</f>
        <v>MG</v>
      </c>
      <c r="D52" s="423"/>
      <c r="E52" s="424"/>
      <c r="F52" s="425"/>
      <c r="G52" s="426"/>
      <c r="H52" s="427"/>
      <c r="I52" s="207" t="s">
        <v>75</v>
      </c>
      <c r="J52" s="192"/>
      <c r="K52" s="193"/>
      <c r="L52" s="194" t="s">
        <v>63</v>
      </c>
      <c r="M52" s="195">
        <f t="shared" si="9"/>
        <v>0</v>
      </c>
      <c r="N52" s="233"/>
      <c r="O52" s="195"/>
      <c r="P52" s="197" t="s">
        <v>63</v>
      </c>
      <c r="Q52" s="436"/>
      <c r="R52" s="195"/>
      <c r="S52" s="197" t="s">
        <v>63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  <c r="AC52" s="142"/>
      <c r="AD52" s="179"/>
      <c r="AE52" s="179"/>
      <c r="AF52" s="179"/>
    </row>
    <row r="53" spans="1:32" s="55" customFormat="1" ht="69.95" customHeight="1" x14ac:dyDescent="0.15">
      <c r="A53" s="431" t="s">
        <v>255</v>
      </c>
      <c r="B53" s="191">
        <f t="shared" si="10"/>
        <v>639</v>
      </c>
      <c r="C53" s="422" t="str">
        <f t="shared" si="11"/>
        <v>CA</v>
      </c>
      <c r="D53" s="423"/>
      <c r="E53" s="424"/>
      <c r="F53" s="425"/>
      <c r="G53" s="426"/>
      <c r="H53" s="427"/>
      <c r="I53" s="207" t="s">
        <v>79</v>
      </c>
      <c r="J53" s="192"/>
      <c r="K53" s="193">
        <v>4</v>
      </c>
      <c r="L53" s="194" t="s">
        <v>65</v>
      </c>
      <c r="M53" s="195">
        <f t="shared" si="9"/>
        <v>2556</v>
      </c>
      <c r="N53" s="196"/>
      <c r="O53" s="195"/>
      <c r="P53" s="197" t="s">
        <v>63</v>
      </c>
      <c r="Q53" s="435"/>
      <c r="R53" s="195"/>
      <c r="S53" s="197" t="s">
        <v>63</v>
      </c>
      <c r="T53" s="205">
        <f t="shared" si="3"/>
        <v>-2556</v>
      </c>
      <c r="U53" s="199"/>
      <c r="V53" s="199"/>
      <c r="W53" s="208"/>
      <c r="X53" s="198"/>
      <c r="Y53" s="437" t="s">
        <v>64</v>
      </c>
      <c r="Z53" s="231"/>
      <c r="AA53" s="232"/>
      <c r="AB53" s="439"/>
    </row>
    <row r="54" spans="1:32" s="55" customFormat="1" ht="69.95" customHeight="1" x14ac:dyDescent="0.15">
      <c r="A54" s="432"/>
      <c r="B54" s="204">
        <f>$I$6</f>
        <v>691</v>
      </c>
      <c r="C54" s="422" t="str">
        <f>$A$6</f>
        <v>MG</v>
      </c>
      <c r="D54" s="423"/>
      <c r="E54" s="424"/>
      <c r="F54" s="425"/>
      <c r="G54" s="426"/>
      <c r="H54" s="427"/>
      <c r="I54" s="207" t="s">
        <v>79</v>
      </c>
      <c r="J54" s="192"/>
      <c r="K54" s="193">
        <v>4</v>
      </c>
      <c r="L54" s="194" t="s">
        <v>65</v>
      </c>
      <c r="M54" s="195">
        <f t="shared" si="9"/>
        <v>2764</v>
      </c>
      <c r="N54" s="233"/>
      <c r="O54" s="195"/>
      <c r="P54" s="197" t="s">
        <v>63</v>
      </c>
      <c r="Q54" s="436"/>
      <c r="R54" s="195"/>
      <c r="S54" s="197" t="s">
        <v>63</v>
      </c>
      <c r="T54" s="198">
        <f t="shared" si="3"/>
        <v>-2764</v>
      </c>
      <c r="U54" s="199"/>
      <c r="V54" s="200"/>
      <c r="W54" s="195"/>
      <c r="X54" s="195"/>
      <c r="Y54" s="438"/>
      <c r="Z54" s="201"/>
      <c r="AA54" s="202"/>
      <c r="AB54" s="440"/>
      <c r="AC54" s="142"/>
      <c r="AD54" s="179"/>
      <c r="AE54" s="179"/>
      <c r="AF54" s="179"/>
    </row>
    <row r="55" spans="1:32" s="55" customFormat="1" ht="69.95" customHeight="1" x14ac:dyDescent="0.15">
      <c r="A55" s="431" t="s">
        <v>103</v>
      </c>
      <c r="B55" s="191">
        <f t="shared" ref="B55" si="13">$I$5</f>
        <v>639</v>
      </c>
      <c r="C55" s="422" t="str">
        <f t="shared" ref="C55" si="14">$A$5</f>
        <v>CA</v>
      </c>
      <c r="D55" s="423"/>
      <c r="E55" s="424"/>
      <c r="F55" s="425"/>
      <c r="G55" s="426"/>
      <c r="H55" s="427"/>
      <c r="I55" s="207"/>
      <c r="J55" s="192"/>
      <c r="K55" s="193"/>
      <c r="L55" s="194" t="s">
        <v>65</v>
      </c>
      <c r="M55" s="195">
        <f t="shared" si="9"/>
        <v>0</v>
      </c>
      <c r="N55" s="196"/>
      <c r="O55" s="195"/>
      <c r="P55" s="197" t="s">
        <v>65</v>
      </c>
      <c r="Q55" s="435"/>
      <c r="R55" s="195"/>
      <c r="S55" s="197" t="s">
        <v>65</v>
      </c>
      <c r="T55" s="205">
        <f t="shared" si="3"/>
        <v>0</v>
      </c>
      <c r="U55" s="199"/>
      <c r="V55" s="199"/>
      <c r="W55" s="208"/>
      <c r="X55" s="198"/>
      <c r="Y55" s="437" t="s">
        <v>94</v>
      </c>
      <c r="Z55" s="231"/>
      <c r="AA55" s="232"/>
      <c r="AB55" s="439"/>
    </row>
    <row r="56" spans="1:32" s="55" customFormat="1" ht="69.95" customHeight="1" x14ac:dyDescent="0.15">
      <c r="A56" s="432"/>
      <c r="B56" s="204">
        <f>$I$6</f>
        <v>691</v>
      </c>
      <c r="C56" s="422" t="str">
        <f>$A$6</f>
        <v>MG</v>
      </c>
      <c r="D56" s="423"/>
      <c r="E56" s="424"/>
      <c r="F56" s="425"/>
      <c r="G56" s="426"/>
      <c r="H56" s="427"/>
      <c r="I56" s="207"/>
      <c r="J56" s="192"/>
      <c r="K56" s="193"/>
      <c r="L56" s="194" t="s">
        <v>65</v>
      </c>
      <c r="M56" s="195">
        <f t="shared" si="9"/>
        <v>0</v>
      </c>
      <c r="N56" s="233"/>
      <c r="O56" s="195"/>
      <c r="P56" s="197" t="s">
        <v>65</v>
      </c>
      <c r="Q56" s="436"/>
      <c r="R56" s="195"/>
      <c r="S56" s="197" t="s">
        <v>65</v>
      </c>
      <c r="T56" s="198">
        <f t="shared" si="3"/>
        <v>0</v>
      </c>
      <c r="U56" s="199"/>
      <c r="V56" s="200"/>
      <c r="W56" s="195"/>
      <c r="X56" s="195"/>
      <c r="Y56" s="438"/>
      <c r="Z56" s="201"/>
      <c r="AA56" s="202"/>
      <c r="AB56" s="440"/>
      <c r="AC56" s="142"/>
      <c r="AD56" s="179"/>
      <c r="AE56" s="179"/>
      <c r="AF56" s="179"/>
    </row>
    <row r="57" spans="1:32" s="55" customFormat="1" ht="69.95" customHeight="1" x14ac:dyDescent="0.15">
      <c r="A57" s="431" t="s">
        <v>256</v>
      </c>
      <c r="B57" s="191">
        <f t="shared" ref="B57:B61" si="15">$I$5</f>
        <v>639</v>
      </c>
      <c r="C57" s="422" t="str">
        <f t="shared" ref="C57:C59" si="16">$A$5</f>
        <v>CA</v>
      </c>
      <c r="D57" s="423"/>
      <c r="E57" s="424"/>
      <c r="F57" s="425"/>
      <c r="G57" s="426"/>
      <c r="H57" s="427"/>
      <c r="I57" s="433" t="s">
        <v>102</v>
      </c>
      <c r="J57" s="192"/>
      <c r="K57" s="209">
        <v>0.96</v>
      </c>
      <c r="L57" s="194" t="s">
        <v>129</v>
      </c>
      <c r="M57" s="195">
        <f t="shared" si="4"/>
        <v>613.43999999999994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si="3"/>
        <v>-613.43999999999994</v>
      </c>
      <c r="U57" s="199"/>
      <c r="V57" s="199"/>
      <c r="W57" s="208"/>
      <c r="X57" s="198"/>
      <c r="Y57" s="437" t="s">
        <v>130</v>
      </c>
      <c r="Z57" s="231"/>
      <c r="AA57" s="232"/>
      <c r="AB57" s="439"/>
    </row>
    <row r="58" spans="1:32" s="55" customFormat="1" ht="69.95" customHeight="1" x14ac:dyDescent="0.15">
      <c r="A58" s="432"/>
      <c r="B58" s="204">
        <f>$I$6</f>
        <v>691</v>
      </c>
      <c r="C58" s="422" t="str">
        <f>$A$6</f>
        <v>MG</v>
      </c>
      <c r="D58" s="423"/>
      <c r="E58" s="424"/>
      <c r="F58" s="425"/>
      <c r="G58" s="426"/>
      <c r="H58" s="427"/>
      <c r="I58" s="434"/>
      <c r="J58" s="192"/>
      <c r="K58" s="209">
        <v>0.96</v>
      </c>
      <c r="L58" s="194" t="s">
        <v>129</v>
      </c>
      <c r="M58" s="195">
        <f t="shared" si="4"/>
        <v>663.36</v>
      </c>
      <c r="N58" s="233"/>
      <c r="O58" s="195"/>
      <c r="P58" s="197" t="s">
        <v>63</v>
      </c>
      <c r="Q58" s="436"/>
      <c r="R58" s="195"/>
      <c r="S58" s="197" t="s">
        <v>63</v>
      </c>
      <c r="T58" s="198">
        <f t="shared" si="3"/>
        <v>-663.36</v>
      </c>
      <c r="U58" s="199"/>
      <c r="V58" s="200"/>
      <c r="W58" s="195"/>
      <c r="X58" s="195"/>
      <c r="Y58" s="438"/>
      <c r="Z58" s="201"/>
      <c r="AA58" s="202"/>
      <c r="AB58" s="440"/>
      <c r="AC58" s="142"/>
      <c r="AD58" s="179"/>
      <c r="AE58" s="179"/>
      <c r="AF58" s="179"/>
    </row>
    <row r="59" spans="1:32" s="206" customFormat="1" ht="69.95" customHeight="1" x14ac:dyDescent="0.15">
      <c r="A59" s="431" t="s">
        <v>120</v>
      </c>
      <c r="B59" s="191">
        <f t="shared" si="15"/>
        <v>639</v>
      </c>
      <c r="C59" s="422" t="str">
        <f t="shared" si="16"/>
        <v>CA</v>
      </c>
      <c r="D59" s="423"/>
      <c r="E59" s="424"/>
      <c r="F59" s="425"/>
      <c r="G59" s="426"/>
      <c r="H59" s="427"/>
      <c r="I59" s="433" t="s">
        <v>75</v>
      </c>
      <c r="J59" s="192"/>
      <c r="K59" s="193">
        <v>2</v>
      </c>
      <c r="L59" s="194" t="s">
        <v>63</v>
      </c>
      <c r="M59" s="195">
        <f t="shared" si="4"/>
        <v>1278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-1278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206" customFormat="1" ht="69.95" customHeight="1" x14ac:dyDescent="0.15">
      <c r="A60" s="432"/>
      <c r="B60" s="204">
        <f>$I$6</f>
        <v>691</v>
      </c>
      <c r="C60" s="422" t="str">
        <f>$A$6</f>
        <v>MG</v>
      </c>
      <c r="D60" s="423"/>
      <c r="E60" s="424"/>
      <c r="F60" s="425"/>
      <c r="G60" s="426"/>
      <c r="H60" s="427"/>
      <c r="I60" s="434"/>
      <c r="J60" s="192"/>
      <c r="K60" s="193">
        <v>2</v>
      </c>
      <c r="L60" s="194" t="s">
        <v>63</v>
      </c>
      <c r="M60" s="195">
        <f t="shared" si="4"/>
        <v>1382</v>
      </c>
      <c r="N60" s="233"/>
      <c r="O60" s="195"/>
      <c r="P60" s="197" t="s">
        <v>63</v>
      </c>
      <c r="Q60" s="436"/>
      <c r="R60" s="195"/>
      <c r="S60" s="197" t="s">
        <v>63</v>
      </c>
      <c r="T60" s="198">
        <f t="shared" si="3"/>
        <v>-1382</v>
      </c>
      <c r="U60" s="199"/>
      <c r="V60" s="200"/>
      <c r="W60" s="195"/>
      <c r="X60" s="195"/>
      <c r="Y60" s="438"/>
      <c r="Z60" s="201"/>
      <c r="AA60" s="202"/>
      <c r="AB60" s="440"/>
      <c r="AC60" s="234"/>
      <c r="AD60" s="230"/>
      <c r="AE60" s="230"/>
      <c r="AF60" s="230"/>
    </row>
    <row r="61" spans="1:32" s="206" customFormat="1" ht="69.95" customHeight="1" x14ac:dyDescent="0.15">
      <c r="A61" s="431" t="s">
        <v>266</v>
      </c>
      <c r="B61" s="191">
        <f t="shared" si="15"/>
        <v>639</v>
      </c>
      <c r="C61" s="422"/>
      <c r="D61" s="423"/>
      <c r="E61" s="424"/>
      <c r="F61" s="425"/>
      <c r="G61" s="426"/>
      <c r="H61" s="427"/>
      <c r="I61" s="215"/>
      <c r="J61" s="192"/>
      <c r="K61" s="304">
        <v>1.2</v>
      </c>
      <c r="L61" s="194" t="s">
        <v>264</v>
      </c>
      <c r="M61" s="321">
        <f t="shared" si="4"/>
        <v>766.8</v>
      </c>
      <c r="N61" s="233"/>
      <c r="O61" s="195"/>
      <c r="P61" s="197"/>
      <c r="Q61" s="435"/>
      <c r="R61" s="195"/>
      <c r="S61" s="197" t="s">
        <v>264</v>
      </c>
      <c r="T61" s="322">
        <f t="shared" si="3"/>
        <v>-766.8</v>
      </c>
      <c r="U61" s="199"/>
      <c r="V61" s="200"/>
      <c r="W61" s="195"/>
      <c r="X61" s="195"/>
      <c r="Y61" s="437" t="s">
        <v>140</v>
      </c>
      <c r="Z61" s="201"/>
      <c r="AA61" s="202"/>
      <c r="AB61" s="315"/>
      <c r="AC61" s="234"/>
      <c r="AD61" s="230"/>
      <c r="AE61" s="230"/>
      <c r="AF61" s="230"/>
    </row>
    <row r="62" spans="1:32" s="206" customFormat="1" ht="69.95" customHeight="1" x14ac:dyDescent="0.15">
      <c r="A62" s="432"/>
      <c r="B62" s="204">
        <f>$I$6</f>
        <v>691</v>
      </c>
      <c r="C62" s="422"/>
      <c r="D62" s="423"/>
      <c r="E62" s="424"/>
      <c r="F62" s="425"/>
      <c r="G62" s="426"/>
      <c r="H62" s="427"/>
      <c r="I62" s="215"/>
      <c r="J62" s="192"/>
      <c r="K62" s="304">
        <v>1.2</v>
      </c>
      <c r="L62" s="194" t="s">
        <v>264</v>
      </c>
      <c r="M62" s="321">
        <f t="shared" si="4"/>
        <v>829.19999999999993</v>
      </c>
      <c r="N62" s="233"/>
      <c r="O62" s="195"/>
      <c r="P62" s="197"/>
      <c r="Q62" s="561"/>
      <c r="R62" s="195"/>
      <c r="S62" s="197" t="s">
        <v>264</v>
      </c>
      <c r="T62" s="322">
        <f t="shared" si="3"/>
        <v>-829.19999999999993</v>
      </c>
      <c r="U62" s="199"/>
      <c r="V62" s="200"/>
      <c r="W62" s="195"/>
      <c r="X62" s="195"/>
      <c r="Y62" s="438"/>
      <c r="Z62" s="201"/>
      <c r="AA62" s="202"/>
      <c r="AB62" s="315"/>
      <c r="AC62" s="234"/>
      <c r="AD62" s="230"/>
      <c r="AE62" s="230"/>
      <c r="AF62" s="230"/>
    </row>
    <row r="63" spans="1:32" s="206" customFormat="1" ht="54.95" customHeight="1" x14ac:dyDescent="0.15">
      <c r="A63" s="92" t="s">
        <v>257</v>
      </c>
      <c r="B63" s="87">
        <f>I11</f>
        <v>1330</v>
      </c>
      <c r="C63" s="368" t="s">
        <v>71</v>
      </c>
      <c r="D63" s="369"/>
      <c r="E63" s="370"/>
      <c r="F63" s="368"/>
      <c r="G63" s="369"/>
      <c r="H63" s="370"/>
      <c r="I63" s="93"/>
      <c r="J63" s="90"/>
      <c r="K63" s="156">
        <v>1</v>
      </c>
      <c r="L63" s="77" t="s">
        <v>63</v>
      </c>
      <c r="M63" s="88">
        <f t="shared" si="4"/>
        <v>1330</v>
      </c>
      <c r="N63" s="91"/>
      <c r="O63" s="91"/>
      <c r="P63" s="88" t="s">
        <v>63</v>
      </c>
      <c r="Q63" s="316">
        <v>46064</v>
      </c>
      <c r="R63" s="93">
        <v>1330</v>
      </c>
      <c r="S63" s="88" t="s">
        <v>63</v>
      </c>
      <c r="T63" s="154">
        <f t="shared" si="3"/>
        <v>0</v>
      </c>
      <c r="U63" s="91"/>
      <c r="V63" s="159"/>
      <c r="W63" s="159"/>
      <c r="X63" s="159"/>
      <c r="Y63" s="160" t="s">
        <v>72</v>
      </c>
      <c r="Z63" s="94"/>
      <c r="AA63" s="95"/>
      <c r="AB63" s="319" t="s">
        <v>275</v>
      </c>
    </row>
    <row r="64" spans="1:32" s="55" customFormat="1" ht="54.95" customHeight="1" x14ac:dyDescent="0.15">
      <c r="A64" s="386" t="s">
        <v>66</v>
      </c>
      <c r="B64" s="87">
        <f>C11</f>
        <v>830</v>
      </c>
      <c r="C64" s="389" t="e">
        <f>#REF!</f>
        <v>#REF!</v>
      </c>
      <c r="D64" s="390"/>
      <c r="E64" s="391"/>
      <c r="F64" s="368"/>
      <c r="G64" s="369"/>
      <c r="H64" s="370"/>
      <c r="I64" s="152"/>
      <c r="J64" s="75"/>
      <c r="K64" s="139">
        <v>1</v>
      </c>
      <c r="L64" s="77" t="s">
        <v>63</v>
      </c>
      <c r="M64" s="88">
        <f t="shared" si="4"/>
        <v>830</v>
      </c>
      <c r="N64" s="89"/>
      <c r="O64" s="153"/>
      <c r="P64" s="88" t="s">
        <v>63</v>
      </c>
      <c r="Q64" s="443">
        <v>46064</v>
      </c>
      <c r="R64" s="153">
        <v>830</v>
      </c>
      <c r="S64" s="88" t="s">
        <v>63</v>
      </c>
      <c r="T64" s="154">
        <f t="shared" si="3"/>
        <v>0</v>
      </c>
      <c r="U64" s="129"/>
      <c r="V64" s="155"/>
      <c r="W64" s="154"/>
      <c r="X64" s="154"/>
      <c r="Y64" s="401" t="s">
        <v>72</v>
      </c>
      <c r="Z64" s="401"/>
      <c r="AA64" s="401"/>
      <c r="AB64" s="579" t="s">
        <v>275</v>
      </c>
    </row>
    <row r="65" spans="1:28" s="55" customFormat="1" ht="54.95" customHeight="1" x14ac:dyDescent="0.15">
      <c r="A65" s="387"/>
      <c r="B65" s="87">
        <f>D11</f>
        <v>500</v>
      </c>
      <c r="C65" s="392"/>
      <c r="D65" s="393"/>
      <c r="E65" s="394"/>
      <c r="F65" s="368"/>
      <c r="G65" s="369"/>
      <c r="H65" s="370"/>
      <c r="I65" s="152"/>
      <c r="J65" s="75"/>
      <c r="K65" s="156">
        <v>1</v>
      </c>
      <c r="L65" s="77" t="s">
        <v>63</v>
      </c>
      <c r="M65" s="88">
        <f t="shared" si="4"/>
        <v>500</v>
      </c>
      <c r="N65" s="89"/>
      <c r="O65" s="153"/>
      <c r="P65" s="88" t="s">
        <v>63</v>
      </c>
      <c r="Q65" s="447"/>
      <c r="R65" s="153">
        <v>500</v>
      </c>
      <c r="S65" s="88" t="s">
        <v>63</v>
      </c>
      <c r="T65" s="154">
        <f t="shared" si="3"/>
        <v>0</v>
      </c>
      <c r="U65" s="129"/>
      <c r="V65" s="155"/>
      <c r="W65" s="154"/>
      <c r="X65" s="154"/>
      <c r="Y65" s="402"/>
      <c r="Z65" s="402"/>
      <c r="AA65" s="402"/>
      <c r="AB65" s="580"/>
    </row>
    <row r="66" spans="1:28" s="55" customFormat="1" ht="54.95" customHeight="1" x14ac:dyDescent="0.15">
      <c r="A66" s="387"/>
      <c r="B66" s="87">
        <f>E11</f>
        <v>0</v>
      </c>
      <c r="C66" s="392"/>
      <c r="D66" s="393"/>
      <c r="E66" s="394"/>
      <c r="F66" s="368"/>
      <c r="G66" s="369"/>
      <c r="H66" s="370"/>
      <c r="I66" s="152"/>
      <c r="J66" s="75"/>
      <c r="K66" s="156">
        <v>1</v>
      </c>
      <c r="L66" s="77" t="s">
        <v>63</v>
      </c>
      <c r="M66" s="88">
        <f t="shared" si="4"/>
        <v>0</v>
      </c>
      <c r="N66" s="89"/>
      <c r="O66" s="153"/>
      <c r="P66" s="88" t="s">
        <v>63</v>
      </c>
      <c r="Q66" s="447"/>
      <c r="R66" s="153"/>
      <c r="S66" s="88" t="s">
        <v>63</v>
      </c>
      <c r="T66" s="154">
        <f t="shared" si="3"/>
        <v>0</v>
      </c>
      <c r="U66" s="129"/>
      <c r="V66" s="155"/>
      <c r="W66" s="154"/>
      <c r="X66" s="154"/>
      <c r="Y66" s="402"/>
      <c r="Z66" s="402"/>
      <c r="AA66" s="402"/>
      <c r="AB66" s="580"/>
    </row>
    <row r="67" spans="1:28" s="55" customFormat="1" ht="54.95" customHeight="1" x14ac:dyDescent="0.15">
      <c r="A67" s="387"/>
      <c r="B67" s="87">
        <f>F11</f>
        <v>0</v>
      </c>
      <c r="C67" s="392"/>
      <c r="D67" s="393"/>
      <c r="E67" s="394"/>
      <c r="F67" s="368"/>
      <c r="G67" s="369"/>
      <c r="H67" s="370"/>
      <c r="I67" s="152"/>
      <c r="J67" s="75"/>
      <c r="K67" s="156">
        <v>1</v>
      </c>
      <c r="L67" s="77" t="s">
        <v>63</v>
      </c>
      <c r="M67" s="88">
        <f t="shared" si="4"/>
        <v>0</v>
      </c>
      <c r="N67" s="89"/>
      <c r="O67" s="153"/>
      <c r="P67" s="88" t="s">
        <v>63</v>
      </c>
      <c r="Q67" s="447"/>
      <c r="R67" s="153"/>
      <c r="S67" s="88" t="s">
        <v>63</v>
      </c>
      <c r="T67" s="154">
        <f t="shared" si="3"/>
        <v>0</v>
      </c>
      <c r="U67" s="129"/>
      <c r="V67" s="155"/>
      <c r="W67" s="154"/>
      <c r="X67" s="154"/>
      <c r="Y67" s="402"/>
      <c r="Z67" s="402"/>
      <c r="AA67" s="402"/>
      <c r="AB67" s="580"/>
    </row>
    <row r="68" spans="1:28" s="55" customFormat="1" ht="54.95" customHeight="1" x14ac:dyDescent="0.15">
      <c r="A68" s="388"/>
      <c r="B68" s="87">
        <f>G11</f>
        <v>0</v>
      </c>
      <c r="C68" s="395"/>
      <c r="D68" s="396"/>
      <c r="E68" s="397"/>
      <c r="F68" s="368"/>
      <c r="G68" s="369"/>
      <c r="H68" s="370"/>
      <c r="I68" s="152"/>
      <c r="J68" s="75"/>
      <c r="K68" s="156">
        <v>1</v>
      </c>
      <c r="L68" s="77" t="s">
        <v>63</v>
      </c>
      <c r="M68" s="88">
        <f t="shared" si="4"/>
        <v>0</v>
      </c>
      <c r="N68" s="89"/>
      <c r="O68" s="153"/>
      <c r="P68" s="88" t="s">
        <v>63</v>
      </c>
      <c r="Q68" s="444"/>
      <c r="R68" s="153"/>
      <c r="S68" s="88" t="s">
        <v>63</v>
      </c>
      <c r="T68" s="154">
        <f t="shared" si="3"/>
        <v>0</v>
      </c>
      <c r="U68" s="129"/>
      <c r="V68" s="155"/>
      <c r="W68" s="154"/>
      <c r="X68" s="154"/>
      <c r="Y68" s="403"/>
      <c r="Z68" s="403"/>
      <c r="AA68" s="403"/>
      <c r="AB68" s="581"/>
    </row>
    <row r="69" spans="1:28" s="55" customFormat="1" ht="54.95" customHeight="1" x14ac:dyDescent="0.15">
      <c r="A69" s="386" t="s">
        <v>68</v>
      </c>
      <c r="B69" s="87">
        <f>C5</f>
        <v>400</v>
      </c>
      <c r="C69" s="461" t="str">
        <f>A5</f>
        <v>CA</v>
      </c>
      <c r="D69" s="461"/>
      <c r="E69" s="461"/>
      <c r="F69" s="368"/>
      <c r="G69" s="369"/>
      <c r="H69" s="370"/>
      <c r="I69" s="152"/>
      <c r="J69" s="152"/>
      <c r="K69" s="156">
        <v>1</v>
      </c>
      <c r="L69" s="77" t="s">
        <v>63</v>
      </c>
      <c r="M69" s="88">
        <f t="shared" si="4"/>
        <v>400</v>
      </c>
      <c r="N69" s="89"/>
      <c r="O69" s="153"/>
      <c r="P69" s="88" t="s">
        <v>63</v>
      </c>
      <c r="Q69" s="443">
        <v>46064</v>
      </c>
      <c r="R69" s="153">
        <v>400</v>
      </c>
      <c r="S69" s="88" t="s">
        <v>63</v>
      </c>
      <c r="T69" s="154">
        <f t="shared" si="3"/>
        <v>0</v>
      </c>
      <c r="U69" s="157"/>
      <c r="V69" s="158"/>
      <c r="W69" s="154"/>
      <c r="X69" s="154"/>
      <c r="Y69" s="582" t="s">
        <v>72</v>
      </c>
      <c r="Z69" s="582"/>
      <c r="AA69" s="582"/>
      <c r="AB69" s="404" t="s">
        <v>275</v>
      </c>
    </row>
    <row r="70" spans="1:28" s="55" customFormat="1" ht="54.95" customHeight="1" x14ac:dyDescent="0.15">
      <c r="A70" s="387"/>
      <c r="B70" s="87">
        <f>D5</f>
        <v>239</v>
      </c>
      <c r="C70" s="461"/>
      <c r="D70" s="461"/>
      <c r="E70" s="461"/>
      <c r="F70" s="368"/>
      <c r="G70" s="369"/>
      <c r="H70" s="370"/>
      <c r="I70" s="152"/>
      <c r="J70" s="152"/>
      <c r="K70" s="156">
        <v>1</v>
      </c>
      <c r="L70" s="77" t="s">
        <v>63</v>
      </c>
      <c r="M70" s="88">
        <f t="shared" si="4"/>
        <v>239</v>
      </c>
      <c r="N70" s="89"/>
      <c r="O70" s="153"/>
      <c r="P70" s="88" t="s">
        <v>63</v>
      </c>
      <c r="Q70" s="447"/>
      <c r="R70" s="153">
        <v>239</v>
      </c>
      <c r="S70" s="88" t="s">
        <v>63</v>
      </c>
      <c r="T70" s="154">
        <f t="shared" si="3"/>
        <v>0</v>
      </c>
      <c r="U70" s="157"/>
      <c r="V70" s="158"/>
      <c r="W70" s="154"/>
      <c r="X70" s="154"/>
      <c r="Y70" s="582"/>
      <c r="Z70" s="582"/>
      <c r="AA70" s="582"/>
      <c r="AB70" s="405"/>
    </row>
    <row r="71" spans="1:28" s="55" customFormat="1" ht="54.95" customHeight="1" x14ac:dyDescent="0.15">
      <c r="A71" s="387"/>
      <c r="B71" s="87">
        <f>E5</f>
        <v>0</v>
      </c>
      <c r="C71" s="461"/>
      <c r="D71" s="461"/>
      <c r="E71" s="461"/>
      <c r="F71" s="368"/>
      <c r="G71" s="369"/>
      <c r="H71" s="370"/>
      <c r="I71" s="152"/>
      <c r="J71" s="152"/>
      <c r="K71" s="156">
        <v>1</v>
      </c>
      <c r="L71" s="77" t="s">
        <v>63</v>
      </c>
      <c r="M71" s="88">
        <f t="shared" si="4"/>
        <v>0</v>
      </c>
      <c r="N71" s="89"/>
      <c r="O71" s="153"/>
      <c r="P71" s="88" t="s">
        <v>63</v>
      </c>
      <c r="Q71" s="447"/>
      <c r="R71" s="153"/>
      <c r="S71" s="88" t="s">
        <v>63</v>
      </c>
      <c r="T71" s="154">
        <f t="shared" si="3"/>
        <v>0</v>
      </c>
      <c r="U71" s="157"/>
      <c r="V71" s="158"/>
      <c r="W71" s="154"/>
      <c r="X71" s="154"/>
      <c r="Y71" s="582"/>
      <c r="Z71" s="582"/>
      <c r="AA71" s="582"/>
      <c r="AB71" s="405"/>
    </row>
    <row r="72" spans="1:28" s="55" customFormat="1" ht="54.95" customHeight="1" x14ac:dyDescent="0.15">
      <c r="A72" s="387"/>
      <c r="B72" s="87">
        <f>C6</f>
        <v>430</v>
      </c>
      <c r="C72" s="461" t="str">
        <f>A6</f>
        <v>MG</v>
      </c>
      <c r="D72" s="461"/>
      <c r="E72" s="461"/>
      <c r="F72" s="368"/>
      <c r="G72" s="369"/>
      <c r="H72" s="370"/>
      <c r="I72" s="152"/>
      <c r="J72" s="152"/>
      <c r="K72" s="156">
        <v>1</v>
      </c>
      <c r="L72" s="77" t="s">
        <v>63</v>
      </c>
      <c r="M72" s="88">
        <f t="shared" si="4"/>
        <v>430</v>
      </c>
      <c r="N72" s="89"/>
      <c r="O72" s="153"/>
      <c r="P72" s="88" t="s">
        <v>63</v>
      </c>
      <c r="Q72" s="447"/>
      <c r="R72" s="77">
        <v>430</v>
      </c>
      <c r="S72" s="88" t="s">
        <v>63</v>
      </c>
      <c r="T72" s="154">
        <f t="shared" si="3"/>
        <v>0</v>
      </c>
      <c r="U72" s="157"/>
      <c r="V72" s="158"/>
      <c r="W72" s="154"/>
      <c r="X72" s="154"/>
      <c r="Y72" s="582" t="s">
        <v>72</v>
      </c>
      <c r="Z72" s="582"/>
      <c r="AA72" s="582"/>
      <c r="AB72" s="405"/>
    </row>
    <row r="73" spans="1:28" s="55" customFormat="1" ht="54.95" customHeight="1" x14ac:dyDescent="0.15">
      <c r="A73" s="387"/>
      <c r="B73" s="87">
        <f>D6</f>
        <v>261</v>
      </c>
      <c r="C73" s="461"/>
      <c r="D73" s="461"/>
      <c r="E73" s="461"/>
      <c r="F73" s="368"/>
      <c r="G73" s="369"/>
      <c r="H73" s="370"/>
      <c r="I73" s="152"/>
      <c r="J73" s="152"/>
      <c r="K73" s="156">
        <v>1</v>
      </c>
      <c r="L73" s="77" t="s">
        <v>63</v>
      </c>
      <c r="M73" s="88">
        <f t="shared" si="4"/>
        <v>261</v>
      </c>
      <c r="N73" s="89"/>
      <c r="O73" s="153"/>
      <c r="P73" s="88" t="s">
        <v>63</v>
      </c>
      <c r="Q73" s="447"/>
      <c r="R73" s="77">
        <v>261</v>
      </c>
      <c r="S73" s="88" t="s">
        <v>63</v>
      </c>
      <c r="T73" s="154">
        <f t="shared" si="3"/>
        <v>0</v>
      </c>
      <c r="U73" s="157"/>
      <c r="V73" s="158"/>
      <c r="W73" s="154"/>
      <c r="X73" s="154"/>
      <c r="Y73" s="582"/>
      <c r="Z73" s="582"/>
      <c r="AA73" s="582"/>
      <c r="AB73" s="405"/>
    </row>
    <row r="74" spans="1:28" s="55" customFormat="1" ht="54.95" customHeight="1" x14ac:dyDescent="0.15">
      <c r="A74" s="387"/>
      <c r="B74" s="87">
        <f>E6</f>
        <v>0</v>
      </c>
      <c r="C74" s="461"/>
      <c r="D74" s="461"/>
      <c r="E74" s="461"/>
      <c r="F74" s="368"/>
      <c r="G74" s="369"/>
      <c r="H74" s="370"/>
      <c r="I74" s="152"/>
      <c r="J74" s="152"/>
      <c r="K74" s="156">
        <v>1</v>
      </c>
      <c r="L74" s="77" t="s">
        <v>63</v>
      </c>
      <c r="M74" s="88">
        <f t="shared" si="4"/>
        <v>0</v>
      </c>
      <c r="N74" s="89"/>
      <c r="O74" s="153"/>
      <c r="P74" s="88" t="s">
        <v>63</v>
      </c>
      <c r="Q74" s="447"/>
      <c r="R74" s="153"/>
      <c r="S74" s="88" t="s">
        <v>63</v>
      </c>
      <c r="T74" s="154">
        <f>R74-M74</f>
        <v>0</v>
      </c>
      <c r="U74" s="157"/>
      <c r="V74" s="158"/>
      <c r="W74" s="154"/>
      <c r="X74" s="154"/>
      <c r="Y74" s="582"/>
      <c r="Z74" s="582"/>
      <c r="AA74" s="582"/>
      <c r="AB74" s="405"/>
    </row>
    <row r="75" spans="1:28" s="55" customFormat="1" ht="54.95" customHeight="1" x14ac:dyDescent="0.15">
      <c r="A75" s="387"/>
      <c r="B75" s="87">
        <f>C7</f>
        <v>0</v>
      </c>
      <c r="C75" s="392">
        <f>A7</f>
        <v>0</v>
      </c>
      <c r="D75" s="393"/>
      <c r="E75" s="394"/>
      <c r="F75" s="368"/>
      <c r="G75" s="369"/>
      <c r="H75" s="370"/>
      <c r="I75" s="152"/>
      <c r="J75" s="152"/>
      <c r="K75" s="156">
        <v>1</v>
      </c>
      <c r="L75" s="77" t="s">
        <v>63</v>
      </c>
      <c r="M75" s="88">
        <f t="shared" si="4"/>
        <v>0</v>
      </c>
      <c r="N75" s="89"/>
      <c r="O75" s="153"/>
      <c r="P75" s="88" t="s">
        <v>63</v>
      </c>
      <c r="Q75" s="447"/>
      <c r="R75" s="153"/>
      <c r="S75" s="88" t="s">
        <v>63</v>
      </c>
      <c r="T75" s="154">
        <f>R75-M75</f>
        <v>0</v>
      </c>
      <c r="U75" s="157"/>
      <c r="V75" s="158"/>
      <c r="W75" s="154"/>
      <c r="X75" s="154"/>
      <c r="Y75" s="582" t="s">
        <v>72</v>
      </c>
      <c r="Z75" s="582"/>
      <c r="AA75" s="582"/>
      <c r="AB75" s="405"/>
    </row>
    <row r="76" spans="1:28" s="55" customFormat="1" ht="54.95" customHeight="1" x14ac:dyDescent="0.15">
      <c r="A76" s="387"/>
      <c r="B76" s="87">
        <f>D7</f>
        <v>0</v>
      </c>
      <c r="C76" s="392"/>
      <c r="D76" s="393"/>
      <c r="E76" s="394"/>
      <c r="F76" s="368"/>
      <c r="G76" s="369"/>
      <c r="H76" s="370"/>
      <c r="I76" s="152"/>
      <c r="J76" s="152"/>
      <c r="K76" s="156">
        <v>1</v>
      </c>
      <c r="L76" s="77" t="s">
        <v>63</v>
      </c>
      <c r="M76" s="88">
        <f t="shared" si="4"/>
        <v>0</v>
      </c>
      <c r="N76" s="89"/>
      <c r="O76" s="153"/>
      <c r="P76" s="88" t="s">
        <v>63</v>
      </c>
      <c r="Q76" s="447"/>
      <c r="R76" s="153"/>
      <c r="S76" s="88" t="s">
        <v>63</v>
      </c>
      <c r="T76" s="154">
        <f>R76-M76</f>
        <v>0</v>
      </c>
      <c r="U76" s="157"/>
      <c r="V76" s="158"/>
      <c r="W76" s="154"/>
      <c r="X76" s="154"/>
      <c r="Y76" s="582"/>
      <c r="Z76" s="582"/>
      <c r="AA76" s="582"/>
      <c r="AB76" s="405"/>
    </row>
    <row r="77" spans="1:28" s="176" customFormat="1" ht="54.95" customHeight="1" x14ac:dyDescent="0.15">
      <c r="A77" s="387"/>
      <c r="B77" s="87">
        <f>E7</f>
        <v>0</v>
      </c>
      <c r="C77" s="392"/>
      <c r="D77" s="393"/>
      <c r="E77" s="394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0</v>
      </c>
      <c r="N77" s="171"/>
      <c r="O77" s="277"/>
      <c r="P77" s="169" t="s">
        <v>63</v>
      </c>
      <c r="Q77" s="444"/>
      <c r="R77" s="168"/>
      <c r="S77" s="169" t="s">
        <v>63</v>
      </c>
      <c r="T77" s="278">
        <f>R77-M77</f>
        <v>0</v>
      </c>
      <c r="U77" s="281"/>
      <c r="V77" s="282"/>
      <c r="W77" s="278"/>
      <c r="X77" s="278"/>
      <c r="Y77" s="582"/>
      <c r="Z77" s="582"/>
      <c r="AA77" s="582"/>
      <c r="AB77" s="405"/>
    </row>
    <row r="78" spans="1:28" s="176" customFormat="1" ht="54.95" customHeight="1" x14ac:dyDescent="0.15">
      <c r="A78" s="386" t="s">
        <v>69</v>
      </c>
      <c r="B78" s="164">
        <f>C5</f>
        <v>400</v>
      </c>
      <c r="C78" s="461" t="str">
        <f>A5</f>
        <v>CA</v>
      </c>
      <c r="D78" s="461"/>
      <c r="E78" s="461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400</v>
      </c>
      <c r="N78" s="171"/>
      <c r="O78" s="277"/>
      <c r="P78" s="169" t="s">
        <v>63</v>
      </c>
      <c r="Q78" s="376">
        <v>46127</v>
      </c>
      <c r="R78" s="277">
        <v>400</v>
      </c>
      <c r="S78" s="169" t="s">
        <v>63</v>
      </c>
      <c r="T78" s="278">
        <f t="shared" si="3"/>
        <v>0</v>
      </c>
      <c r="U78" s="281"/>
      <c r="V78" s="282"/>
      <c r="W78" s="278"/>
      <c r="X78" s="278"/>
      <c r="Y78" s="597" t="s">
        <v>67</v>
      </c>
      <c r="Z78" s="597"/>
      <c r="AA78" s="597"/>
      <c r="AB78" s="404" t="s">
        <v>324</v>
      </c>
    </row>
    <row r="79" spans="1:28" s="176" customFormat="1" ht="54.95" customHeight="1" x14ac:dyDescent="0.15">
      <c r="A79" s="387"/>
      <c r="B79" s="164">
        <f>D5</f>
        <v>239</v>
      </c>
      <c r="C79" s="461"/>
      <c r="D79" s="461"/>
      <c r="E79" s="461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239</v>
      </c>
      <c r="N79" s="171"/>
      <c r="O79" s="277"/>
      <c r="P79" s="169" t="s">
        <v>63</v>
      </c>
      <c r="Q79" s="377"/>
      <c r="R79" s="277">
        <v>239</v>
      </c>
      <c r="S79" s="169" t="s">
        <v>63</v>
      </c>
      <c r="T79" s="278">
        <f t="shared" si="3"/>
        <v>0</v>
      </c>
      <c r="U79" s="281"/>
      <c r="V79" s="282"/>
      <c r="W79" s="278"/>
      <c r="X79" s="278"/>
      <c r="Y79" s="597"/>
      <c r="Z79" s="597"/>
      <c r="AA79" s="597"/>
      <c r="AB79" s="405"/>
    </row>
    <row r="80" spans="1:28" s="176" customFormat="1" ht="54.95" customHeight="1" x14ac:dyDescent="0.15">
      <c r="A80" s="387"/>
      <c r="B80" s="164">
        <f>E5</f>
        <v>0</v>
      </c>
      <c r="C80" s="461"/>
      <c r="D80" s="461"/>
      <c r="E80" s="461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81"/>
      <c r="V80" s="282"/>
      <c r="W80" s="278"/>
      <c r="X80" s="278"/>
      <c r="Y80" s="597"/>
      <c r="Z80" s="597"/>
      <c r="AA80" s="597"/>
      <c r="AB80" s="405"/>
    </row>
    <row r="81" spans="1:28" s="176" customFormat="1" ht="54.95" customHeight="1" x14ac:dyDescent="0.15">
      <c r="A81" s="387"/>
      <c r="B81" s="164">
        <f>C6</f>
        <v>430</v>
      </c>
      <c r="C81" s="461" t="str">
        <f>A6</f>
        <v>MG</v>
      </c>
      <c r="D81" s="461"/>
      <c r="E81" s="461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430</v>
      </c>
      <c r="N81" s="171"/>
      <c r="O81" s="277"/>
      <c r="P81" s="169" t="s">
        <v>63</v>
      </c>
      <c r="Q81" s="377"/>
      <c r="R81" s="168">
        <v>430</v>
      </c>
      <c r="S81" s="169" t="s">
        <v>63</v>
      </c>
      <c r="T81" s="278">
        <f t="shared" si="3"/>
        <v>0</v>
      </c>
      <c r="U81" s="281"/>
      <c r="V81" s="282"/>
      <c r="W81" s="278"/>
      <c r="X81" s="278"/>
      <c r="Y81" s="597" t="s">
        <v>67</v>
      </c>
      <c r="AA81" s="597"/>
      <c r="AB81" s="405"/>
    </row>
    <row r="82" spans="1:28" s="176" customFormat="1" ht="54.95" customHeight="1" x14ac:dyDescent="0.15">
      <c r="A82" s="387"/>
      <c r="B82" s="164">
        <f>D6</f>
        <v>261</v>
      </c>
      <c r="C82" s="461"/>
      <c r="D82" s="461"/>
      <c r="E82" s="461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261</v>
      </c>
      <c r="N82" s="171"/>
      <c r="O82" s="277"/>
      <c r="P82" s="169" t="s">
        <v>63</v>
      </c>
      <c r="Q82" s="377"/>
      <c r="R82" s="168">
        <v>261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597"/>
      <c r="AA82" s="597"/>
      <c r="AB82" s="405"/>
    </row>
    <row r="83" spans="1:28" s="176" customFormat="1" ht="54.95" customHeight="1" x14ac:dyDescent="0.15">
      <c r="A83" s="387"/>
      <c r="B83" s="164">
        <f>E6</f>
        <v>0</v>
      </c>
      <c r="C83" s="461"/>
      <c r="D83" s="461"/>
      <c r="E83" s="461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7"/>
      <c r="R83" s="277"/>
      <c r="S83" s="169" t="s">
        <v>63</v>
      </c>
      <c r="T83" s="278">
        <f t="shared" si="3"/>
        <v>0</v>
      </c>
      <c r="U83" s="281"/>
      <c r="V83" s="282"/>
      <c r="W83" s="278"/>
      <c r="X83" s="278"/>
      <c r="Y83" s="597"/>
      <c r="AA83" s="597"/>
      <c r="AB83" s="405"/>
    </row>
    <row r="84" spans="1:28" s="176" customFormat="1" ht="54.95" customHeight="1" x14ac:dyDescent="0.15">
      <c r="A84" s="387"/>
      <c r="B84" s="164">
        <f>C7</f>
        <v>0</v>
      </c>
      <c r="C84" s="392">
        <f>A7</f>
        <v>0</v>
      </c>
      <c r="D84" s="393"/>
      <c r="E84" s="394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7"/>
      <c r="R84" s="277"/>
      <c r="S84" s="169" t="s">
        <v>63</v>
      </c>
      <c r="T84" s="278">
        <f t="shared" si="3"/>
        <v>0</v>
      </c>
      <c r="U84" s="281"/>
      <c r="V84" s="282"/>
      <c r="W84" s="278"/>
      <c r="X84" s="278"/>
      <c r="Y84" s="597" t="s">
        <v>67</v>
      </c>
      <c r="Z84" s="597"/>
      <c r="AA84" s="597"/>
      <c r="AB84" s="405"/>
    </row>
    <row r="85" spans="1:28" s="176" customFormat="1" ht="54.95" customHeight="1" x14ac:dyDescent="0.15">
      <c r="A85" s="387"/>
      <c r="B85" s="164">
        <f>D7</f>
        <v>0</v>
      </c>
      <c r="C85" s="392"/>
      <c r="D85" s="393"/>
      <c r="E85" s="394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7"/>
      <c r="R85" s="277"/>
      <c r="S85" s="169" t="s">
        <v>63</v>
      </c>
      <c r="T85" s="278">
        <f t="shared" si="3"/>
        <v>0</v>
      </c>
      <c r="U85" s="281"/>
      <c r="V85" s="282"/>
      <c r="W85" s="278"/>
      <c r="X85" s="278"/>
      <c r="Y85" s="597"/>
      <c r="Z85" s="597"/>
      <c r="AA85" s="597"/>
      <c r="AB85" s="405"/>
    </row>
    <row r="86" spans="1:28" s="176" customFormat="1" ht="54.95" customHeight="1" x14ac:dyDescent="0.15">
      <c r="A86" s="387"/>
      <c r="B86" s="164">
        <f>E7</f>
        <v>0</v>
      </c>
      <c r="C86" s="392"/>
      <c r="D86" s="393"/>
      <c r="E86" s="394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0</v>
      </c>
      <c r="N86" s="171"/>
      <c r="O86" s="277"/>
      <c r="P86" s="169" t="s">
        <v>63</v>
      </c>
      <c r="Q86" s="378"/>
      <c r="R86" s="168"/>
      <c r="S86" s="169" t="s">
        <v>63</v>
      </c>
      <c r="T86" s="278">
        <f t="shared" si="3"/>
        <v>0</v>
      </c>
      <c r="U86" s="281"/>
      <c r="V86" s="282"/>
      <c r="W86" s="278"/>
      <c r="X86" s="278"/>
      <c r="Y86" s="597"/>
      <c r="Z86" s="597"/>
      <c r="AA86" s="597"/>
      <c r="AB86" s="405"/>
    </row>
    <row r="87" spans="1:28" s="55" customFormat="1" ht="54.95" customHeight="1" x14ac:dyDescent="0.15">
      <c r="A87" s="386" t="s">
        <v>70</v>
      </c>
      <c r="B87" s="87">
        <f>C11</f>
        <v>830</v>
      </c>
      <c r="C87" s="389" t="s">
        <v>71</v>
      </c>
      <c r="D87" s="390"/>
      <c r="E87" s="391"/>
      <c r="F87" s="368"/>
      <c r="G87" s="369"/>
      <c r="H87" s="370"/>
      <c r="I87" s="152"/>
      <c r="J87" s="90"/>
      <c r="K87" s="156">
        <v>1</v>
      </c>
      <c r="L87" s="77" t="s">
        <v>63</v>
      </c>
      <c r="M87" s="88">
        <f t="shared" si="4"/>
        <v>830</v>
      </c>
      <c r="N87" s="89"/>
      <c r="O87" s="153"/>
      <c r="P87" s="88" t="s">
        <v>63</v>
      </c>
      <c r="Q87" s="398">
        <v>46064</v>
      </c>
      <c r="R87" s="93">
        <v>830</v>
      </c>
      <c r="S87" s="88" t="s">
        <v>63</v>
      </c>
      <c r="T87" s="154">
        <f t="shared" si="3"/>
        <v>0</v>
      </c>
      <c r="U87" s="91"/>
      <c r="V87" s="159"/>
      <c r="W87" s="159"/>
      <c r="X87" s="159"/>
      <c r="Y87" s="401" t="s">
        <v>258</v>
      </c>
      <c r="Z87" s="416"/>
      <c r="AA87" s="416"/>
      <c r="AB87" s="419" t="s">
        <v>275</v>
      </c>
    </row>
    <row r="88" spans="1:28" s="55" customFormat="1" ht="54.95" customHeight="1" x14ac:dyDescent="0.15">
      <c r="A88" s="387"/>
      <c r="B88" s="87">
        <f>D11</f>
        <v>500</v>
      </c>
      <c r="C88" s="392"/>
      <c r="D88" s="393"/>
      <c r="E88" s="394"/>
      <c r="F88" s="368"/>
      <c r="G88" s="369"/>
      <c r="H88" s="370"/>
      <c r="I88" s="152"/>
      <c r="J88" s="90"/>
      <c r="K88" s="156">
        <v>1</v>
      </c>
      <c r="L88" s="77" t="s">
        <v>63</v>
      </c>
      <c r="M88" s="88">
        <f t="shared" si="4"/>
        <v>500</v>
      </c>
      <c r="N88" s="89"/>
      <c r="O88" s="153"/>
      <c r="P88" s="88" t="s">
        <v>63</v>
      </c>
      <c r="Q88" s="399"/>
      <c r="R88" s="93">
        <v>500</v>
      </c>
      <c r="S88" s="88" t="s">
        <v>63</v>
      </c>
      <c r="T88" s="154">
        <f t="shared" si="3"/>
        <v>0</v>
      </c>
      <c r="U88" s="91"/>
      <c r="V88" s="159"/>
      <c r="W88" s="159"/>
      <c r="X88" s="159"/>
      <c r="Y88" s="402"/>
      <c r="Z88" s="417"/>
      <c r="AA88" s="417"/>
      <c r="AB88" s="420"/>
    </row>
    <row r="89" spans="1:28" s="55" customFormat="1" ht="54.95" customHeight="1" x14ac:dyDescent="0.15">
      <c r="A89" s="387"/>
      <c r="B89" s="87">
        <f>E11</f>
        <v>0</v>
      </c>
      <c r="C89" s="392"/>
      <c r="D89" s="393"/>
      <c r="E89" s="394"/>
      <c r="F89" s="368"/>
      <c r="G89" s="369"/>
      <c r="H89" s="370"/>
      <c r="I89" s="152"/>
      <c r="J89" s="90"/>
      <c r="K89" s="156">
        <v>1</v>
      </c>
      <c r="L89" s="77" t="s">
        <v>63</v>
      </c>
      <c r="M89" s="88">
        <f t="shared" si="4"/>
        <v>0</v>
      </c>
      <c r="N89" s="89"/>
      <c r="O89" s="153"/>
      <c r="P89" s="88" t="s">
        <v>63</v>
      </c>
      <c r="Q89" s="399"/>
      <c r="R89" s="93"/>
      <c r="S89" s="88" t="s">
        <v>63</v>
      </c>
      <c r="T89" s="154">
        <f t="shared" si="3"/>
        <v>0</v>
      </c>
      <c r="U89" s="91"/>
      <c r="V89" s="159"/>
      <c r="W89" s="159"/>
      <c r="X89" s="159"/>
      <c r="Y89" s="402"/>
      <c r="Z89" s="417"/>
      <c r="AA89" s="417"/>
      <c r="AB89" s="420"/>
    </row>
    <row r="90" spans="1:28" s="55" customFormat="1" ht="54.95" customHeight="1" x14ac:dyDescent="0.15">
      <c r="A90" s="388"/>
      <c r="B90" s="87">
        <f>F11</f>
        <v>0</v>
      </c>
      <c r="C90" s="395"/>
      <c r="D90" s="396"/>
      <c r="E90" s="397"/>
      <c r="F90" s="368"/>
      <c r="G90" s="369"/>
      <c r="H90" s="370"/>
      <c r="I90" s="152"/>
      <c r="J90" s="90"/>
      <c r="K90" s="156"/>
      <c r="L90" s="77" t="s">
        <v>63</v>
      </c>
      <c r="M90" s="88">
        <f t="shared" si="4"/>
        <v>0</v>
      </c>
      <c r="N90" s="89"/>
      <c r="O90" s="153"/>
      <c r="P90" s="88" t="s">
        <v>63</v>
      </c>
      <c r="Q90" s="400"/>
      <c r="R90" s="162"/>
      <c r="S90" s="88" t="s">
        <v>63</v>
      </c>
      <c r="T90" s="154">
        <f t="shared" si="3"/>
        <v>0</v>
      </c>
      <c r="U90" s="91"/>
      <c r="V90" s="159"/>
      <c r="W90" s="159"/>
      <c r="X90" s="159"/>
      <c r="Y90" s="403"/>
      <c r="Z90" s="418"/>
      <c r="AA90" s="418"/>
      <c r="AB90" s="421"/>
    </row>
    <row r="91" spans="1:28" s="176" customFormat="1" ht="54.95" customHeight="1" x14ac:dyDescent="0.15">
      <c r="A91" s="92" t="s">
        <v>73</v>
      </c>
      <c r="B91" s="164">
        <f>I11</f>
        <v>1330</v>
      </c>
      <c r="C91" s="371" t="s">
        <v>71</v>
      </c>
      <c r="D91" s="372"/>
      <c r="E91" s="373"/>
      <c r="F91" s="371"/>
      <c r="G91" s="372"/>
      <c r="H91" s="373"/>
      <c r="I91" s="165"/>
      <c r="J91" s="166"/>
      <c r="K91" s="167">
        <v>1</v>
      </c>
      <c r="L91" s="168" t="s">
        <v>63</v>
      </c>
      <c r="M91" s="88">
        <f t="shared" si="4"/>
        <v>1330</v>
      </c>
      <c r="N91" s="170"/>
      <c r="O91" s="170"/>
      <c r="P91" s="169" t="s">
        <v>63</v>
      </c>
      <c r="Q91" s="363">
        <v>46064</v>
      </c>
      <c r="R91" s="165">
        <v>1330</v>
      </c>
      <c r="S91" s="169" t="s">
        <v>63</v>
      </c>
      <c r="T91" s="154">
        <f t="shared" si="3"/>
        <v>0</v>
      </c>
      <c r="U91" s="170"/>
      <c r="V91" s="172"/>
      <c r="W91" s="172"/>
      <c r="X91" s="172"/>
      <c r="Y91" s="173" t="s">
        <v>72</v>
      </c>
      <c r="Z91" s="174"/>
      <c r="AA91" s="175"/>
      <c r="AB91" s="586" t="s">
        <v>274</v>
      </c>
    </row>
    <row r="92" spans="1:28" s="55" customFormat="1" ht="54.95" customHeight="1" x14ac:dyDescent="0.15">
      <c r="A92" s="92" t="s">
        <v>81</v>
      </c>
      <c r="B92" s="87">
        <f>I11</f>
        <v>1330</v>
      </c>
      <c r="C92" s="368" t="s">
        <v>71</v>
      </c>
      <c r="D92" s="369"/>
      <c r="E92" s="370"/>
      <c r="F92" s="368"/>
      <c r="G92" s="369"/>
      <c r="H92" s="370"/>
      <c r="I92" s="93"/>
      <c r="J92" s="90"/>
      <c r="K92" s="156">
        <v>1</v>
      </c>
      <c r="L92" s="77" t="s">
        <v>63</v>
      </c>
      <c r="M92" s="88">
        <f>K92*B92</f>
        <v>1330</v>
      </c>
      <c r="N92" s="91"/>
      <c r="O92" s="91"/>
      <c r="P92" s="88" t="s">
        <v>63</v>
      </c>
      <c r="Q92" s="364"/>
      <c r="R92" s="165">
        <v>1330</v>
      </c>
      <c r="S92" s="88" t="s">
        <v>63</v>
      </c>
      <c r="T92" s="154">
        <f t="shared" si="3"/>
        <v>0</v>
      </c>
      <c r="U92" s="91"/>
      <c r="V92" s="91"/>
      <c r="W92" s="91"/>
      <c r="X92" s="91"/>
      <c r="Y92" s="160" t="s">
        <v>72</v>
      </c>
      <c r="Z92" s="94"/>
      <c r="AA92" s="95"/>
      <c r="AB92" s="587"/>
    </row>
    <row r="93" spans="1:28" s="55" customFormat="1" ht="54.95" customHeight="1" x14ac:dyDescent="0.15">
      <c r="A93" s="96" t="s">
        <v>74</v>
      </c>
      <c r="B93" s="87">
        <f>I11</f>
        <v>1330</v>
      </c>
      <c r="C93" s="368" t="s">
        <v>71</v>
      </c>
      <c r="D93" s="369"/>
      <c r="E93" s="370"/>
      <c r="F93" s="368"/>
      <c r="G93" s="369"/>
      <c r="H93" s="370"/>
      <c r="I93" s="93" t="s">
        <v>272</v>
      </c>
      <c r="J93" s="93"/>
      <c r="K93" s="156">
        <v>1</v>
      </c>
      <c r="L93" s="77" t="s">
        <v>63</v>
      </c>
      <c r="M93" s="88">
        <f t="shared" si="4"/>
        <v>1330</v>
      </c>
      <c r="N93" s="91"/>
      <c r="O93" s="91"/>
      <c r="P93" s="89" t="s">
        <v>63</v>
      </c>
      <c r="Q93" s="365"/>
      <c r="R93" s="93">
        <v>2000</v>
      </c>
      <c r="S93" s="89" t="s">
        <v>63</v>
      </c>
      <c r="T93" s="154">
        <f t="shared" si="3"/>
        <v>670</v>
      </c>
      <c r="U93" s="91"/>
      <c r="V93" s="91"/>
      <c r="W93" s="91"/>
      <c r="X93" s="91"/>
      <c r="Y93" s="160" t="s">
        <v>72</v>
      </c>
      <c r="Z93" s="97"/>
      <c r="AA93" s="98"/>
      <c r="AB93" s="588"/>
    </row>
    <row r="94" spans="1:28" ht="13.5" customHeight="1" x14ac:dyDescent="0.15">
      <c r="A94" s="177"/>
      <c r="B94" s="366"/>
      <c r="C94" s="366"/>
      <c r="D94" s="177"/>
      <c r="E94" s="177"/>
      <c r="F94" s="100"/>
      <c r="G94" s="100"/>
      <c r="H94" s="100"/>
      <c r="I94" s="177"/>
      <c r="J94" s="177"/>
      <c r="K94" s="101"/>
      <c r="L94" s="102"/>
      <c r="M94" s="103"/>
      <c r="N94" s="104"/>
      <c r="O94" s="104"/>
      <c r="P94" s="177"/>
      <c r="Q94" s="105"/>
      <c r="R94" s="105"/>
      <c r="S94" s="106"/>
      <c r="T94" s="107"/>
      <c r="U94" s="108"/>
      <c r="V94" s="108"/>
      <c r="W94" s="109"/>
      <c r="X94" s="107"/>
      <c r="Y94" s="110"/>
      <c r="Z94" s="111"/>
      <c r="AA94" s="111"/>
    </row>
    <row r="95" spans="1:28" ht="13.5" customHeight="1" x14ac:dyDescent="0.15">
      <c r="A95" s="177"/>
      <c r="B95" s="366"/>
      <c r="C95" s="366"/>
      <c r="D95" s="177"/>
      <c r="E95" s="177"/>
      <c r="F95" s="367"/>
      <c r="G95" s="367"/>
      <c r="H95" s="367"/>
      <c r="I95" s="177"/>
      <c r="J95" s="177"/>
      <c r="K95" s="101"/>
      <c r="L95" s="102"/>
      <c r="M95" s="103"/>
      <c r="N95" s="104"/>
      <c r="O95" s="104"/>
      <c r="P95" s="177"/>
      <c r="Q95" s="105"/>
      <c r="R95" s="105"/>
      <c r="S95" s="106"/>
      <c r="T95" s="107"/>
      <c r="U95" s="108"/>
      <c r="V95" s="108"/>
      <c r="W95" s="109"/>
      <c r="X95" s="107"/>
      <c r="Y95" s="112"/>
      <c r="Z95" s="111"/>
      <c r="AA95" s="111"/>
    </row>
    <row r="96" spans="1:28" ht="13.5" customHeight="1" x14ac:dyDescent="0.15">
      <c r="J96" s="177"/>
    </row>
    <row r="97" spans="1:29" ht="13.5" customHeight="1" x14ac:dyDescent="0.15">
      <c r="J97" s="177"/>
    </row>
    <row r="104" spans="1:29" s="114" customFormat="1" x14ac:dyDescent="0.15">
      <c r="A104" s="1"/>
      <c r="B104" s="113"/>
      <c r="C104" s="1"/>
      <c r="D104" s="1"/>
      <c r="E104" s="1"/>
      <c r="F104" s="1"/>
      <c r="G104" s="1"/>
      <c r="H104" s="1"/>
      <c r="I104" s="1"/>
      <c r="J104" s="1"/>
      <c r="L104" s="115"/>
      <c r="M104" s="116"/>
      <c r="N104" s="117"/>
      <c r="O104" s="117"/>
      <c r="P104" s="1"/>
      <c r="Q104" s="118"/>
      <c r="R104" s="118"/>
      <c r="S104" s="115"/>
      <c r="T104" s="119"/>
      <c r="U104" s="1"/>
      <c r="V104" s="1"/>
      <c r="W104" s="120"/>
      <c r="X104" s="121"/>
      <c r="Y104" s="1"/>
      <c r="Z104" s="1"/>
      <c r="AA104" s="1"/>
      <c r="AB104" s="1"/>
      <c r="AC104" s="1"/>
    </row>
    <row r="105" spans="1:29" s="114" customFormat="1" x14ac:dyDescent="0.15">
      <c r="A105" s="1"/>
      <c r="B105" s="113"/>
      <c r="C105" s="1"/>
      <c r="D105" s="1"/>
      <c r="E105" s="1"/>
      <c r="F105" s="1"/>
      <c r="G105" s="1"/>
      <c r="H105" s="1"/>
      <c r="I105" s="1"/>
      <c r="J105" s="1"/>
      <c r="L105" s="115"/>
      <c r="M105" s="116"/>
      <c r="N105" s="117"/>
      <c r="O105" s="117"/>
      <c r="P105" s="1"/>
      <c r="Q105" s="118"/>
      <c r="R105" s="118"/>
      <c r="S105" s="115"/>
      <c r="T105" s="119"/>
      <c r="U105" s="1"/>
      <c r="V105" s="1"/>
      <c r="W105" s="120"/>
      <c r="X105" s="121"/>
      <c r="Y105" s="1"/>
      <c r="Z105" s="1"/>
      <c r="AA105" s="1"/>
      <c r="AB105" s="1"/>
      <c r="AC105" s="1"/>
    </row>
  </sheetData>
  <mergeCells count="354">
    <mergeCell ref="B94:C94"/>
    <mergeCell ref="B95:C95"/>
    <mergeCell ref="F95:H95"/>
    <mergeCell ref="C91:E91"/>
    <mergeCell ref="F91:H91"/>
    <mergeCell ref="Q91:Q93"/>
    <mergeCell ref="AB91:AB93"/>
    <mergeCell ref="C92:E92"/>
    <mergeCell ref="F92:H92"/>
    <mergeCell ref="C93:E93"/>
    <mergeCell ref="F93:H93"/>
    <mergeCell ref="Y78:Y80"/>
    <mergeCell ref="Z78:Z80"/>
    <mergeCell ref="C84:E86"/>
    <mergeCell ref="AB87:AB90"/>
    <mergeCell ref="F88:H88"/>
    <mergeCell ref="F89:H89"/>
    <mergeCell ref="F90:H90"/>
    <mergeCell ref="AA84:AA86"/>
    <mergeCell ref="F85:H85"/>
    <mergeCell ref="F86:H86"/>
    <mergeCell ref="F84:H84"/>
    <mergeCell ref="Y84:Y86"/>
    <mergeCell ref="Z84:Z86"/>
    <mergeCell ref="AB69:AB77"/>
    <mergeCell ref="F70:H70"/>
    <mergeCell ref="F71:H71"/>
    <mergeCell ref="A87:A90"/>
    <mergeCell ref="C87:E90"/>
    <mergeCell ref="F87:H87"/>
    <mergeCell ref="Q87:Q90"/>
    <mergeCell ref="Y87:Y90"/>
    <mergeCell ref="Z87:Z90"/>
    <mergeCell ref="AA87:AA90"/>
    <mergeCell ref="AA78:AA80"/>
    <mergeCell ref="AB78:AB86"/>
    <mergeCell ref="F79:H79"/>
    <mergeCell ref="F80:H80"/>
    <mergeCell ref="C81:E83"/>
    <mergeCell ref="F81:H81"/>
    <mergeCell ref="Y81:Y83"/>
    <mergeCell ref="AA81:AA83"/>
    <mergeCell ref="F82:H82"/>
    <mergeCell ref="F83:H83"/>
    <mergeCell ref="A78:A86"/>
    <mergeCell ref="C78:E80"/>
    <mergeCell ref="F78:H78"/>
    <mergeCell ref="Q78:Q86"/>
    <mergeCell ref="C72:E74"/>
    <mergeCell ref="F72:H72"/>
    <mergeCell ref="Y72:Y74"/>
    <mergeCell ref="Z72:Z74"/>
    <mergeCell ref="AA72:AA74"/>
    <mergeCell ref="Q64:Q68"/>
    <mergeCell ref="Y64:Y68"/>
    <mergeCell ref="A69:A77"/>
    <mergeCell ref="C69:E71"/>
    <mergeCell ref="F69:H69"/>
    <mergeCell ref="Y69:Y71"/>
    <mergeCell ref="Z69:Z71"/>
    <mergeCell ref="F73:H73"/>
    <mergeCell ref="F74:H74"/>
    <mergeCell ref="C75:E77"/>
    <mergeCell ref="F75:H75"/>
    <mergeCell ref="Y75:Y77"/>
    <mergeCell ref="Z75:Z77"/>
    <mergeCell ref="AA75:AA77"/>
    <mergeCell ref="F76:H76"/>
    <mergeCell ref="F77:H77"/>
    <mergeCell ref="AA69:AA71"/>
    <mergeCell ref="Q61:Q62"/>
    <mergeCell ref="Y61:Y62"/>
    <mergeCell ref="Z64:Z68"/>
    <mergeCell ref="AA64:AA68"/>
    <mergeCell ref="C62:E62"/>
    <mergeCell ref="F62:H62"/>
    <mergeCell ref="AB64:AB68"/>
    <mergeCell ref="F65:H65"/>
    <mergeCell ref="F66:H66"/>
    <mergeCell ref="F67:H67"/>
    <mergeCell ref="F68:H68"/>
    <mergeCell ref="A57:A58"/>
    <mergeCell ref="C57:E57"/>
    <mergeCell ref="F57:H57"/>
    <mergeCell ref="I57:I58"/>
    <mergeCell ref="C63:E63"/>
    <mergeCell ref="F63:H63"/>
    <mergeCell ref="A64:A68"/>
    <mergeCell ref="C64:E68"/>
    <mergeCell ref="F64:H64"/>
    <mergeCell ref="A61:A62"/>
    <mergeCell ref="C61:E61"/>
    <mergeCell ref="F61:H61"/>
    <mergeCell ref="AB59:AB60"/>
    <mergeCell ref="C60:E60"/>
    <mergeCell ref="F60:H60"/>
    <mergeCell ref="F54:H54"/>
    <mergeCell ref="A55:A56"/>
    <mergeCell ref="C55:E55"/>
    <mergeCell ref="F55:H55"/>
    <mergeCell ref="Q55:Q56"/>
    <mergeCell ref="Y55:Y56"/>
    <mergeCell ref="AB55:AB56"/>
    <mergeCell ref="C56:E56"/>
    <mergeCell ref="F56:H56"/>
    <mergeCell ref="C58:E58"/>
    <mergeCell ref="F58:H58"/>
    <mergeCell ref="A59:A60"/>
    <mergeCell ref="C59:E59"/>
    <mergeCell ref="F59:H59"/>
    <mergeCell ref="I59:I60"/>
    <mergeCell ref="Q59:Q60"/>
    <mergeCell ref="Y59:Y60"/>
    <mergeCell ref="A53:A54"/>
    <mergeCell ref="C53:E53"/>
    <mergeCell ref="F53:H53"/>
    <mergeCell ref="Q53:Q54"/>
    <mergeCell ref="Y53:Y54"/>
    <mergeCell ref="AB53:AB54"/>
    <mergeCell ref="C54:E54"/>
    <mergeCell ref="Q57:Q58"/>
    <mergeCell ref="Y57:Y58"/>
    <mergeCell ref="AB57:AB58"/>
    <mergeCell ref="Q43:Q44"/>
    <mergeCell ref="F50:H50"/>
    <mergeCell ref="A51:A52"/>
    <mergeCell ref="C51:E51"/>
    <mergeCell ref="F51:H51"/>
    <mergeCell ref="Q51:Q52"/>
    <mergeCell ref="Y51:Y52"/>
    <mergeCell ref="AB47:AB48"/>
    <mergeCell ref="C48:E48"/>
    <mergeCell ref="F48:H48"/>
    <mergeCell ref="A49:A50"/>
    <mergeCell ref="C49:E49"/>
    <mergeCell ref="F49:H49"/>
    <mergeCell ref="Q49:Q50"/>
    <mergeCell ref="Y49:Y50"/>
    <mergeCell ref="AB49:AB50"/>
    <mergeCell ref="C50:E50"/>
    <mergeCell ref="AB51:AB52"/>
    <mergeCell ref="C52:E52"/>
    <mergeCell ref="F52:H52"/>
    <mergeCell ref="F41:H41"/>
    <mergeCell ref="I41:I42"/>
    <mergeCell ref="Q41:Q42"/>
    <mergeCell ref="Y41:Y42"/>
    <mergeCell ref="AB41:AB42"/>
    <mergeCell ref="C46:E46"/>
    <mergeCell ref="F46:H46"/>
    <mergeCell ref="A47:A48"/>
    <mergeCell ref="C47:E47"/>
    <mergeCell ref="F47:H47"/>
    <mergeCell ref="Y47:Y48"/>
    <mergeCell ref="Y43:Y44"/>
    <mergeCell ref="AB43:AB44"/>
    <mergeCell ref="C44:E44"/>
    <mergeCell ref="F44:H44"/>
    <mergeCell ref="A45:A46"/>
    <mergeCell ref="C45:E45"/>
    <mergeCell ref="F45:H45"/>
    <mergeCell ref="Q45:Q46"/>
    <mergeCell ref="Y45:Y46"/>
    <mergeCell ref="AB45:AB46"/>
    <mergeCell ref="A43:A44"/>
    <mergeCell ref="C43:E43"/>
    <mergeCell ref="F43:H43"/>
    <mergeCell ref="AC38:AF38"/>
    <mergeCell ref="A39:A40"/>
    <mergeCell ref="C39:E39"/>
    <mergeCell ref="F39:H39"/>
    <mergeCell ref="I39:I40"/>
    <mergeCell ref="Q39:Q40"/>
    <mergeCell ref="Y39:Y40"/>
    <mergeCell ref="AB39:AB40"/>
    <mergeCell ref="C42:E42"/>
    <mergeCell ref="F42:H42"/>
    <mergeCell ref="A37:A38"/>
    <mergeCell ref="C37:E37"/>
    <mergeCell ref="F37:H37"/>
    <mergeCell ref="I37:I38"/>
    <mergeCell ref="Q37:Q38"/>
    <mergeCell ref="Y37:Y38"/>
    <mergeCell ref="AB37:AB38"/>
    <mergeCell ref="C38:E38"/>
    <mergeCell ref="F38:H38"/>
    <mergeCell ref="C40:E40"/>
    <mergeCell ref="F40:H40"/>
    <mergeCell ref="AC40:AF40"/>
    <mergeCell ref="A41:A42"/>
    <mergeCell ref="C41:E41"/>
    <mergeCell ref="AC34:AF34"/>
    <mergeCell ref="A35:A36"/>
    <mergeCell ref="C35:E35"/>
    <mergeCell ref="F35:H35"/>
    <mergeCell ref="I35:I36"/>
    <mergeCell ref="Q35:Q36"/>
    <mergeCell ref="Y35:Y36"/>
    <mergeCell ref="AB35:AB36"/>
    <mergeCell ref="C36:E36"/>
    <mergeCell ref="F36:H36"/>
    <mergeCell ref="AC36:AF36"/>
    <mergeCell ref="A33:A34"/>
    <mergeCell ref="C33:E33"/>
    <mergeCell ref="F33:H33"/>
    <mergeCell ref="I33:I34"/>
    <mergeCell ref="Q33:Q34"/>
    <mergeCell ref="Y33:Y34"/>
    <mergeCell ref="AB33:AB34"/>
    <mergeCell ref="C34:E34"/>
    <mergeCell ref="F34:H34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C26:AF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28:AF28"/>
    <mergeCell ref="A25:A26"/>
    <mergeCell ref="C25:E25"/>
    <mergeCell ref="F25:H25"/>
    <mergeCell ref="I25:I26"/>
    <mergeCell ref="Q25:Q26"/>
    <mergeCell ref="Y25:Y26"/>
    <mergeCell ref="AB25:AB26"/>
    <mergeCell ref="C26:E26"/>
    <mergeCell ref="F26:H26"/>
    <mergeCell ref="A23:A24"/>
    <mergeCell ref="C23:E23"/>
    <mergeCell ref="F23:H23"/>
    <mergeCell ref="I23:I24"/>
    <mergeCell ref="Q23:Q24"/>
    <mergeCell ref="Y23:Y24"/>
    <mergeCell ref="AB23:AB24"/>
    <mergeCell ref="C24:E24"/>
    <mergeCell ref="F24:H24"/>
    <mergeCell ref="AB19:AB20"/>
    <mergeCell ref="C20:E20"/>
    <mergeCell ref="F20:H20"/>
    <mergeCell ref="A21:A22"/>
    <mergeCell ref="C21:E21"/>
    <mergeCell ref="F21:H21"/>
    <mergeCell ref="I21:I22"/>
    <mergeCell ref="Q21:Q22"/>
    <mergeCell ref="Y21:Y22"/>
    <mergeCell ref="AB21:AB22"/>
    <mergeCell ref="C22:E22"/>
    <mergeCell ref="F22:H22"/>
    <mergeCell ref="AA13:AA14"/>
    <mergeCell ref="C18:E18"/>
    <mergeCell ref="F18:H18"/>
    <mergeCell ref="A19:A20"/>
    <mergeCell ref="C19:E19"/>
    <mergeCell ref="F19:H19"/>
    <mergeCell ref="I19:I20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B17:AB18"/>
    <mergeCell ref="A15:A16"/>
    <mergeCell ref="C15:E15"/>
    <mergeCell ref="F15:H15"/>
    <mergeCell ref="Q15:Q16"/>
    <mergeCell ref="AB15:AB16"/>
    <mergeCell ref="Q19:Q20"/>
    <mergeCell ref="Y19:Y20"/>
    <mergeCell ref="A13:A14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:AB1"/>
    <mergeCell ref="B2:G2"/>
    <mergeCell ref="I2:L2"/>
    <mergeCell ref="M2:N2"/>
    <mergeCell ref="O2:S2"/>
    <mergeCell ref="T2:U2"/>
    <mergeCell ref="V2:X2"/>
    <mergeCell ref="Z2:AB2"/>
    <mergeCell ref="Q69:Q77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3" orientation="portrait" r:id="rId1"/>
  <headerFooter alignWithMargins="0"/>
  <rowBreaks count="1" manualBreakCount="1">
    <brk id="68" max="27" man="1"/>
  </rowBreaks>
  <colBreaks count="1" manualBreakCount="1">
    <brk id="2" max="46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02CD-571F-4FA0-ABE7-19CA9C881066}">
  <sheetPr>
    <pageSetUpPr fitToPage="1"/>
  </sheetPr>
  <dimension ref="A1:AF105"/>
  <sheetViews>
    <sheetView view="pageBreakPreview" topLeftCell="A46" zoomScale="75" zoomScaleNormal="100" zoomScaleSheetLayoutView="75" workbookViewId="0">
      <selection activeCell="AB51" sqref="AB51:AB52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7773437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278</v>
      </c>
      <c r="C2" s="548"/>
      <c r="D2" s="548"/>
      <c r="E2" s="548"/>
      <c r="F2" s="548"/>
      <c r="G2" s="549"/>
      <c r="H2" s="180" t="s">
        <v>1</v>
      </c>
      <c r="I2" s="550">
        <f>I11</f>
        <v>514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280</v>
      </c>
      <c r="D5" s="182">
        <v>234</v>
      </c>
      <c r="E5" s="182"/>
      <c r="F5" s="182"/>
      <c r="G5" s="182"/>
      <c r="H5" s="542" t="s">
        <v>24</v>
      </c>
      <c r="I5" s="524">
        <f t="shared" ref="I5:I11" si="0">SUM(C5:G5)</f>
        <v>514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46058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90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280</v>
      </c>
      <c r="D11" s="181">
        <f>SUM(D5:D10)</f>
        <v>234</v>
      </c>
      <c r="E11" s="181">
        <f>SUM(E5:E10)</f>
        <v>0</v>
      </c>
      <c r="F11" s="181">
        <f>SUM(F5:F10)</f>
        <v>0</v>
      </c>
      <c r="G11" s="181">
        <f>SUM(G5:G10)</f>
        <v>0</v>
      </c>
      <c r="H11" s="182"/>
      <c r="I11" s="481">
        <f t="shared" si="0"/>
        <v>514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45902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285.60000000000002</v>
      </c>
      <c r="D12" s="43">
        <f>D11*1.02</f>
        <v>238.68</v>
      </c>
      <c r="E12" s="43">
        <f>E11*1.02</f>
        <v>0</v>
      </c>
      <c r="F12" s="43">
        <f>F11*1.02</f>
        <v>0</v>
      </c>
      <c r="G12" s="43">
        <f>G11*1.02</f>
        <v>0</v>
      </c>
      <c r="H12" s="44"/>
      <c r="I12" s="486">
        <f>I11*1.02</f>
        <v>524.28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514</v>
      </c>
      <c r="C15" s="474" t="str">
        <f t="shared" ref="C15:C23" si="2">$A$5</f>
        <v>BK</v>
      </c>
      <c r="D15" s="475"/>
      <c r="E15" s="476"/>
      <c r="F15" s="474"/>
      <c r="G15" s="475"/>
      <c r="H15" s="476"/>
      <c r="I15" s="71" t="s">
        <v>99</v>
      </c>
      <c r="J15" s="65" t="s">
        <v>6</v>
      </c>
      <c r="K15" s="66">
        <v>1.35</v>
      </c>
      <c r="L15" s="67" t="s">
        <v>7</v>
      </c>
      <c r="M15" s="68">
        <f>K15*B15</f>
        <v>693.90000000000009</v>
      </c>
      <c r="N15" s="69"/>
      <c r="O15" s="70"/>
      <c r="P15" s="67" t="s">
        <v>7</v>
      </c>
      <c r="Q15" s="478">
        <v>46060</v>
      </c>
      <c r="R15" s="311">
        <v>700</v>
      </c>
      <c r="S15" s="71" t="s">
        <v>7</v>
      </c>
      <c r="T15" s="123">
        <f t="shared" ref="T15:T93" si="3">R15-M15</f>
        <v>6.0999999999999091</v>
      </c>
      <c r="U15" s="72"/>
      <c r="V15" s="72"/>
      <c r="W15" s="73"/>
      <c r="X15" s="74"/>
      <c r="Y15" s="314" t="s">
        <v>273</v>
      </c>
      <c r="Z15" s="63"/>
      <c r="AA15" s="64"/>
      <c r="AB15" s="566" t="s">
        <v>262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75" t="s">
        <v>128</v>
      </c>
      <c r="J16" s="76" t="s">
        <v>6</v>
      </c>
      <c r="K16" s="83"/>
      <c r="L16" s="77" t="s">
        <v>7</v>
      </c>
      <c r="M16" s="78">
        <f t="shared" ref="M16:M93" si="4">K16*B16</f>
        <v>0</v>
      </c>
      <c r="N16" s="79"/>
      <c r="O16" s="128"/>
      <c r="P16" s="77" t="s">
        <v>7</v>
      </c>
      <c r="Q16" s="444"/>
      <c r="R16" s="294"/>
      <c r="S16" s="75" t="s">
        <v>7</v>
      </c>
      <c r="T16" s="81">
        <f t="shared" si="3"/>
        <v>0</v>
      </c>
      <c r="U16" s="131"/>
      <c r="V16" s="131"/>
      <c r="W16" s="132"/>
      <c r="X16" s="133"/>
      <c r="Y16" s="320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514</v>
      </c>
      <c r="C17" s="461" t="str">
        <f t="shared" si="2"/>
        <v>BK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55" customFormat="1" ht="69.95" customHeight="1" x14ac:dyDescent="0.15">
      <c r="A19" s="431" t="s">
        <v>263</v>
      </c>
      <c r="B19" s="191">
        <f t="shared" si="1"/>
        <v>514</v>
      </c>
      <c r="C19" s="465" t="str">
        <f t="shared" si="2"/>
        <v>BK</v>
      </c>
      <c r="D19" s="465"/>
      <c r="E19" s="465"/>
      <c r="F19" s="465"/>
      <c r="G19" s="465"/>
      <c r="H19" s="465"/>
      <c r="I19" s="433" t="s">
        <v>8</v>
      </c>
      <c r="J19" s="192" t="s">
        <v>6</v>
      </c>
      <c r="K19" s="209">
        <v>0.17</v>
      </c>
      <c r="L19" s="194" t="s">
        <v>7</v>
      </c>
      <c r="M19" s="195">
        <f t="shared" si="4"/>
        <v>87.38000000000001</v>
      </c>
      <c r="N19" s="196"/>
      <c r="O19" s="195"/>
      <c r="P19" s="197" t="s">
        <v>7</v>
      </c>
      <c r="Q19" s="435"/>
      <c r="R19" s="195"/>
      <c r="S19" s="197" t="s">
        <v>7</v>
      </c>
      <c r="T19" s="198">
        <f t="shared" si="3"/>
        <v>-87.38000000000001</v>
      </c>
      <c r="U19" s="199"/>
      <c r="V19" s="200"/>
      <c r="W19" s="195"/>
      <c r="X19" s="195"/>
      <c r="Y19" s="437" t="s">
        <v>93</v>
      </c>
      <c r="Z19" s="235"/>
      <c r="AA19" s="202"/>
      <c r="AB19" s="439"/>
      <c r="AC19" s="178"/>
      <c r="AD19" s="179"/>
      <c r="AE19" s="179"/>
      <c r="AF19" s="179"/>
    </row>
    <row r="20" spans="1:32" s="55" customFormat="1" ht="69.95" customHeight="1" x14ac:dyDescent="0.15">
      <c r="A20" s="432"/>
      <c r="B20" s="191">
        <f>$I$6</f>
        <v>0</v>
      </c>
      <c r="C20" s="465">
        <f>$A$6</f>
        <v>0</v>
      </c>
      <c r="D20" s="465"/>
      <c r="E20" s="465"/>
      <c r="F20" s="465"/>
      <c r="G20" s="465"/>
      <c r="H20" s="465"/>
      <c r="I20" s="434"/>
      <c r="J20" s="192" t="s">
        <v>6</v>
      </c>
      <c r="K20" s="209">
        <v>0.17</v>
      </c>
      <c r="L20" s="194" t="s">
        <v>7</v>
      </c>
      <c r="M20" s="195">
        <f t="shared" si="4"/>
        <v>0</v>
      </c>
      <c r="N20" s="196"/>
      <c r="O20" s="210"/>
      <c r="P20" s="194" t="s">
        <v>7</v>
      </c>
      <c r="Q20" s="436"/>
      <c r="R20" s="236"/>
      <c r="S20" s="207" t="s">
        <v>7</v>
      </c>
      <c r="T20" s="198">
        <f t="shared" si="3"/>
        <v>0</v>
      </c>
      <c r="U20" s="211"/>
      <c r="V20" s="211"/>
      <c r="W20" s="212"/>
      <c r="X20" s="213"/>
      <c r="Y20" s="438"/>
      <c r="Z20" s="238"/>
      <c r="AA20" s="238"/>
      <c r="AB20" s="440"/>
      <c r="AC20" s="178"/>
      <c r="AD20" s="179"/>
      <c r="AE20" s="179"/>
      <c r="AF20" s="179"/>
    </row>
    <row r="21" spans="1:32" s="206" customFormat="1" ht="69.95" customHeight="1" x14ac:dyDescent="0.15">
      <c r="A21" s="431" t="s">
        <v>115</v>
      </c>
      <c r="B21" s="191">
        <f t="shared" si="1"/>
        <v>514</v>
      </c>
      <c r="C21" s="465" t="str">
        <f t="shared" si="2"/>
        <v>BK</v>
      </c>
      <c r="D21" s="465"/>
      <c r="E21" s="465"/>
      <c r="F21" s="465"/>
      <c r="G21" s="465"/>
      <c r="H21" s="465"/>
      <c r="I21" s="433" t="s">
        <v>8</v>
      </c>
      <c r="J21" s="192" t="s">
        <v>6</v>
      </c>
      <c r="K21" s="209"/>
      <c r="L21" s="194" t="s">
        <v>7</v>
      </c>
      <c r="M21" s="195">
        <f t="shared" si="4"/>
        <v>0</v>
      </c>
      <c r="N21" s="196"/>
      <c r="O21" s="195"/>
      <c r="P21" s="197" t="s">
        <v>7</v>
      </c>
      <c r="Q21" s="435"/>
      <c r="R21" s="195"/>
      <c r="S21" s="197" t="s">
        <v>7</v>
      </c>
      <c r="T21" s="198">
        <f t="shared" si="3"/>
        <v>0</v>
      </c>
      <c r="U21" s="199"/>
      <c r="V21" s="200"/>
      <c r="W21" s="195"/>
      <c r="X21" s="195"/>
      <c r="Y21" s="437" t="s">
        <v>93</v>
      </c>
      <c r="Z21" s="235"/>
      <c r="AA21" s="202"/>
      <c r="AB21" s="439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$I$6</f>
        <v>0</v>
      </c>
      <c r="C22" s="465">
        <f>$A$6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38"/>
      <c r="AA22" s="238"/>
      <c r="AB22" s="440"/>
      <c r="AC22" s="229"/>
      <c r="AD22" s="230"/>
      <c r="AE22" s="230"/>
      <c r="AF22" s="230"/>
    </row>
    <row r="23" spans="1:32" s="55" customFormat="1" ht="69.95" customHeight="1" x14ac:dyDescent="0.15">
      <c r="A23" s="431" t="s">
        <v>107</v>
      </c>
      <c r="B23" s="191">
        <f t="shared" si="1"/>
        <v>514</v>
      </c>
      <c r="C23" s="465" t="str">
        <f t="shared" si="2"/>
        <v>BK</v>
      </c>
      <c r="D23" s="465"/>
      <c r="E23" s="465"/>
      <c r="F23" s="465"/>
      <c r="G23" s="465"/>
      <c r="H23" s="465"/>
      <c r="I23" s="433" t="s">
        <v>58</v>
      </c>
      <c r="J23" s="192"/>
      <c r="K23" s="209">
        <v>0.06</v>
      </c>
      <c r="L23" s="194" t="s">
        <v>7</v>
      </c>
      <c r="M23" s="195">
        <f t="shared" si="4"/>
        <v>30.84</v>
      </c>
      <c r="N23" s="196"/>
      <c r="O23" s="195"/>
      <c r="P23" s="197" t="s">
        <v>7</v>
      </c>
      <c r="Q23" s="435"/>
      <c r="R23" s="198"/>
      <c r="S23" s="197" t="s">
        <v>7</v>
      </c>
      <c r="T23" s="198">
        <f t="shared" si="3"/>
        <v>-30.84</v>
      </c>
      <c r="U23" s="199"/>
      <c r="V23" s="200"/>
      <c r="W23" s="195"/>
      <c r="X23" s="195"/>
      <c r="Y23" s="437" t="s">
        <v>59</v>
      </c>
      <c r="Z23" s="235"/>
      <c r="AA23" s="202"/>
      <c r="AB23" s="439"/>
      <c r="AC23" s="178"/>
      <c r="AD23" s="179"/>
      <c r="AE23" s="179"/>
      <c r="AF23" s="179"/>
    </row>
    <row r="24" spans="1:32" s="55" customFormat="1" ht="69.95" customHeight="1" thickBot="1" x14ac:dyDescent="0.2">
      <c r="A24" s="432"/>
      <c r="B24" s="191">
        <f>$I$6</f>
        <v>0</v>
      </c>
      <c r="C24" s="465">
        <f>$A$6</f>
        <v>0</v>
      </c>
      <c r="D24" s="465"/>
      <c r="E24" s="465"/>
      <c r="F24" s="465"/>
      <c r="G24" s="465"/>
      <c r="H24" s="465"/>
      <c r="I24" s="434"/>
      <c r="J24" s="192"/>
      <c r="K24" s="209">
        <v>0.06</v>
      </c>
      <c r="L24" s="194" t="s">
        <v>7</v>
      </c>
      <c r="M24" s="195">
        <f t="shared" si="4"/>
        <v>0</v>
      </c>
      <c r="N24" s="196"/>
      <c r="O24" s="210"/>
      <c r="P24" s="194" t="s">
        <v>7</v>
      </c>
      <c r="Q24" s="436"/>
      <c r="R24" s="236"/>
      <c r="S24" s="207" t="s">
        <v>7</v>
      </c>
      <c r="T24" s="198">
        <f t="shared" si="3"/>
        <v>0</v>
      </c>
      <c r="U24" s="211"/>
      <c r="V24" s="211"/>
      <c r="W24" s="212"/>
      <c r="X24" s="213"/>
      <c r="Y24" s="438"/>
      <c r="Z24" s="214"/>
      <c r="AA24" s="202"/>
      <c r="AB24" s="440"/>
      <c r="AC24" s="178"/>
      <c r="AD24" s="179"/>
      <c r="AE24" s="179"/>
      <c r="AF24" s="179"/>
    </row>
    <row r="25" spans="1:32" s="143" customFormat="1" ht="69.95" customHeight="1" thickTop="1" x14ac:dyDescent="0.15">
      <c r="A25" s="431" t="s">
        <v>108</v>
      </c>
      <c r="B25" s="191">
        <f>$I$5</f>
        <v>514</v>
      </c>
      <c r="C25" s="465" t="str">
        <f>$A$5</f>
        <v>BK</v>
      </c>
      <c r="D25" s="465"/>
      <c r="E25" s="465"/>
      <c r="F25" s="465"/>
      <c r="G25" s="465"/>
      <c r="H25" s="465"/>
      <c r="I25" s="433" t="s">
        <v>8</v>
      </c>
      <c r="J25" s="192" t="s">
        <v>6</v>
      </c>
      <c r="K25" s="209"/>
      <c r="L25" s="194" t="s">
        <v>7</v>
      </c>
      <c r="M25" s="195">
        <f>K25*B25</f>
        <v>0</v>
      </c>
      <c r="N25" s="196"/>
      <c r="O25" s="195"/>
      <c r="P25" s="197" t="s">
        <v>7</v>
      </c>
      <c r="Q25" s="435"/>
      <c r="R25" s="195"/>
      <c r="S25" s="197" t="s">
        <v>9</v>
      </c>
      <c r="T25" s="198">
        <f t="shared" si="3"/>
        <v>0</v>
      </c>
      <c r="U25" s="199"/>
      <c r="V25" s="200"/>
      <c r="W25" s="195"/>
      <c r="X25" s="195"/>
      <c r="Y25" s="437" t="s">
        <v>59</v>
      </c>
      <c r="Z25" s="201"/>
      <c r="AA25" s="202"/>
      <c r="AB25" s="596"/>
    </row>
    <row r="26" spans="1:32" s="143" customFormat="1" ht="69.95" customHeight="1" x14ac:dyDescent="0.15">
      <c r="A26" s="432"/>
      <c r="B26" s="191">
        <f>$I$6</f>
        <v>0</v>
      </c>
      <c r="C26" s="465">
        <f>$A$6</f>
        <v>0</v>
      </c>
      <c r="D26" s="465"/>
      <c r="E26" s="465"/>
      <c r="F26" s="465"/>
      <c r="G26" s="465"/>
      <c r="H26" s="465"/>
      <c r="I26" s="434"/>
      <c r="J26" s="192" t="s">
        <v>6</v>
      </c>
      <c r="K26" s="209"/>
      <c r="L26" s="194" t="s">
        <v>7</v>
      </c>
      <c r="M26" s="195">
        <f>K26*B26</f>
        <v>0</v>
      </c>
      <c r="N26" s="196"/>
      <c r="O26" s="210"/>
      <c r="P26" s="194" t="s">
        <v>7</v>
      </c>
      <c r="Q26" s="436"/>
      <c r="R26" s="200"/>
      <c r="S26" s="207" t="s">
        <v>9</v>
      </c>
      <c r="T26" s="198">
        <f t="shared" si="3"/>
        <v>0</v>
      </c>
      <c r="U26" s="211"/>
      <c r="V26" s="211"/>
      <c r="W26" s="212"/>
      <c r="X26" s="213"/>
      <c r="Y26" s="438"/>
      <c r="Z26" s="214"/>
      <c r="AA26" s="202"/>
      <c r="AB26" s="440"/>
      <c r="AC26" s="577"/>
      <c r="AD26" s="578"/>
      <c r="AE26" s="578"/>
      <c r="AF26" s="578"/>
    </row>
    <row r="27" spans="1:32" s="143" customFormat="1" ht="69.95" customHeight="1" x14ac:dyDescent="0.15">
      <c r="A27" s="464" t="s">
        <v>86</v>
      </c>
      <c r="B27" s="182">
        <f>$I$5</f>
        <v>514</v>
      </c>
      <c r="C27" s="461" t="str">
        <f>$A$5</f>
        <v>BK</v>
      </c>
      <c r="D27" s="461"/>
      <c r="E27" s="461"/>
      <c r="F27" s="461"/>
      <c r="G27" s="461"/>
      <c r="H27" s="461"/>
      <c r="I27" s="441" t="s">
        <v>251</v>
      </c>
      <c r="J27" s="76"/>
      <c r="K27" s="136">
        <v>13.5</v>
      </c>
      <c r="L27" s="77" t="s">
        <v>7</v>
      </c>
      <c r="M27" s="78">
        <f>K27*B27/50</f>
        <v>138.78</v>
      </c>
      <c r="N27" s="79"/>
      <c r="O27" s="78"/>
      <c r="P27" s="80" t="s">
        <v>7</v>
      </c>
      <c r="Q27" s="443">
        <v>46064</v>
      </c>
      <c r="R27" s="78">
        <v>139</v>
      </c>
      <c r="S27" s="80" t="s">
        <v>9</v>
      </c>
      <c r="T27" s="81">
        <f t="shared" si="3"/>
        <v>0.21999999999999886</v>
      </c>
      <c r="U27" s="82"/>
      <c r="V27" s="137"/>
      <c r="W27" s="78"/>
      <c r="X27" s="78"/>
      <c r="Y27" s="445" t="s">
        <v>94</v>
      </c>
      <c r="Z27" s="141"/>
      <c r="AA27" s="135"/>
      <c r="AB27" s="360" t="s">
        <v>274</v>
      </c>
    </row>
    <row r="28" spans="1:32" s="143" customFormat="1" ht="69.95" customHeight="1" x14ac:dyDescent="0.15">
      <c r="A28" s="464"/>
      <c r="B28" s="182">
        <f>$I$6</f>
        <v>0</v>
      </c>
      <c r="C28" s="461">
        <f>$A$6</f>
        <v>0</v>
      </c>
      <c r="D28" s="461"/>
      <c r="E28" s="461"/>
      <c r="F28" s="461"/>
      <c r="G28" s="461"/>
      <c r="H28" s="461"/>
      <c r="I28" s="442"/>
      <c r="J28" s="76"/>
      <c r="K28" s="136"/>
      <c r="L28" s="77" t="s">
        <v>7</v>
      </c>
      <c r="M28" s="78">
        <f>K28*B28/50</f>
        <v>0</v>
      </c>
      <c r="N28" s="79"/>
      <c r="O28" s="128"/>
      <c r="P28" s="77" t="s">
        <v>7</v>
      </c>
      <c r="Q28" s="444"/>
      <c r="R28" s="137"/>
      <c r="S28" s="75" t="s">
        <v>9</v>
      </c>
      <c r="T28" s="81">
        <f t="shared" si="3"/>
        <v>0</v>
      </c>
      <c r="U28" s="131"/>
      <c r="V28" s="131"/>
      <c r="W28" s="132"/>
      <c r="X28" s="133"/>
      <c r="Y28" s="446"/>
      <c r="Z28" s="134"/>
      <c r="AA28" s="135"/>
      <c r="AB28" s="362"/>
      <c r="AC28" s="577"/>
      <c r="AD28" s="578"/>
      <c r="AE28" s="578"/>
      <c r="AF28" s="578"/>
    </row>
    <row r="29" spans="1:32" s="143" customFormat="1" ht="69.95" customHeight="1" x14ac:dyDescent="0.15">
      <c r="A29" s="464" t="s">
        <v>222</v>
      </c>
      <c r="B29" s="191">
        <f>$I$5</f>
        <v>514</v>
      </c>
      <c r="C29" s="465" t="str">
        <f>$A$5</f>
        <v>BK</v>
      </c>
      <c r="D29" s="465"/>
      <c r="E29" s="465"/>
      <c r="F29" s="465"/>
      <c r="G29" s="465"/>
      <c r="H29" s="465"/>
      <c r="I29" s="433" t="s">
        <v>252</v>
      </c>
      <c r="J29" s="192"/>
      <c r="K29" s="209">
        <v>1.3</v>
      </c>
      <c r="L29" s="194" t="s">
        <v>7</v>
      </c>
      <c r="M29" s="195">
        <f>K29*B29/50</f>
        <v>13.364000000000001</v>
      </c>
      <c r="N29" s="196"/>
      <c r="O29" s="195"/>
      <c r="P29" s="197" t="s">
        <v>7</v>
      </c>
      <c r="Q29" s="435"/>
      <c r="R29" s="195"/>
      <c r="S29" s="197" t="s">
        <v>9</v>
      </c>
      <c r="T29" s="198">
        <f t="shared" si="3"/>
        <v>-13.364000000000001</v>
      </c>
      <c r="U29" s="199"/>
      <c r="V29" s="200"/>
      <c r="W29" s="195"/>
      <c r="X29" s="195"/>
      <c r="Y29" s="437" t="s">
        <v>94</v>
      </c>
      <c r="Z29" s="201"/>
      <c r="AA29" s="202"/>
      <c r="AB29" s="439"/>
    </row>
    <row r="30" spans="1:32" s="143" customFormat="1" ht="69.95" customHeight="1" x14ac:dyDescent="0.15">
      <c r="A30" s="464"/>
      <c r="B30" s="191">
        <f>$I$6</f>
        <v>0</v>
      </c>
      <c r="C30" s="465">
        <f>$A$6</f>
        <v>0</v>
      </c>
      <c r="D30" s="465"/>
      <c r="E30" s="465"/>
      <c r="F30" s="465"/>
      <c r="G30" s="465"/>
      <c r="H30" s="465"/>
      <c r="I30" s="434"/>
      <c r="J30" s="192"/>
      <c r="K30" s="209">
        <v>1.3</v>
      </c>
      <c r="L30" s="194" t="s">
        <v>7</v>
      </c>
      <c r="M30" s="195">
        <f>K30*B30/50</f>
        <v>0</v>
      </c>
      <c r="N30" s="196"/>
      <c r="O30" s="210"/>
      <c r="P30" s="194" t="s">
        <v>7</v>
      </c>
      <c r="Q30" s="436"/>
      <c r="R30" s="200"/>
      <c r="S30" s="207" t="s">
        <v>9</v>
      </c>
      <c r="T30" s="198">
        <f t="shared" si="3"/>
        <v>0</v>
      </c>
      <c r="U30" s="211"/>
      <c r="V30" s="211"/>
      <c r="W30" s="212"/>
      <c r="X30" s="213"/>
      <c r="Y30" s="438"/>
      <c r="Z30" s="214"/>
      <c r="AA30" s="202"/>
      <c r="AB30" s="440"/>
      <c r="AC30" s="577"/>
      <c r="AD30" s="578"/>
      <c r="AE30" s="578"/>
      <c r="AF30" s="578"/>
    </row>
    <row r="31" spans="1:32" s="203" customFormat="1" ht="69.95" customHeight="1" x14ac:dyDescent="0.15">
      <c r="A31" s="464" t="s">
        <v>77</v>
      </c>
      <c r="B31" s="182">
        <f>$I$5</f>
        <v>514</v>
      </c>
      <c r="C31" s="461" t="str">
        <f>$A$5</f>
        <v>BK</v>
      </c>
      <c r="D31" s="461"/>
      <c r="E31" s="461"/>
      <c r="F31" s="461"/>
      <c r="G31" s="461"/>
      <c r="H31" s="461"/>
      <c r="I31" s="441" t="s">
        <v>76</v>
      </c>
      <c r="J31" s="76"/>
      <c r="K31" s="136">
        <v>0.6</v>
      </c>
      <c r="L31" s="77" t="s">
        <v>7</v>
      </c>
      <c r="M31" s="78">
        <f>K31*B31/100</f>
        <v>3.0839999999999996</v>
      </c>
      <c r="N31" s="79"/>
      <c r="O31" s="78"/>
      <c r="P31" s="80" t="s">
        <v>7</v>
      </c>
      <c r="Q31" s="443">
        <v>46064</v>
      </c>
      <c r="R31" s="78">
        <v>4</v>
      </c>
      <c r="S31" s="80" t="s">
        <v>9</v>
      </c>
      <c r="T31" s="81">
        <f>R31-M31</f>
        <v>0.91600000000000037</v>
      </c>
      <c r="U31" s="82"/>
      <c r="V31" s="137"/>
      <c r="W31" s="78"/>
      <c r="X31" s="78"/>
      <c r="Y31" s="445" t="s">
        <v>94</v>
      </c>
      <c r="Z31" s="141"/>
      <c r="AA31" s="135"/>
      <c r="AB31" s="360" t="s">
        <v>274</v>
      </c>
    </row>
    <row r="32" spans="1:32" s="203" customFormat="1" ht="69.95" customHeight="1" x14ac:dyDescent="0.15">
      <c r="A32" s="464"/>
      <c r="B32" s="182">
        <f>$I$6</f>
        <v>0</v>
      </c>
      <c r="C32" s="461">
        <f>$A$6</f>
        <v>0</v>
      </c>
      <c r="D32" s="461"/>
      <c r="E32" s="461"/>
      <c r="F32" s="461"/>
      <c r="G32" s="461"/>
      <c r="H32" s="461"/>
      <c r="I32" s="442"/>
      <c r="J32" s="76"/>
      <c r="K32" s="83"/>
      <c r="L32" s="77" t="s">
        <v>7</v>
      </c>
      <c r="M32" s="78">
        <f>K32*B32/100</f>
        <v>0</v>
      </c>
      <c r="N32" s="79"/>
      <c r="O32" s="128"/>
      <c r="P32" s="77" t="s">
        <v>7</v>
      </c>
      <c r="Q32" s="444"/>
      <c r="R32" s="137"/>
      <c r="S32" s="75" t="s">
        <v>9</v>
      </c>
      <c r="T32" s="81">
        <f>R32-M32</f>
        <v>0</v>
      </c>
      <c r="U32" s="131"/>
      <c r="V32" s="131"/>
      <c r="W32" s="132"/>
      <c r="X32" s="133"/>
      <c r="Y32" s="446"/>
      <c r="Z32" s="134"/>
      <c r="AA32" s="135"/>
      <c r="AB32" s="362"/>
      <c r="AC32" s="466"/>
      <c r="AD32" s="467"/>
      <c r="AE32" s="467"/>
      <c r="AF32" s="467"/>
    </row>
    <row r="33" spans="1:32" s="203" customFormat="1" ht="69.95" customHeight="1" x14ac:dyDescent="0.15">
      <c r="A33" s="464" t="s">
        <v>116</v>
      </c>
      <c r="B33" s="191">
        <f>$I$5</f>
        <v>514</v>
      </c>
      <c r="C33" s="465" t="str">
        <f>$A$5</f>
        <v>BK</v>
      </c>
      <c r="D33" s="465"/>
      <c r="E33" s="465"/>
      <c r="F33" s="465"/>
      <c r="G33" s="465"/>
      <c r="H33" s="465"/>
      <c r="I33" s="433" t="s">
        <v>76</v>
      </c>
      <c r="J33" s="192"/>
      <c r="K33" s="209"/>
      <c r="L33" s="194" t="s">
        <v>7</v>
      </c>
      <c r="M33" s="195">
        <f>K33*B33/50</f>
        <v>0</v>
      </c>
      <c r="N33" s="196"/>
      <c r="O33" s="195"/>
      <c r="P33" s="197" t="s">
        <v>7</v>
      </c>
      <c r="Q33" s="435"/>
      <c r="R33" s="195"/>
      <c r="S33" s="197" t="s">
        <v>9</v>
      </c>
      <c r="T33" s="198">
        <f t="shared" si="3"/>
        <v>0</v>
      </c>
      <c r="U33" s="199"/>
      <c r="V33" s="200"/>
      <c r="W33" s="195"/>
      <c r="X33" s="195"/>
      <c r="Y33" s="437" t="s">
        <v>94</v>
      </c>
      <c r="Z33" s="201"/>
      <c r="AA33" s="202"/>
      <c r="AB33" s="439"/>
    </row>
    <row r="34" spans="1:32" s="203" customFormat="1" ht="69.95" customHeight="1" x14ac:dyDescent="0.15">
      <c r="A34" s="464"/>
      <c r="B34" s="191">
        <f>$I$6</f>
        <v>0</v>
      </c>
      <c r="C34" s="465">
        <f>$A$6</f>
        <v>0</v>
      </c>
      <c r="D34" s="465"/>
      <c r="E34" s="465"/>
      <c r="F34" s="465"/>
      <c r="G34" s="465"/>
      <c r="H34" s="465"/>
      <c r="I34" s="434"/>
      <c r="J34" s="192"/>
      <c r="K34" s="208"/>
      <c r="L34" s="194" t="s">
        <v>7</v>
      </c>
      <c r="M34" s="195">
        <f>K34*B34/50</f>
        <v>0</v>
      </c>
      <c r="N34" s="196"/>
      <c r="O34" s="210"/>
      <c r="P34" s="194" t="s">
        <v>7</v>
      </c>
      <c r="Q34" s="436"/>
      <c r="R34" s="200"/>
      <c r="S34" s="207" t="s">
        <v>9</v>
      </c>
      <c r="T34" s="198">
        <f t="shared" si="3"/>
        <v>0</v>
      </c>
      <c r="U34" s="211"/>
      <c r="V34" s="211"/>
      <c r="W34" s="212"/>
      <c r="X34" s="213"/>
      <c r="Y34" s="438"/>
      <c r="Z34" s="214"/>
      <c r="AA34" s="202"/>
      <c r="AB34" s="440"/>
      <c r="AC34" s="466"/>
      <c r="AD34" s="467"/>
      <c r="AE34" s="467"/>
      <c r="AF34" s="467"/>
    </row>
    <row r="35" spans="1:32" s="143" customFormat="1" ht="69.95" customHeight="1" x14ac:dyDescent="0.15">
      <c r="A35" s="431" t="s">
        <v>88</v>
      </c>
      <c r="B35" s="182">
        <f>$I$5</f>
        <v>514</v>
      </c>
      <c r="C35" s="461" t="str">
        <f>$A$5</f>
        <v>BK</v>
      </c>
      <c r="D35" s="461"/>
      <c r="E35" s="461"/>
      <c r="F35" s="461" t="str">
        <f>$A$5</f>
        <v>BK</v>
      </c>
      <c r="G35" s="461"/>
      <c r="H35" s="461"/>
      <c r="I35" s="441" t="s">
        <v>62</v>
      </c>
      <c r="J35" s="76"/>
      <c r="K35" s="139">
        <v>250</v>
      </c>
      <c r="L35" s="77" t="s">
        <v>61</v>
      </c>
      <c r="M35" s="78">
        <f t="shared" ref="M35:M36" si="5">K35*B35/2500</f>
        <v>51.4</v>
      </c>
      <c r="N35" s="79"/>
      <c r="O35" s="78"/>
      <c r="P35" s="80" t="s">
        <v>10</v>
      </c>
      <c r="Q35" s="443">
        <v>46064</v>
      </c>
      <c r="R35" s="78">
        <v>52</v>
      </c>
      <c r="S35" s="80" t="s">
        <v>10</v>
      </c>
      <c r="T35" s="81">
        <f t="shared" si="3"/>
        <v>0.60000000000000142</v>
      </c>
      <c r="U35" s="82"/>
      <c r="V35" s="137"/>
      <c r="W35" s="78"/>
      <c r="X35" s="78"/>
      <c r="Y35" s="445" t="s">
        <v>94</v>
      </c>
      <c r="Z35" s="141"/>
      <c r="AA35" s="135"/>
      <c r="AB35" s="360" t="s">
        <v>336</v>
      </c>
    </row>
    <row r="36" spans="1:32" s="55" customFormat="1" ht="69.95" customHeight="1" x14ac:dyDescent="0.15">
      <c r="A36" s="432"/>
      <c r="B36" s="186">
        <f>$I$6</f>
        <v>0</v>
      </c>
      <c r="C36" s="395">
        <f>$A$6</f>
        <v>0</v>
      </c>
      <c r="D36" s="396"/>
      <c r="E36" s="397"/>
      <c r="F36" s="395">
        <f>$A$6</f>
        <v>0</v>
      </c>
      <c r="G36" s="396"/>
      <c r="H36" s="397"/>
      <c r="I36" s="442"/>
      <c r="J36" s="144"/>
      <c r="K36" s="139"/>
      <c r="L36" s="145" t="s">
        <v>61</v>
      </c>
      <c r="M36" s="78">
        <f t="shared" si="5"/>
        <v>0</v>
      </c>
      <c r="N36" s="146"/>
      <c r="O36" s="147"/>
      <c r="P36" s="145" t="s">
        <v>10</v>
      </c>
      <c r="Q36" s="444"/>
      <c r="R36" s="161"/>
      <c r="S36" s="148" t="s">
        <v>10</v>
      </c>
      <c r="T36" s="84">
        <f t="shared" si="3"/>
        <v>0</v>
      </c>
      <c r="U36" s="149"/>
      <c r="V36" s="149"/>
      <c r="W36" s="150"/>
      <c r="X36" s="151"/>
      <c r="Y36" s="446"/>
      <c r="Z36" s="216"/>
      <c r="AA36" s="217"/>
      <c r="AB36" s="362"/>
      <c r="AC36" s="471"/>
      <c r="AD36" s="472"/>
      <c r="AE36" s="472"/>
      <c r="AF36" s="472"/>
    </row>
    <row r="37" spans="1:32" s="143" customFormat="1" ht="69.95" customHeight="1" x14ac:dyDescent="0.15">
      <c r="A37" s="431" t="s">
        <v>147</v>
      </c>
      <c r="B37" s="191">
        <f>$I$5</f>
        <v>514</v>
      </c>
      <c r="C37" s="465" t="str">
        <f>$A$5</f>
        <v>BK</v>
      </c>
      <c r="D37" s="465"/>
      <c r="E37" s="465"/>
      <c r="F37" s="465" t="str">
        <f>$A$5</f>
        <v>BK</v>
      </c>
      <c r="G37" s="465"/>
      <c r="H37" s="465"/>
      <c r="I37" s="433" t="s">
        <v>60</v>
      </c>
      <c r="J37" s="192"/>
      <c r="K37" s="193">
        <v>50</v>
      </c>
      <c r="L37" s="194" t="s">
        <v>61</v>
      </c>
      <c r="M37" s="195">
        <f>K37*B37/4000</f>
        <v>6.4249999999999998</v>
      </c>
      <c r="N37" s="196"/>
      <c r="O37" s="195"/>
      <c r="P37" s="197" t="s">
        <v>10</v>
      </c>
      <c r="Q37" s="435"/>
      <c r="R37" s="195"/>
      <c r="S37" s="197" t="s">
        <v>10</v>
      </c>
      <c r="T37" s="198">
        <f t="shared" si="3"/>
        <v>-6.4249999999999998</v>
      </c>
      <c r="U37" s="199"/>
      <c r="V37" s="200"/>
      <c r="W37" s="195"/>
      <c r="X37" s="195"/>
      <c r="Y37" s="437" t="s">
        <v>94</v>
      </c>
      <c r="Z37" s="201"/>
      <c r="AA37" s="202"/>
      <c r="AB37" s="439"/>
    </row>
    <row r="38" spans="1:32" s="55" customFormat="1" ht="69.95" customHeight="1" x14ac:dyDescent="0.15">
      <c r="A38" s="432"/>
      <c r="B38" s="204">
        <f>$I$6</f>
        <v>0</v>
      </c>
      <c r="C38" s="453">
        <f>$A$6</f>
        <v>0</v>
      </c>
      <c r="D38" s="454"/>
      <c r="E38" s="455"/>
      <c r="F38" s="453">
        <f>$A$6</f>
        <v>0</v>
      </c>
      <c r="G38" s="454"/>
      <c r="H38" s="455"/>
      <c r="I38" s="434"/>
      <c r="J38" s="218"/>
      <c r="K38" s="193">
        <v>50</v>
      </c>
      <c r="L38" s="219" t="s">
        <v>61</v>
      </c>
      <c r="M38" s="195">
        <f>K38*B38/4000</f>
        <v>0</v>
      </c>
      <c r="N38" s="220"/>
      <c r="O38" s="221"/>
      <c r="P38" s="219" t="s">
        <v>10</v>
      </c>
      <c r="Q38" s="436"/>
      <c r="R38" s="222"/>
      <c r="S38" s="215" t="s">
        <v>10</v>
      </c>
      <c r="T38" s="205">
        <f t="shared" si="3"/>
        <v>0</v>
      </c>
      <c r="U38" s="223"/>
      <c r="V38" s="223"/>
      <c r="W38" s="224"/>
      <c r="X38" s="225"/>
      <c r="Y38" s="438"/>
      <c r="Z38" s="226"/>
      <c r="AA38" s="227"/>
      <c r="AB38" s="440"/>
      <c r="AC38" s="471"/>
      <c r="AD38" s="472"/>
      <c r="AE38" s="472"/>
      <c r="AF38" s="472"/>
    </row>
    <row r="39" spans="1:32" s="143" customFormat="1" ht="69.95" customHeight="1" x14ac:dyDescent="0.15">
      <c r="A39" s="431" t="s">
        <v>253</v>
      </c>
      <c r="B39" s="191">
        <f>$I$5</f>
        <v>514</v>
      </c>
      <c r="C39" s="465" t="str">
        <f>$A$5</f>
        <v>BK</v>
      </c>
      <c r="D39" s="465"/>
      <c r="E39" s="465"/>
      <c r="F39" s="465" t="str">
        <f>$A$5</f>
        <v>BK</v>
      </c>
      <c r="G39" s="465"/>
      <c r="H39" s="465"/>
      <c r="I39" s="433" t="s">
        <v>254</v>
      </c>
      <c r="J39" s="192"/>
      <c r="K39" s="193">
        <v>10</v>
      </c>
      <c r="L39" s="194" t="s">
        <v>61</v>
      </c>
      <c r="M39" s="195">
        <f>K39*B39/6000</f>
        <v>0.85666666666666669</v>
      </c>
      <c r="N39" s="196"/>
      <c r="O39" s="195"/>
      <c r="P39" s="197" t="s">
        <v>10</v>
      </c>
      <c r="Q39" s="435"/>
      <c r="R39" s="195"/>
      <c r="S39" s="197" t="s">
        <v>10</v>
      </c>
      <c r="T39" s="198">
        <f t="shared" si="3"/>
        <v>-0.85666666666666669</v>
      </c>
      <c r="U39" s="199"/>
      <c r="V39" s="200"/>
      <c r="W39" s="195"/>
      <c r="X39" s="195"/>
      <c r="Y39" s="437" t="s">
        <v>94</v>
      </c>
      <c r="Z39" s="201"/>
      <c r="AA39" s="202"/>
      <c r="AB39" s="439"/>
    </row>
    <row r="40" spans="1:32" s="55" customFormat="1" ht="69.95" customHeight="1" x14ac:dyDescent="0.15">
      <c r="A40" s="432"/>
      <c r="B40" s="204">
        <f>$I$6</f>
        <v>0</v>
      </c>
      <c r="C40" s="453">
        <f>$A$6</f>
        <v>0</v>
      </c>
      <c r="D40" s="454"/>
      <c r="E40" s="455"/>
      <c r="F40" s="453">
        <f>$A$6</f>
        <v>0</v>
      </c>
      <c r="G40" s="454"/>
      <c r="H40" s="455"/>
      <c r="I40" s="434"/>
      <c r="J40" s="218"/>
      <c r="K40" s="193">
        <v>10</v>
      </c>
      <c r="L40" s="219" t="s">
        <v>61</v>
      </c>
      <c r="M40" s="195">
        <f>K40*B40/6000</f>
        <v>0</v>
      </c>
      <c r="N40" s="220"/>
      <c r="O40" s="221"/>
      <c r="P40" s="219" t="s">
        <v>10</v>
      </c>
      <c r="Q40" s="436"/>
      <c r="R40" s="222"/>
      <c r="S40" s="215" t="s">
        <v>10</v>
      </c>
      <c r="T40" s="205">
        <f t="shared" si="3"/>
        <v>0</v>
      </c>
      <c r="U40" s="223"/>
      <c r="V40" s="223"/>
      <c r="W40" s="224"/>
      <c r="X40" s="225"/>
      <c r="Y40" s="438"/>
      <c r="Z40" s="226"/>
      <c r="AA40" s="227"/>
      <c r="AB40" s="440"/>
      <c r="AC40" s="471"/>
      <c r="AD40" s="472"/>
      <c r="AE40" s="472"/>
      <c r="AF40" s="472"/>
    </row>
    <row r="41" spans="1:32" s="206" customFormat="1" ht="69.95" customHeight="1" x14ac:dyDescent="0.15">
      <c r="A41" s="431" t="s">
        <v>117</v>
      </c>
      <c r="B41" s="191">
        <f t="shared" ref="B41:B43" si="6">$I$5</f>
        <v>514</v>
      </c>
      <c r="C41" s="422" t="str">
        <f t="shared" ref="C41:C43" si="7">$A$5</f>
        <v>BK</v>
      </c>
      <c r="D41" s="423"/>
      <c r="E41" s="424"/>
      <c r="F41" s="425"/>
      <c r="G41" s="423"/>
      <c r="H41" s="424"/>
      <c r="I41" s="433" t="s">
        <v>80</v>
      </c>
      <c r="J41" s="192"/>
      <c r="K41" s="193"/>
      <c r="L41" s="194" t="s">
        <v>65</v>
      </c>
      <c r="M41" s="195">
        <f t="shared" ref="M41:M56" si="8">K41*B41</f>
        <v>0</v>
      </c>
      <c r="N41" s="196"/>
      <c r="O41" s="195"/>
      <c r="P41" s="194" t="s">
        <v>65</v>
      </c>
      <c r="Q41" s="435"/>
      <c r="R41" s="195"/>
      <c r="S41" s="194" t="s">
        <v>65</v>
      </c>
      <c r="T41" s="205">
        <f t="shared" si="3"/>
        <v>0</v>
      </c>
      <c r="U41" s="199"/>
      <c r="V41" s="199"/>
      <c r="W41" s="208"/>
      <c r="X41" s="198"/>
      <c r="Y41" s="437" t="s">
        <v>57</v>
      </c>
      <c r="Z41" s="231"/>
      <c r="AA41" s="232"/>
      <c r="AB41" s="439"/>
    </row>
    <row r="42" spans="1:32" s="206" customFormat="1" ht="69.95" customHeight="1" x14ac:dyDescent="0.15">
      <c r="A42" s="432"/>
      <c r="B42" s="204">
        <f>$I$6</f>
        <v>0</v>
      </c>
      <c r="C42" s="453">
        <f>$A$6</f>
        <v>0</v>
      </c>
      <c r="D42" s="454"/>
      <c r="E42" s="455"/>
      <c r="F42" s="425"/>
      <c r="G42" s="423"/>
      <c r="H42" s="424"/>
      <c r="I42" s="434"/>
      <c r="J42" s="192"/>
      <c r="K42" s="193"/>
      <c r="L42" s="194" t="s">
        <v>65</v>
      </c>
      <c r="M42" s="195">
        <f t="shared" si="8"/>
        <v>0</v>
      </c>
      <c r="N42" s="233"/>
      <c r="O42" s="195"/>
      <c r="P42" s="194" t="s">
        <v>65</v>
      </c>
      <c r="Q42" s="436"/>
      <c r="R42" s="195"/>
      <c r="S42" s="194" t="s">
        <v>65</v>
      </c>
      <c r="T42" s="198">
        <f t="shared" si="3"/>
        <v>0</v>
      </c>
      <c r="U42" s="199"/>
      <c r="V42" s="200"/>
      <c r="W42" s="195"/>
      <c r="X42" s="195"/>
      <c r="Y42" s="438"/>
      <c r="Z42" s="201"/>
      <c r="AA42" s="202"/>
      <c r="AB42" s="440"/>
      <c r="AC42" s="234"/>
      <c r="AD42" s="230"/>
      <c r="AE42" s="230"/>
      <c r="AF42" s="230"/>
    </row>
    <row r="43" spans="1:32" s="206" customFormat="1" ht="69.95" customHeight="1" x14ac:dyDescent="0.15">
      <c r="A43" s="431" t="s">
        <v>78</v>
      </c>
      <c r="B43" s="191">
        <f t="shared" si="6"/>
        <v>514</v>
      </c>
      <c r="C43" s="422" t="str">
        <f t="shared" si="7"/>
        <v>BK</v>
      </c>
      <c r="D43" s="423"/>
      <c r="E43" s="424"/>
      <c r="F43" s="425"/>
      <c r="G43" s="423"/>
      <c r="H43" s="424"/>
      <c r="I43" s="207"/>
      <c r="J43" s="192"/>
      <c r="K43" s="193"/>
      <c r="L43" s="194" t="s">
        <v>65</v>
      </c>
      <c r="M43" s="195">
        <f t="shared" si="8"/>
        <v>0</v>
      </c>
      <c r="N43" s="196"/>
      <c r="O43" s="195"/>
      <c r="P43" s="194" t="s">
        <v>65</v>
      </c>
      <c r="Q43" s="435"/>
      <c r="R43" s="195"/>
      <c r="S43" s="194" t="s">
        <v>65</v>
      </c>
      <c r="T43" s="205">
        <f t="shared" si="3"/>
        <v>0</v>
      </c>
      <c r="U43" s="199"/>
      <c r="V43" s="199"/>
      <c r="W43" s="208"/>
      <c r="X43" s="198"/>
      <c r="Y43" s="437" t="s">
        <v>57</v>
      </c>
      <c r="Z43" s="231"/>
      <c r="AA43" s="232"/>
      <c r="AB43" s="439"/>
    </row>
    <row r="44" spans="1:32" s="206" customFormat="1" ht="69.95" customHeight="1" x14ac:dyDescent="0.15">
      <c r="A44" s="432"/>
      <c r="B44" s="204">
        <f>$I$6</f>
        <v>0</v>
      </c>
      <c r="C44" s="453">
        <f>$A$6</f>
        <v>0</v>
      </c>
      <c r="D44" s="454"/>
      <c r="E44" s="455"/>
      <c r="F44" s="425"/>
      <c r="G44" s="423"/>
      <c r="H44" s="424"/>
      <c r="I44" s="207"/>
      <c r="J44" s="192"/>
      <c r="K44" s="193"/>
      <c r="L44" s="194" t="s">
        <v>65</v>
      </c>
      <c r="M44" s="195">
        <f t="shared" si="8"/>
        <v>0</v>
      </c>
      <c r="N44" s="233"/>
      <c r="O44" s="195"/>
      <c r="P44" s="194" t="s">
        <v>65</v>
      </c>
      <c r="Q44" s="436"/>
      <c r="R44" s="195"/>
      <c r="S44" s="194" t="s">
        <v>65</v>
      </c>
      <c r="T44" s="198">
        <f t="shared" si="3"/>
        <v>0</v>
      </c>
      <c r="U44" s="199"/>
      <c r="V44" s="200"/>
      <c r="W44" s="195"/>
      <c r="X44" s="195"/>
      <c r="Y44" s="438"/>
      <c r="Z44" s="201"/>
      <c r="AA44" s="202"/>
      <c r="AB44" s="440"/>
      <c r="AC44" s="234"/>
      <c r="AD44" s="230"/>
      <c r="AE44" s="230"/>
      <c r="AF44" s="230"/>
    </row>
    <row r="45" spans="1:32" s="55" customFormat="1" ht="69.95" customHeight="1" x14ac:dyDescent="0.15">
      <c r="A45" s="431" t="s">
        <v>100</v>
      </c>
      <c r="B45" s="191">
        <f t="shared" ref="B45:B53" si="9">$I$5</f>
        <v>514</v>
      </c>
      <c r="C45" s="422" t="str">
        <f t="shared" ref="C45:C53" si="10">$A$5</f>
        <v>BK</v>
      </c>
      <c r="D45" s="423"/>
      <c r="E45" s="424"/>
      <c r="F45" s="425"/>
      <c r="G45" s="423"/>
      <c r="H45" s="424"/>
      <c r="I45" s="207" t="s">
        <v>101</v>
      </c>
      <c r="J45" s="192"/>
      <c r="K45" s="193"/>
      <c r="L45" s="194" t="s">
        <v>63</v>
      </c>
      <c r="M45" s="195">
        <f t="shared" si="8"/>
        <v>0</v>
      </c>
      <c r="N45" s="196"/>
      <c r="O45" s="195"/>
      <c r="P45" s="197" t="s">
        <v>63</v>
      </c>
      <c r="Q45" s="435"/>
      <c r="R45" s="195"/>
      <c r="S45" s="197" t="s">
        <v>63</v>
      </c>
      <c r="T45" s="205">
        <f t="shared" si="3"/>
        <v>0</v>
      </c>
      <c r="U45" s="199"/>
      <c r="V45" s="199"/>
      <c r="W45" s="208"/>
      <c r="X45" s="198"/>
      <c r="Y45" s="437" t="s">
        <v>94</v>
      </c>
      <c r="Z45" s="231"/>
      <c r="AA45" s="232"/>
      <c r="AB45" s="439"/>
    </row>
    <row r="46" spans="1:32" s="55" customFormat="1" ht="69.95" customHeight="1" x14ac:dyDescent="0.15">
      <c r="A46" s="432"/>
      <c r="B46" s="204">
        <f>$I$6</f>
        <v>0</v>
      </c>
      <c r="C46" s="453">
        <f>$A$6</f>
        <v>0</v>
      </c>
      <c r="D46" s="454"/>
      <c r="E46" s="455"/>
      <c r="F46" s="425"/>
      <c r="G46" s="423"/>
      <c r="H46" s="424"/>
      <c r="I46" s="207" t="s">
        <v>101</v>
      </c>
      <c r="J46" s="192"/>
      <c r="K46" s="193"/>
      <c r="L46" s="194" t="s">
        <v>63</v>
      </c>
      <c r="M46" s="195">
        <f t="shared" si="8"/>
        <v>0</v>
      </c>
      <c r="N46" s="233"/>
      <c r="O46" s="195"/>
      <c r="P46" s="197" t="s">
        <v>63</v>
      </c>
      <c r="Q46" s="436"/>
      <c r="R46" s="195"/>
      <c r="S46" s="197" t="s">
        <v>63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440"/>
      <c r="AC46" s="142"/>
      <c r="AD46" s="179"/>
      <c r="AE46" s="179"/>
      <c r="AF46" s="179"/>
    </row>
    <row r="47" spans="1:32" s="206" customFormat="1" ht="69.95" customHeight="1" x14ac:dyDescent="0.15">
      <c r="A47" s="431" t="s">
        <v>265</v>
      </c>
      <c r="B47" s="191">
        <f t="shared" ref="B47" si="11">$I$5</f>
        <v>514</v>
      </c>
      <c r="C47" s="422" t="str">
        <f t="shared" si="10"/>
        <v>BK</v>
      </c>
      <c r="D47" s="423"/>
      <c r="E47" s="424"/>
      <c r="F47" s="425"/>
      <c r="G47" s="426"/>
      <c r="H47" s="427"/>
      <c r="I47" s="215"/>
      <c r="J47" s="192"/>
      <c r="K47" s="193">
        <v>2</v>
      </c>
      <c r="L47" s="194" t="s">
        <v>267</v>
      </c>
      <c r="M47" s="321">
        <f t="shared" si="8"/>
        <v>1028</v>
      </c>
      <c r="N47" s="233"/>
      <c r="O47" s="195"/>
      <c r="P47" s="197"/>
      <c r="Q47" s="317"/>
      <c r="R47" s="195"/>
      <c r="S47" s="197" t="s">
        <v>264</v>
      </c>
      <c r="T47" s="322">
        <f t="shared" si="3"/>
        <v>-1028</v>
      </c>
      <c r="U47" s="199"/>
      <c r="V47" s="200"/>
      <c r="W47" s="195"/>
      <c r="X47" s="195"/>
      <c r="Y47" s="437" t="s">
        <v>64</v>
      </c>
      <c r="Z47" s="201"/>
      <c r="AA47" s="202"/>
      <c r="AB47" s="439"/>
      <c r="AC47" s="234"/>
      <c r="AD47" s="230"/>
      <c r="AE47" s="230"/>
      <c r="AF47" s="230"/>
    </row>
    <row r="48" spans="1:32" s="206" customFormat="1" ht="69.95" customHeight="1" x14ac:dyDescent="0.15">
      <c r="A48" s="432"/>
      <c r="B48" s="204">
        <f>$I$6</f>
        <v>0</v>
      </c>
      <c r="C48" s="422">
        <f>$A$6</f>
        <v>0</v>
      </c>
      <c r="D48" s="423"/>
      <c r="E48" s="424"/>
      <c r="F48" s="425"/>
      <c r="G48" s="426"/>
      <c r="H48" s="427"/>
      <c r="I48" s="215"/>
      <c r="J48" s="192"/>
      <c r="K48" s="193">
        <v>2</v>
      </c>
      <c r="L48" s="194" t="s">
        <v>267</v>
      </c>
      <c r="M48" s="321">
        <f t="shared" si="8"/>
        <v>0</v>
      </c>
      <c r="N48" s="233"/>
      <c r="O48" s="195"/>
      <c r="P48" s="197"/>
      <c r="Q48" s="317"/>
      <c r="R48" s="195"/>
      <c r="S48" s="197" t="s">
        <v>264</v>
      </c>
      <c r="T48" s="322">
        <f t="shared" si="3"/>
        <v>0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206" customFormat="1" ht="69.95" customHeight="1" x14ac:dyDescent="0.15">
      <c r="A49" s="431" t="s">
        <v>90</v>
      </c>
      <c r="B49" s="182">
        <f t="shared" si="9"/>
        <v>514</v>
      </c>
      <c r="C49" s="368" t="str">
        <f t="shared" si="10"/>
        <v>BK</v>
      </c>
      <c r="D49" s="369"/>
      <c r="E49" s="370"/>
      <c r="F49" s="428"/>
      <c r="G49" s="429"/>
      <c r="H49" s="430"/>
      <c r="I49" s="75" t="s">
        <v>79</v>
      </c>
      <c r="J49" s="76"/>
      <c r="K49" s="139">
        <v>3</v>
      </c>
      <c r="L49" s="77" t="s">
        <v>63</v>
      </c>
      <c r="M49" s="78">
        <f t="shared" si="8"/>
        <v>1542</v>
      </c>
      <c r="N49" s="79"/>
      <c r="O49" s="78"/>
      <c r="P49" s="80" t="s">
        <v>63</v>
      </c>
      <c r="Q49" s="443">
        <v>46101</v>
      </c>
      <c r="R49" s="78">
        <v>1542</v>
      </c>
      <c r="S49" s="80" t="s">
        <v>63</v>
      </c>
      <c r="T49" s="84">
        <f t="shared" si="3"/>
        <v>0</v>
      </c>
      <c r="U49" s="82"/>
      <c r="V49" s="82"/>
      <c r="W49" s="83"/>
      <c r="X49" s="81"/>
      <c r="Y49" s="445" t="s">
        <v>64</v>
      </c>
      <c r="Z49" s="86"/>
      <c r="AA49" s="85"/>
      <c r="AB49" s="360" t="s">
        <v>337</v>
      </c>
    </row>
    <row r="50" spans="1:32" s="206" customFormat="1" ht="69.95" customHeight="1" x14ac:dyDescent="0.15">
      <c r="A50" s="432"/>
      <c r="B50" s="186">
        <f>$I$6</f>
        <v>0</v>
      </c>
      <c r="C50" s="368">
        <f>$A$6</f>
        <v>0</v>
      </c>
      <c r="D50" s="369"/>
      <c r="E50" s="370"/>
      <c r="F50" s="428"/>
      <c r="G50" s="429"/>
      <c r="H50" s="430"/>
      <c r="I50" s="75" t="s">
        <v>79</v>
      </c>
      <c r="J50" s="76"/>
      <c r="K50" s="139"/>
      <c r="L50" s="77" t="s">
        <v>63</v>
      </c>
      <c r="M50" s="78">
        <f t="shared" si="8"/>
        <v>0</v>
      </c>
      <c r="N50" s="140"/>
      <c r="O50" s="78"/>
      <c r="P50" s="80" t="s">
        <v>63</v>
      </c>
      <c r="Q50" s="444"/>
      <c r="R50" s="78"/>
      <c r="S50" s="80" t="s">
        <v>63</v>
      </c>
      <c r="T50" s="81">
        <f t="shared" si="3"/>
        <v>0</v>
      </c>
      <c r="U50" s="82"/>
      <c r="V50" s="137"/>
      <c r="W50" s="78"/>
      <c r="X50" s="78"/>
      <c r="Y50" s="446"/>
      <c r="Z50" s="141"/>
      <c r="AA50" s="135"/>
      <c r="AB50" s="362"/>
      <c r="AC50" s="234"/>
      <c r="AD50" s="230"/>
      <c r="AE50" s="230"/>
      <c r="AF50" s="230"/>
    </row>
    <row r="51" spans="1:32" s="55" customFormat="1" ht="69.95" customHeight="1" x14ac:dyDescent="0.15">
      <c r="A51" s="431" t="s">
        <v>91</v>
      </c>
      <c r="B51" s="191">
        <f t="shared" si="9"/>
        <v>514</v>
      </c>
      <c r="C51" s="422" t="str">
        <f t="shared" si="10"/>
        <v>BK</v>
      </c>
      <c r="D51" s="423"/>
      <c r="E51" s="424"/>
      <c r="F51" s="425"/>
      <c r="G51" s="426"/>
      <c r="H51" s="427"/>
      <c r="I51" s="207" t="s">
        <v>75</v>
      </c>
      <c r="J51" s="192"/>
      <c r="K51" s="193"/>
      <c r="L51" s="194" t="s">
        <v>63</v>
      </c>
      <c r="M51" s="195">
        <f t="shared" si="8"/>
        <v>0</v>
      </c>
      <c r="N51" s="196"/>
      <c r="O51" s="195"/>
      <c r="P51" s="197" t="s">
        <v>63</v>
      </c>
      <c r="Q51" s="435"/>
      <c r="R51" s="195"/>
      <c r="S51" s="197" t="s">
        <v>63</v>
      </c>
      <c r="T51" s="205">
        <f t="shared" si="3"/>
        <v>0</v>
      </c>
      <c r="U51" s="199"/>
      <c r="V51" s="199"/>
      <c r="W51" s="208"/>
      <c r="X51" s="198"/>
      <c r="Y51" s="437" t="s">
        <v>64</v>
      </c>
      <c r="Z51" s="231"/>
      <c r="AA51" s="232"/>
      <c r="AB51" s="439"/>
    </row>
    <row r="52" spans="1:32" s="55" customFormat="1" ht="69.95" customHeight="1" x14ac:dyDescent="0.15">
      <c r="A52" s="432"/>
      <c r="B52" s="204">
        <f>$I$6</f>
        <v>0</v>
      </c>
      <c r="C52" s="422">
        <f>$A$6</f>
        <v>0</v>
      </c>
      <c r="D52" s="423"/>
      <c r="E52" s="424"/>
      <c r="F52" s="425"/>
      <c r="G52" s="426"/>
      <c r="H52" s="427"/>
      <c r="I52" s="207" t="s">
        <v>75</v>
      </c>
      <c r="J52" s="192"/>
      <c r="K52" s="193"/>
      <c r="L52" s="194" t="s">
        <v>63</v>
      </c>
      <c r="M52" s="195">
        <f t="shared" si="8"/>
        <v>0</v>
      </c>
      <c r="N52" s="233"/>
      <c r="O52" s="195"/>
      <c r="P52" s="197" t="s">
        <v>63</v>
      </c>
      <c r="Q52" s="436"/>
      <c r="R52" s="195"/>
      <c r="S52" s="197" t="s">
        <v>63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  <c r="AC52" s="142"/>
      <c r="AD52" s="179"/>
      <c r="AE52" s="179"/>
      <c r="AF52" s="179"/>
    </row>
    <row r="53" spans="1:32" s="55" customFormat="1" ht="69.95" customHeight="1" x14ac:dyDescent="0.15">
      <c r="A53" s="431" t="s">
        <v>255</v>
      </c>
      <c r="B53" s="191">
        <f t="shared" si="9"/>
        <v>514</v>
      </c>
      <c r="C53" s="422" t="str">
        <f t="shared" si="10"/>
        <v>BK</v>
      </c>
      <c r="D53" s="423"/>
      <c r="E53" s="424"/>
      <c r="F53" s="425"/>
      <c r="G53" s="426"/>
      <c r="H53" s="427"/>
      <c r="I53" s="207" t="s">
        <v>79</v>
      </c>
      <c r="J53" s="192"/>
      <c r="K53" s="193">
        <v>4</v>
      </c>
      <c r="L53" s="194" t="s">
        <v>65</v>
      </c>
      <c r="M53" s="195">
        <f t="shared" si="8"/>
        <v>2056</v>
      </c>
      <c r="N53" s="196"/>
      <c r="O53" s="195"/>
      <c r="P53" s="197" t="s">
        <v>63</v>
      </c>
      <c r="Q53" s="435"/>
      <c r="R53" s="195"/>
      <c r="S53" s="197" t="s">
        <v>63</v>
      </c>
      <c r="T53" s="205">
        <f t="shared" si="3"/>
        <v>-2056</v>
      </c>
      <c r="U53" s="199"/>
      <c r="V53" s="199"/>
      <c r="W53" s="208"/>
      <c r="X53" s="198"/>
      <c r="Y53" s="437" t="s">
        <v>64</v>
      </c>
      <c r="Z53" s="231"/>
      <c r="AA53" s="232"/>
      <c r="AB53" s="439"/>
    </row>
    <row r="54" spans="1:32" s="55" customFormat="1" ht="69.95" customHeight="1" x14ac:dyDescent="0.15">
      <c r="A54" s="432"/>
      <c r="B54" s="204">
        <f>$I$6</f>
        <v>0</v>
      </c>
      <c r="C54" s="422">
        <f>$A$6</f>
        <v>0</v>
      </c>
      <c r="D54" s="423"/>
      <c r="E54" s="424"/>
      <c r="F54" s="425"/>
      <c r="G54" s="426"/>
      <c r="H54" s="427"/>
      <c r="I54" s="207" t="s">
        <v>79</v>
      </c>
      <c r="J54" s="192"/>
      <c r="K54" s="193">
        <v>4</v>
      </c>
      <c r="L54" s="194" t="s">
        <v>65</v>
      </c>
      <c r="M54" s="195">
        <f t="shared" si="8"/>
        <v>0</v>
      </c>
      <c r="N54" s="233"/>
      <c r="O54" s="195"/>
      <c r="P54" s="197" t="s">
        <v>63</v>
      </c>
      <c r="Q54" s="436"/>
      <c r="R54" s="195"/>
      <c r="S54" s="197" t="s">
        <v>63</v>
      </c>
      <c r="T54" s="198">
        <f t="shared" si="3"/>
        <v>0</v>
      </c>
      <c r="U54" s="199"/>
      <c r="V54" s="200"/>
      <c r="W54" s="195"/>
      <c r="X54" s="195"/>
      <c r="Y54" s="438"/>
      <c r="Z54" s="201"/>
      <c r="AA54" s="202"/>
      <c r="AB54" s="440"/>
      <c r="AC54" s="142"/>
      <c r="AD54" s="179"/>
      <c r="AE54" s="179"/>
      <c r="AF54" s="179"/>
    </row>
    <row r="55" spans="1:32" s="55" customFormat="1" ht="69.95" customHeight="1" x14ac:dyDescent="0.15">
      <c r="A55" s="431" t="s">
        <v>103</v>
      </c>
      <c r="B55" s="191">
        <f t="shared" ref="B55" si="12">$I$5</f>
        <v>514</v>
      </c>
      <c r="C55" s="422" t="str">
        <f t="shared" ref="C55" si="13">$A$5</f>
        <v>BK</v>
      </c>
      <c r="D55" s="423"/>
      <c r="E55" s="424"/>
      <c r="F55" s="425"/>
      <c r="G55" s="426"/>
      <c r="H55" s="427"/>
      <c r="I55" s="207"/>
      <c r="J55" s="192"/>
      <c r="K55" s="193"/>
      <c r="L55" s="194" t="s">
        <v>65</v>
      </c>
      <c r="M55" s="195">
        <f t="shared" si="8"/>
        <v>0</v>
      </c>
      <c r="N55" s="196"/>
      <c r="O55" s="195"/>
      <c r="P55" s="197" t="s">
        <v>65</v>
      </c>
      <c r="Q55" s="435"/>
      <c r="R55" s="195"/>
      <c r="S55" s="197" t="s">
        <v>65</v>
      </c>
      <c r="T55" s="205">
        <f t="shared" si="3"/>
        <v>0</v>
      </c>
      <c r="U55" s="199"/>
      <c r="V55" s="199"/>
      <c r="W55" s="208"/>
      <c r="X55" s="198"/>
      <c r="Y55" s="437" t="s">
        <v>94</v>
      </c>
      <c r="Z55" s="231"/>
      <c r="AA55" s="232"/>
      <c r="AB55" s="439"/>
    </row>
    <row r="56" spans="1:32" s="55" customFormat="1" ht="69.95" customHeight="1" x14ac:dyDescent="0.15">
      <c r="A56" s="432"/>
      <c r="B56" s="204">
        <f>$I$6</f>
        <v>0</v>
      </c>
      <c r="C56" s="422">
        <f>$A$6</f>
        <v>0</v>
      </c>
      <c r="D56" s="423"/>
      <c r="E56" s="424"/>
      <c r="F56" s="425"/>
      <c r="G56" s="426"/>
      <c r="H56" s="427"/>
      <c r="I56" s="207"/>
      <c r="J56" s="192"/>
      <c r="K56" s="193"/>
      <c r="L56" s="194" t="s">
        <v>65</v>
      </c>
      <c r="M56" s="195">
        <f t="shared" si="8"/>
        <v>0</v>
      </c>
      <c r="N56" s="233"/>
      <c r="O56" s="195"/>
      <c r="P56" s="197" t="s">
        <v>65</v>
      </c>
      <c r="Q56" s="436"/>
      <c r="R56" s="195"/>
      <c r="S56" s="197" t="s">
        <v>65</v>
      </c>
      <c r="T56" s="198">
        <f t="shared" si="3"/>
        <v>0</v>
      </c>
      <c r="U56" s="199"/>
      <c r="V56" s="200"/>
      <c r="W56" s="195"/>
      <c r="X56" s="195"/>
      <c r="Y56" s="438"/>
      <c r="Z56" s="201"/>
      <c r="AA56" s="202"/>
      <c r="AB56" s="440"/>
      <c r="AC56" s="142"/>
      <c r="AD56" s="179"/>
      <c r="AE56" s="179"/>
      <c r="AF56" s="179"/>
    </row>
    <row r="57" spans="1:32" s="55" customFormat="1" ht="69.95" customHeight="1" x14ac:dyDescent="0.15">
      <c r="A57" s="431" t="s">
        <v>256</v>
      </c>
      <c r="B57" s="191">
        <f t="shared" ref="B57:B61" si="14">$I$5</f>
        <v>514</v>
      </c>
      <c r="C57" s="422" t="str">
        <f t="shared" ref="C57:C59" si="15">$A$5</f>
        <v>BK</v>
      </c>
      <c r="D57" s="423"/>
      <c r="E57" s="424"/>
      <c r="F57" s="425"/>
      <c r="G57" s="426"/>
      <c r="H57" s="427"/>
      <c r="I57" s="433" t="s">
        <v>102</v>
      </c>
      <c r="J57" s="192"/>
      <c r="K57" s="209">
        <v>0.96</v>
      </c>
      <c r="L57" s="194" t="s">
        <v>129</v>
      </c>
      <c r="M57" s="195">
        <f t="shared" si="4"/>
        <v>493.44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si="3"/>
        <v>-493.44</v>
      </c>
      <c r="U57" s="199"/>
      <c r="V57" s="199"/>
      <c r="W57" s="208"/>
      <c r="X57" s="198"/>
      <c r="Y57" s="437" t="s">
        <v>130</v>
      </c>
      <c r="Z57" s="231"/>
      <c r="AA57" s="232"/>
      <c r="AB57" s="439"/>
    </row>
    <row r="58" spans="1:32" s="55" customFormat="1" ht="69.95" customHeight="1" x14ac:dyDescent="0.15">
      <c r="A58" s="432"/>
      <c r="B58" s="204">
        <f>$I$6</f>
        <v>0</v>
      </c>
      <c r="C58" s="422">
        <f>$A$6</f>
        <v>0</v>
      </c>
      <c r="D58" s="423"/>
      <c r="E58" s="424"/>
      <c r="F58" s="425"/>
      <c r="G58" s="426"/>
      <c r="H58" s="427"/>
      <c r="I58" s="434"/>
      <c r="J58" s="192"/>
      <c r="K58" s="209">
        <v>0.96</v>
      </c>
      <c r="L58" s="194" t="s">
        <v>129</v>
      </c>
      <c r="M58" s="195">
        <f t="shared" si="4"/>
        <v>0</v>
      </c>
      <c r="N58" s="233"/>
      <c r="O58" s="195"/>
      <c r="P58" s="197" t="s">
        <v>63</v>
      </c>
      <c r="Q58" s="436"/>
      <c r="R58" s="195"/>
      <c r="S58" s="197" t="s">
        <v>63</v>
      </c>
      <c r="T58" s="198">
        <f t="shared" si="3"/>
        <v>0</v>
      </c>
      <c r="U58" s="199"/>
      <c r="V58" s="200"/>
      <c r="W58" s="195"/>
      <c r="X58" s="195"/>
      <c r="Y58" s="438"/>
      <c r="Z58" s="201"/>
      <c r="AA58" s="202"/>
      <c r="AB58" s="440"/>
      <c r="AC58" s="142"/>
      <c r="AD58" s="179"/>
      <c r="AE58" s="179"/>
      <c r="AF58" s="179"/>
    </row>
    <row r="59" spans="1:32" s="206" customFormat="1" ht="69.95" customHeight="1" x14ac:dyDescent="0.15">
      <c r="A59" s="431" t="s">
        <v>120</v>
      </c>
      <c r="B59" s="191">
        <f t="shared" si="14"/>
        <v>514</v>
      </c>
      <c r="C59" s="422" t="str">
        <f t="shared" si="15"/>
        <v>BK</v>
      </c>
      <c r="D59" s="423"/>
      <c r="E59" s="424"/>
      <c r="F59" s="425"/>
      <c r="G59" s="426"/>
      <c r="H59" s="427"/>
      <c r="I59" s="433" t="s">
        <v>75</v>
      </c>
      <c r="J59" s="192"/>
      <c r="K59" s="193">
        <v>2</v>
      </c>
      <c r="L59" s="194" t="s">
        <v>63</v>
      </c>
      <c r="M59" s="195">
        <f t="shared" si="4"/>
        <v>1028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-1028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206" customFormat="1" ht="69.95" customHeight="1" x14ac:dyDescent="0.15">
      <c r="A60" s="432"/>
      <c r="B60" s="204">
        <f>$I$6</f>
        <v>0</v>
      </c>
      <c r="C60" s="422">
        <f>$A$6</f>
        <v>0</v>
      </c>
      <c r="D60" s="423"/>
      <c r="E60" s="424"/>
      <c r="F60" s="425"/>
      <c r="G60" s="426"/>
      <c r="H60" s="427"/>
      <c r="I60" s="434"/>
      <c r="J60" s="192"/>
      <c r="K60" s="193">
        <v>2</v>
      </c>
      <c r="L60" s="194" t="s">
        <v>63</v>
      </c>
      <c r="M60" s="195">
        <f t="shared" si="4"/>
        <v>0</v>
      </c>
      <c r="N60" s="233"/>
      <c r="O60" s="195"/>
      <c r="P60" s="197" t="s">
        <v>63</v>
      </c>
      <c r="Q60" s="436"/>
      <c r="R60" s="195"/>
      <c r="S60" s="197" t="s">
        <v>63</v>
      </c>
      <c r="T60" s="198">
        <f t="shared" si="3"/>
        <v>0</v>
      </c>
      <c r="U60" s="199"/>
      <c r="V60" s="200"/>
      <c r="W60" s="195"/>
      <c r="X60" s="195"/>
      <c r="Y60" s="438"/>
      <c r="Z60" s="201"/>
      <c r="AA60" s="202"/>
      <c r="AB60" s="440"/>
      <c r="AC60" s="234"/>
      <c r="AD60" s="230"/>
      <c r="AE60" s="230"/>
      <c r="AF60" s="230"/>
    </row>
    <row r="61" spans="1:32" s="206" customFormat="1" ht="69.95" customHeight="1" x14ac:dyDescent="0.15">
      <c r="A61" s="431" t="s">
        <v>266</v>
      </c>
      <c r="B61" s="191">
        <f t="shared" si="14"/>
        <v>514</v>
      </c>
      <c r="C61" s="422"/>
      <c r="D61" s="423"/>
      <c r="E61" s="424"/>
      <c r="F61" s="425"/>
      <c r="G61" s="426"/>
      <c r="H61" s="427"/>
      <c r="I61" s="215"/>
      <c r="J61" s="192"/>
      <c r="K61" s="304">
        <v>1.2</v>
      </c>
      <c r="L61" s="194" t="s">
        <v>264</v>
      </c>
      <c r="M61" s="321">
        <f t="shared" si="4"/>
        <v>616.79999999999995</v>
      </c>
      <c r="N61" s="233"/>
      <c r="O61" s="195"/>
      <c r="P61" s="197"/>
      <c r="Q61" s="435"/>
      <c r="R61" s="195"/>
      <c r="S61" s="197" t="s">
        <v>264</v>
      </c>
      <c r="T61" s="322">
        <f t="shared" si="3"/>
        <v>-616.79999999999995</v>
      </c>
      <c r="U61" s="199"/>
      <c r="V61" s="200"/>
      <c r="W61" s="195"/>
      <c r="X61" s="195"/>
      <c r="Y61" s="437" t="s">
        <v>140</v>
      </c>
      <c r="Z61" s="201"/>
      <c r="AA61" s="202"/>
      <c r="AB61" s="315"/>
      <c r="AC61" s="234"/>
      <c r="AD61" s="230"/>
      <c r="AE61" s="230"/>
      <c r="AF61" s="230"/>
    </row>
    <row r="62" spans="1:32" s="206" customFormat="1" ht="69.95" customHeight="1" x14ac:dyDescent="0.15">
      <c r="A62" s="432"/>
      <c r="B62" s="204">
        <f>$I$6</f>
        <v>0</v>
      </c>
      <c r="C62" s="422"/>
      <c r="D62" s="423"/>
      <c r="E62" s="424"/>
      <c r="F62" s="425"/>
      <c r="G62" s="426"/>
      <c r="H62" s="427"/>
      <c r="I62" s="215"/>
      <c r="J62" s="192"/>
      <c r="K62" s="304">
        <v>1.2</v>
      </c>
      <c r="L62" s="194" t="s">
        <v>264</v>
      </c>
      <c r="M62" s="321">
        <f t="shared" si="4"/>
        <v>0</v>
      </c>
      <c r="N62" s="233"/>
      <c r="O62" s="195"/>
      <c r="P62" s="197"/>
      <c r="Q62" s="561"/>
      <c r="R62" s="195"/>
      <c r="S62" s="197" t="s">
        <v>264</v>
      </c>
      <c r="T62" s="322">
        <f t="shared" si="3"/>
        <v>0</v>
      </c>
      <c r="U62" s="199"/>
      <c r="V62" s="200"/>
      <c r="W62" s="195"/>
      <c r="X62" s="195"/>
      <c r="Y62" s="438"/>
      <c r="Z62" s="201"/>
      <c r="AA62" s="202"/>
      <c r="AB62" s="315"/>
      <c r="AC62" s="234"/>
      <c r="AD62" s="230"/>
      <c r="AE62" s="230"/>
      <c r="AF62" s="230"/>
    </row>
    <row r="63" spans="1:32" s="206" customFormat="1" ht="54.95" customHeight="1" x14ac:dyDescent="0.15">
      <c r="A63" s="92" t="s">
        <v>257</v>
      </c>
      <c r="B63" s="87">
        <f>I11</f>
        <v>514</v>
      </c>
      <c r="C63" s="368" t="s">
        <v>71</v>
      </c>
      <c r="D63" s="369"/>
      <c r="E63" s="370"/>
      <c r="F63" s="368"/>
      <c r="G63" s="369"/>
      <c r="H63" s="370"/>
      <c r="I63" s="93"/>
      <c r="J63" s="90"/>
      <c r="K63" s="156">
        <v>1</v>
      </c>
      <c r="L63" s="77" t="s">
        <v>63</v>
      </c>
      <c r="M63" s="88">
        <f t="shared" si="4"/>
        <v>514</v>
      </c>
      <c r="N63" s="91"/>
      <c r="O63" s="91"/>
      <c r="P63" s="88" t="s">
        <v>63</v>
      </c>
      <c r="Q63" s="316">
        <v>46064</v>
      </c>
      <c r="R63" s="93">
        <v>514</v>
      </c>
      <c r="S63" s="88" t="s">
        <v>63</v>
      </c>
      <c r="T63" s="154">
        <f t="shared" si="3"/>
        <v>0</v>
      </c>
      <c r="U63" s="91"/>
      <c r="V63" s="159"/>
      <c r="W63" s="159"/>
      <c r="X63" s="159"/>
      <c r="Y63" s="160" t="s">
        <v>72</v>
      </c>
      <c r="Z63" s="94"/>
      <c r="AA63" s="95"/>
      <c r="AB63" s="319" t="s">
        <v>275</v>
      </c>
    </row>
    <row r="64" spans="1:32" s="55" customFormat="1" ht="54.95" customHeight="1" x14ac:dyDescent="0.15">
      <c r="A64" s="386" t="s">
        <v>66</v>
      </c>
      <c r="B64" s="87">
        <f>C11</f>
        <v>280</v>
      </c>
      <c r="C64" s="389" t="e">
        <f>#REF!</f>
        <v>#REF!</v>
      </c>
      <c r="D64" s="390"/>
      <c r="E64" s="391"/>
      <c r="F64" s="368"/>
      <c r="G64" s="369"/>
      <c r="H64" s="370"/>
      <c r="I64" s="152"/>
      <c r="J64" s="75"/>
      <c r="K64" s="139">
        <v>1</v>
      </c>
      <c r="L64" s="77" t="s">
        <v>63</v>
      </c>
      <c r="M64" s="88">
        <f t="shared" si="4"/>
        <v>280</v>
      </c>
      <c r="N64" s="89"/>
      <c r="O64" s="153"/>
      <c r="P64" s="88" t="s">
        <v>63</v>
      </c>
      <c r="Q64" s="443">
        <v>46064</v>
      </c>
      <c r="R64" s="153">
        <v>280</v>
      </c>
      <c r="S64" s="88" t="s">
        <v>63</v>
      </c>
      <c r="T64" s="154">
        <f t="shared" si="3"/>
        <v>0</v>
      </c>
      <c r="U64" s="129"/>
      <c r="V64" s="155"/>
      <c r="W64" s="154"/>
      <c r="X64" s="154"/>
      <c r="Y64" s="401" t="s">
        <v>72</v>
      </c>
      <c r="Z64" s="401"/>
      <c r="AA64" s="401"/>
      <c r="AB64" s="579" t="s">
        <v>275</v>
      </c>
    </row>
    <row r="65" spans="1:28" s="55" customFormat="1" ht="54.95" customHeight="1" x14ac:dyDescent="0.15">
      <c r="A65" s="387"/>
      <c r="B65" s="87">
        <f>D11</f>
        <v>234</v>
      </c>
      <c r="C65" s="392"/>
      <c r="D65" s="393"/>
      <c r="E65" s="394"/>
      <c r="F65" s="368"/>
      <c r="G65" s="369"/>
      <c r="H65" s="370"/>
      <c r="I65" s="152"/>
      <c r="J65" s="75"/>
      <c r="K65" s="156">
        <v>1</v>
      </c>
      <c r="L65" s="77" t="s">
        <v>63</v>
      </c>
      <c r="M65" s="88">
        <f t="shared" si="4"/>
        <v>234</v>
      </c>
      <c r="N65" s="89"/>
      <c r="O65" s="153"/>
      <c r="P65" s="88" t="s">
        <v>63</v>
      </c>
      <c r="Q65" s="447"/>
      <c r="R65" s="153">
        <v>234</v>
      </c>
      <c r="S65" s="88" t="s">
        <v>63</v>
      </c>
      <c r="T65" s="154">
        <f t="shared" si="3"/>
        <v>0</v>
      </c>
      <c r="U65" s="129"/>
      <c r="V65" s="155"/>
      <c r="W65" s="154"/>
      <c r="X65" s="154"/>
      <c r="Y65" s="402"/>
      <c r="Z65" s="402"/>
      <c r="AA65" s="402"/>
      <c r="AB65" s="580"/>
    </row>
    <row r="66" spans="1:28" s="55" customFormat="1" ht="54.95" customHeight="1" x14ac:dyDescent="0.15">
      <c r="A66" s="387"/>
      <c r="B66" s="87">
        <f>E11</f>
        <v>0</v>
      </c>
      <c r="C66" s="392"/>
      <c r="D66" s="393"/>
      <c r="E66" s="394"/>
      <c r="F66" s="368"/>
      <c r="G66" s="369"/>
      <c r="H66" s="370"/>
      <c r="I66" s="152"/>
      <c r="J66" s="75"/>
      <c r="K66" s="156">
        <v>1</v>
      </c>
      <c r="L66" s="77" t="s">
        <v>63</v>
      </c>
      <c r="M66" s="88">
        <f t="shared" si="4"/>
        <v>0</v>
      </c>
      <c r="N66" s="89"/>
      <c r="O66" s="153"/>
      <c r="P66" s="88" t="s">
        <v>63</v>
      </c>
      <c r="Q66" s="447"/>
      <c r="R66" s="153"/>
      <c r="S66" s="88" t="s">
        <v>63</v>
      </c>
      <c r="T66" s="154">
        <f t="shared" si="3"/>
        <v>0</v>
      </c>
      <c r="U66" s="129"/>
      <c r="V66" s="155"/>
      <c r="W66" s="154"/>
      <c r="X66" s="154"/>
      <c r="Y66" s="402"/>
      <c r="Z66" s="402"/>
      <c r="AA66" s="402"/>
      <c r="AB66" s="580"/>
    </row>
    <row r="67" spans="1:28" s="55" customFormat="1" ht="54.95" customHeight="1" x14ac:dyDescent="0.15">
      <c r="A67" s="387"/>
      <c r="B67" s="87">
        <f>F11</f>
        <v>0</v>
      </c>
      <c r="C67" s="392"/>
      <c r="D67" s="393"/>
      <c r="E67" s="394"/>
      <c r="F67" s="368"/>
      <c r="G67" s="369"/>
      <c r="H67" s="370"/>
      <c r="I67" s="152"/>
      <c r="J67" s="75"/>
      <c r="K67" s="156">
        <v>1</v>
      </c>
      <c r="L67" s="77" t="s">
        <v>63</v>
      </c>
      <c r="M67" s="88">
        <f t="shared" si="4"/>
        <v>0</v>
      </c>
      <c r="N67" s="89"/>
      <c r="O67" s="153"/>
      <c r="P67" s="88" t="s">
        <v>63</v>
      </c>
      <c r="Q67" s="447"/>
      <c r="R67" s="153"/>
      <c r="S67" s="88" t="s">
        <v>63</v>
      </c>
      <c r="T67" s="154">
        <f t="shared" si="3"/>
        <v>0</v>
      </c>
      <c r="U67" s="129"/>
      <c r="V67" s="155"/>
      <c r="W67" s="154"/>
      <c r="X67" s="154"/>
      <c r="Y67" s="402"/>
      <c r="Z67" s="402"/>
      <c r="AA67" s="402"/>
      <c r="AB67" s="580"/>
    </row>
    <row r="68" spans="1:28" s="55" customFormat="1" ht="54.95" customHeight="1" x14ac:dyDescent="0.15">
      <c r="A68" s="388"/>
      <c r="B68" s="87">
        <f>G11</f>
        <v>0</v>
      </c>
      <c r="C68" s="395"/>
      <c r="D68" s="396"/>
      <c r="E68" s="397"/>
      <c r="F68" s="368"/>
      <c r="G68" s="369"/>
      <c r="H68" s="370"/>
      <c r="I68" s="152"/>
      <c r="J68" s="75"/>
      <c r="K68" s="156">
        <v>1</v>
      </c>
      <c r="L68" s="77" t="s">
        <v>63</v>
      </c>
      <c r="M68" s="88">
        <f t="shared" si="4"/>
        <v>0</v>
      </c>
      <c r="N68" s="89"/>
      <c r="O68" s="153"/>
      <c r="P68" s="88" t="s">
        <v>63</v>
      </c>
      <c r="Q68" s="444"/>
      <c r="R68" s="153"/>
      <c r="S68" s="88" t="s">
        <v>63</v>
      </c>
      <c r="T68" s="154">
        <f t="shared" si="3"/>
        <v>0</v>
      </c>
      <c r="U68" s="129"/>
      <c r="V68" s="155"/>
      <c r="W68" s="154"/>
      <c r="X68" s="154"/>
      <c r="Y68" s="403"/>
      <c r="Z68" s="403"/>
      <c r="AA68" s="403"/>
      <c r="AB68" s="581"/>
    </row>
    <row r="69" spans="1:28" s="55" customFormat="1" ht="54.95" customHeight="1" x14ac:dyDescent="0.15">
      <c r="A69" s="386" t="s">
        <v>68</v>
      </c>
      <c r="B69" s="87">
        <f>C5</f>
        <v>280</v>
      </c>
      <c r="C69" s="461" t="str">
        <f>A5</f>
        <v>BK</v>
      </c>
      <c r="D69" s="461"/>
      <c r="E69" s="461"/>
      <c r="F69" s="368"/>
      <c r="G69" s="369"/>
      <c r="H69" s="370"/>
      <c r="I69" s="152"/>
      <c r="J69" s="152"/>
      <c r="K69" s="156">
        <v>1</v>
      </c>
      <c r="L69" s="77" t="s">
        <v>63</v>
      </c>
      <c r="M69" s="88">
        <f t="shared" si="4"/>
        <v>280</v>
      </c>
      <c r="N69" s="89"/>
      <c r="O69" s="153"/>
      <c r="P69" s="88" t="s">
        <v>63</v>
      </c>
      <c r="Q69" s="443">
        <v>46064</v>
      </c>
      <c r="R69" s="153">
        <v>280</v>
      </c>
      <c r="S69" s="88" t="s">
        <v>63</v>
      </c>
      <c r="T69" s="154">
        <f t="shared" si="3"/>
        <v>0</v>
      </c>
      <c r="U69" s="157"/>
      <c r="V69" s="158"/>
      <c r="W69" s="154"/>
      <c r="X69" s="154"/>
      <c r="Y69" s="582" t="s">
        <v>72</v>
      </c>
      <c r="Z69" s="582"/>
      <c r="AA69" s="582"/>
      <c r="AB69" s="404" t="s">
        <v>275</v>
      </c>
    </row>
    <row r="70" spans="1:28" s="55" customFormat="1" ht="54.95" customHeight="1" x14ac:dyDescent="0.15">
      <c r="A70" s="387"/>
      <c r="B70" s="87">
        <f>D5</f>
        <v>234</v>
      </c>
      <c r="C70" s="461"/>
      <c r="D70" s="461"/>
      <c r="E70" s="461"/>
      <c r="F70" s="368"/>
      <c r="G70" s="369"/>
      <c r="H70" s="370"/>
      <c r="I70" s="152"/>
      <c r="J70" s="152"/>
      <c r="K70" s="156">
        <v>1</v>
      </c>
      <c r="L70" s="77" t="s">
        <v>63</v>
      </c>
      <c r="M70" s="88">
        <f t="shared" si="4"/>
        <v>234</v>
      </c>
      <c r="N70" s="89"/>
      <c r="O70" s="153"/>
      <c r="P70" s="88" t="s">
        <v>63</v>
      </c>
      <c r="Q70" s="447"/>
      <c r="R70" s="153">
        <v>234</v>
      </c>
      <c r="S70" s="88" t="s">
        <v>63</v>
      </c>
      <c r="T70" s="154">
        <f t="shared" si="3"/>
        <v>0</v>
      </c>
      <c r="U70" s="157"/>
      <c r="V70" s="158"/>
      <c r="W70" s="154"/>
      <c r="X70" s="154"/>
      <c r="Y70" s="582"/>
      <c r="Z70" s="582"/>
      <c r="AA70" s="582"/>
      <c r="AB70" s="405"/>
    </row>
    <row r="71" spans="1:28" s="55" customFormat="1" ht="54.95" customHeight="1" x14ac:dyDescent="0.15">
      <c r="A71" s="387"/>
      <c r="B71" s="87">
        <f>E5</f>
        <v>0</v>
      </c>
      <c r="C71" s="461"/>
      <c r="D71" s="461"/>
      <c r="E71" s="461"/>
      <c r="F71" s="368"/>
      <c r="G71" s="369"/>
      <c r="H71" s="370"/>
      <c r="I71" s="152"/>
      <c r="J71" s="152"/>
      <c r="K71" s="156">
        <v>1</v>
      </c>
      <c r="L71" s="77" t="s">
        <v>63</v>
      </c>
      <c r="M71" s="88">
        <f t="shared" si="4"/>
        <v>0</v>
      </c>
      <c r="N71" s="89"/>
      <c r="O71" s="153"/>
      <c r="P71" s="88" t="s">
        <v>63</v>
      </c>
      <c r="Q71" s="447"/>
      <c r="R71" s="153"/>
      <c r="S71" s="88" t="s">
        <v>63</v>
      </c>
      <c r="T71" s="154">
        <f t="shared" si="3"/>
        <v>0</v>
      </c>
      <c r="U71" s="157"/>
      <c r="V71" s="158"/>
      <c r="W71" s="154"/>
      <c r="X71" s="154"/>
      <c r="Y71" s="582"/>
      <c r="Z71" s="582"/>
      <c r="AA71" s="582"/>
      <c r="AB71" s="405"/>
    </row>
    <row r="72" spans="1:28" s="55" customFormat="1" ht="54.95" customHeight="1" x14ac:dyDescent="0.15">
      <c r="A72" s="387"/>
      <c r="B72" s="87">
        <f>C6</f>
        <v>0</v>
      </c>
      <c r="C72" s="461">
        <f>A6</f>
        <v>0</v>
      </c>
      <c r="D72" s="461"/>
      <c r="E72" s="461"/>
      <c r="F72" s="368"/>
      <c r="G72" s="369"/>
      <c r="H72" s="370"/>
      <c r="I72" s="152"/>
      <c r="J72" s="152"/>
      <c r="K72" s="156">
        <v>1</v>
      </c>
      <c r="L72" s="77" t="s">
        <v>63</v>
      </c>
      <c r="M72" s="88">
        <f t="shared" si="4"/>
        <v>0</v>
      </c>
      <c r="N72" s="89"/>
      <c r="O72" s="153"/>
      <c r="P72" s="88" t="s">
        <v>63</v>
      </c>
      <c r="Q72" s="447"/>
      <c r="R72" s="77"/>
      <c r="S72" s="88" t="s">
        <v>63</v>
      </c>
      <c r="T72" s="154">
        <f t="shared" si="3"/>
        <v>0</v>
      </c>
      <c r="U72" s="157"/>
      <c r="V72" s="158"/>
      <c r="W72" s="154"/>
      <c r="X72" s="154"/>
      <c r="Y72" s="582" t="s">
        <v>72</v>
      </c>
      <c r="Z72" s="582"/>
      <c r="AA72" s="582"/>
      <c r="AB72" s="405"/>
    </row>
    <row r="73" spans="1:28" s="55" customFormat="1" ht="54.95" customHeight="1" x14ac:dyDescent="0.15">
      <c r="A73" s="387"/>
      <c r="B73" s="87">
        <f>D6</f>
        <v>0</v>
      </c>
      <c r="C73" s="461"/>
      <c r="D73" s="461"/>
      <c r="E73" s="461"/>
      <c r="F73" s="368"/>
      <c r="G73" s="369"/>
      <c r="H73" s="370"/>
      <c r="I73" s="152"/>
      <c r="J73" s="152"/>
      <c r="K73" s="156">
        <v>1</v>
      </c>
      <c r="L73" s="77" t="s">
        <v>63</v>
      </c>
      <c r="M73" s="88">
        <f t="shared" si="4"/>
        <v>0</v>
      </c>
      <c r="N73" s="89"/>
      <c r="O73" s="153"/>
      <c r="P73" s="88" t="s">
        <v>63</v>
      </c>
      <c r="Q73" s="447"/>
      <c r="R73" s="77"/>
      <c r="S73" s="88" t="s">
        <v>63</v>
      </c>
      <c r="T73" s="154">
        <f t="shared" si="3"/>
        <v>0</v>
      </c>
      <c r="U73" s="157"/>
      <c r="V73" s="158"/>
      <c r="W73" s="154"/>
      <c r="X73" s="154"/>
      <c r="Y73" s="582"/>
      <c r="Z73" s="582"/>
      <c r="AA73" s="582"/>
      <c r="AB73" s="405"/>
    </row>
    <row r="74" spans="1:28" s="55" customFormat="1" ht="54.95" customHeight="1" x14ac:dyDescent="0.15">
      <c r="A74" s="387"/>
      <c r="B74" s="87">
        <f>E6</f>
        <v>0</v>
      </c>
      <c r="C74" s="461"/>
      <c r="D74" s="461"/>
      <c r="E74" s="461"/>
      <c r="F74" s="368"/>
      <c r="G74" s="369"/>
      <c r="H74" s="370"/>
      <c r="I74" s="152"/>
      <c r="J74" s="152"/>
      <c r="K74" s="156">
        <v>1</v>
      </c>
      <c r="L74" s="77" t="s">
        <v>63</v>
      </c>
      <c r="M74" s="88">
        <f t="shared" si="4"/>
        <v>0</v>
      </c>
      <c r="N74" s="89"/>
      <c r="O74" s="153"/>
      <c r="P74" s="88" t="s">
        <v>63</v>
      </c>
      <c r="Q74" s="447"/>
      <c r="R74" s="153"/>
      <c r="S74" s="88" t="s">
        <v>63</v>
      </c>
      <c r="T74" s="154">
        <f>R74-M74</f>
        <v>0</v>
      </c>
      <c r="U74" s="157"/>
      <c r="V74" s="158"/>
      <c r="W74" s="154"/>
      <c r="X74" s="154"/>
      <c r="Y74" s="582"/>
      <c r="Z74" s="582"/>
      <c r="AA74" s="582"/>
      <c r="AB74" s="405"/>
    </row>
    <row r="75" spans="1:28" s="55" customFormat="1" ht="54.95" customHeight="1" x14ac:dyDescent="0.15">
      <c r="A75" s="387"/>
      <c r="B75" s="87">
        <f>C7</f>
        <v>0</v>
      </c>
      <c r="C75" s="392">
        <f>A7</f>
        <v>0</v>
      </c>
      <c r="D75" s="393"/>
      <c r="E75" s="394"/>
      <c r="F75" s="368"/>
      <c r="G75" s="369"/>
      <c r="H75" s="370"/>
      <c r="I75" s="152"/>
      <c r="J75" s="152"/>
      <c r="K75" s="156">
        <v>1</v>
      </c>
      <c r="L75" s="77" t="s">
        <v>63</v>
      </c>
      <c r="M75" s="88">
        <f t="shared" si="4"/>
        <v>0</v>
      </c>
      <c r="N75" s="89"/>
      <c r="O75" s="153"/>
      <c r="P75" s="88" t="s">
        <v>63</v>
      </c>
      <c r="Q75" s="447"/>
      <c r="R75" s="153"/>
      <c r="S75" s="88" t="s">
        <v>63</v>
      </c>
      <c r="T75" s="154">
        <f>R75-M75</f>
        <v>0</v>
      </c>
      <c r="U75" s="157"/>
      <c r="V75" s="158"/>
      <c r="W75" s="154"/>
      <c r="X75" s="154"/>
      <c r="Y75" s="582" t="s">
        <v>72</v>
      </c>
      <c r="Z75" s="582"/>
      <c r="AA75" s="582"/>
      <c r="AB75" s="405"/>
    </row>
    <row r="76" spans="1:28" s="55" customFormat="1" ht="54.95" customHeight="1" x14ac:dyDescent="0.15">
      <c r="A76" s="387"/>
      <c r="B76" s="87">
        <f>D7</f>
        <v>0</v>
      </c>
      <c r="C76" s="392"/>
      <c r="D76" s="393"/>
      <c r="E76" s="394"/>
      <c r="F76" s="368"/>
      <c r="G76" s="369"/>
      <c r="H76" s="370"/>
      <c r="I76" s="152"/>
      <c r="J76" s="152"/>
      <c r="K76" s="156">
        <v>1</v>
      </c>
      <c r="L76" s="77" t="s">
        <v>63</v>
      </c>
      <c r="M76" s="88">
        <f t="shared" si="4"/>
        <v>0</v>
      </c>
      <c r="N76" s="89"/>
      <c r="O76" s="153"/>
      <c r="P76" s="88" t="s">
        <v>63</v>
      </c>
      <c r="Q76" s="447"/>
      <c r="R76" s="153"/>
      <c r="S76" s="88" t="s">
        <v>63</v>
      </c>
      <c r="T76" s="154">
        <f>R76-M76</f>
        <v>0</v>
      </c>
      <c r="U76" s="157"/>
      <c r="V76" s="158"/>
      <c r="W76" s="154"/>
      <c r="X76" s="154"/>
      <c r="Y76" s="582"/>
      <c r="Z76" s="582"/>
      <c r="AA76" s="582"/>
      <c r="AB76" s="405"/>
    </row>
    <row r="77" spans="1:28" s="176" customFormat="1" ht="54.95" customHeight="1" x14ac:dyDescent="0.15">
      <c r="A77" s="387"/>
      <c r="B77" s="87">
        <f>E7</f>
        <v>0</v>
      </c>
      <c r="C77" s="392"/>
      <c r="D77" s="393"/>
      <c r="E77" s="394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0</v>
      </c>
      <c r="N77" s="171"/>
      <c r="O77" s="277"/>
      <c r="P77" s="169" t="s">
        <v>63</v>
      </c>
      <c r="Q77" s="444"/>
      <c r="R77" s="168"/>
      <c r="S77" s="169" t="s">
        <v>63</v>
      </c>
      <c r="T77" s="278">
        <f>R77-M77</f>
        <v>0</v>
      </c>
      <c r="U77" s="281"/>
      <c r="V77" s="282"/>
      <c r="W77" s="278"/>
      <c r="X77" s="278"/>
      <c r="Y77" s="582"/>
      <c r="Z77" s="582"/>
      <c r="AA77" s="582"/>
      <c r="AB77" s="405"/>
    </row>
    <row r="78" spans="1:28" s="176" customFormat="1" ht="54.95" customHeight="1" x14ac:dyDescent="0.15">
      <c r="A78" s="386" t="s">
        <v>69</v>
      </c>
      <c r="B78" s="164">
        <f>C5</f>
        <v>280</v>
      </c>
      <c r="C78" s="461" t="str">
        <f>A5</f>
        <v>BK</v>
      </c>
      <c r="D78" s="461"/>
      <c r="E78" s="461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280</v>
      </c>
      <c r="N78" s="171"/>
      <c r="O78" s="277"/>
      <c r="P78" s="169" t="s">
        <v>63</v>
      </c>
      <c r="Q78" s="376">
        <v>46127</v>
      </c>
      <c r="R78" s="277">
        <v>280</v>
      </c>
      <c r="S78" s="169" t="s">
        <v>63</v>
      </c>
      <c r="T78" s="278">
        <f t="shared" si="3"/>
        <v>0</v>
      </c>
      <c r="U78" s="281"/>
      <c r="V78" s="282"/>
      <c r="W78" s="278"/>
      <c r="X78" s="278"/>
      <c r="Y78" s="597" t="s">
        <v>67</v>
      </c>
      <c r="Z78" s="597"/>
      <c r="AA78" s="597"/>
      <c r="AB78" s="404" t="s">
        <v>327</v>
      </c>
    </row>
    <row r="79" spans="1:28" s="176" customFormat="1" ht="54.95" customHeight="1" x14ac:dyDescent="0.15">
      <c r="A79" s="387"/>
      <c r="B79" s="164">
        <f>D5</f>
        <v>234</v>
      </c>
      <c r="C79" s="461"/>
      <c r="D79" s="461"/>
      <c r="E79" s="461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234</v>
      </c>
      <c r="N79" s="171"/>
      <c r="O79" s="277"/>
      <c r="P79" s="169" t="s">
        <v>63</v>
      </c>
      <c r="Q79" s="377"/>
      <c r="R79" s="277">
        <v>234</v>
      </c>
      <c r="S79" s="169" t="s">
        <v>63</v>
      </c>
      <c r="T79" s="278">
        <f t="shared" si="3"/>
        <v>0</v>
      </c>
      <c r="U79" s="281"/>
      <c r="V79" s="282"/>
      <c r="W79" s="278"/>
      <c r="X79" s="278"/>
      <c r="Y79" s="597"/>
      <c r="Z79" s="597"/>
      <c r="AA79" s="597"/>
      <c r="AB79" s="405"/>
    </row>
    <row r="80" spans="1:28" s="176" customFormat="1" ht="54.95" customHeight="1" x14ac:dyDescent="0.15">
      <c r="A80" s="387"/>
      <c r="B80" s="164">
        <f>E5</f>
        <v>0</v>
      </c>
      <c r="C80" s="461"/>
      <c r="D80" s="461"/>
      <c r="E80" s="461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81"/>
      <c r="V80" s="282"/>
      <c r="W80" s="278"/>
      <c r="X80" s="278"/>
      <c r="Y80" s="597"/>
      <c r="Z80" s="597"/>
      <c r="AA80" s="597"/>
      <c r="AB80" s="405"/>
    </row>
    <row r="81" spans="1:28" s="176" customFormat="1" ht="54.95" customHeight="1" x14ac:dyDescent="0.15">
      <c r="A81" s="387"/>
      <c r="B81" s="164">
        <f>C6</f>
        <v>0</v>
      </c>
      <c r="C81" s="461">
        <f>A6</f>
        <v>0</v>
      </c>
      <c r="D81" s="461"/>
      <c r="E81" s="461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7"/>
      <c r="R81" s="168"/>
      <c r="S81" s="169" t="s">
        <v>63</v>
      </c>
      <c r="T81" s="278">
        <f t="shared" si="3"/>
        <v>0</v>
      </c>
      <c r="U81" s="281"/>
      <c r="V81" s="282"/>
      <c r="W81" s="278"/>
      <c r="X81" s="278"/>
      <c r="Y81" s="597" t="s">
        <v>67</v>
      </c>
      <c r="AA81" s="597"/>
      <c r="AB81" s="405"/>
    </row>
    <row r="82" spans="1:28" s="176" customFormat="1" ht="54.95" customHeight="1" x14ac:dyDescent="0.15">
      <c r="A82" s="387"/>
      <c r="B82" s="164">
        <f>D6</f>
        <v>0</v>
      </c>
      <c r="C82" s="461"/>
      <c r="D82" s="461"/>
      <c r="E82" s="461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0</v>
      </c>
      <c r="N82" s="171"/>
      <c r="O82" s="277"/>
      <c r="P82" s="169" t="s">
        <v>63</v>
      </c>
      <c r="Q82" s="377"/>
      <c r="R82" s="168"/>
      <c r="S82" s="169" t="s">
        <v>63</v>
      </c>
      <c r="T82" s="278">
        <f t="shared" si="3"/>
        <v>0</v>
      </c>
      <c r="U82" s="281"/>
      <c r="V82" s="282"/>
      <c r="W82" s="278"/>
      <c r="X82" s="278"/>
      <c r="Y82" s="597"/>
      <c r="AA82" s="597"/>
      <c r="AB82" s="405"/>
    </row>
    <row r="83" spans="1:28" s="176" customFormat="1" ht="54.95" customHeight="1" x14ac:dyDescent="0.15">
      <c r="A83" s="387"/>
      <c r="B83" s="164">
        <f>E6</f>
        <v>0</v>
      </c>
      <c r="C83" s="461"/>
      <c r="D83" s="461"/>
      <c r="E83" s="461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7"/>
      <c r="R83" s="277"/>
      <c r="S83" s="169" t="s">
        <v>63</v>
      </c>
      <c r="T83" s="278">
        <f t="shared" si="3"/>
        <v>0</v>
      </c>
      <c r="U83" s="281"/>
      <c r="V83" s="282"/>
      <c r="W83" s="278"/>
      <c r="X83" s="278"/>
      <c r="Y83" s="597"/>
      <c r="AA83" s="597"/>
      <c r="AB83" s="405"/>
    </row>
    <row r="84" spans="1:28" s="176" customFormat="1" ht="54.95" customHeight="1" x14ac:dyDescent="0.15">
      <c r="A84" s="387"/>
      <c r="B84" s="164">
        <f>C7</f>
        <v>0</v>
      </c>
      <c r="C84" s="392">
        <f>A7</f>
        <v>0</v>
      </c>
      <c r="D84" s="393"/>
      <c r="E84" s="394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7"/>
      <c r="R84" s="277"/>
      <c r="S84" s="169" t="s">
        <v>63</v>
      </c>
      <c r="T84" s="278">
        <f t="shared" si="3"/>
        <v>0</v>
      </c>
      <c r="U84" s="281"/>
      <c r="V84" s="282"/>
      <c r="W84" s="278"/>
      <c r="X84" s="278"/>
      <c r="Y84" s="597" t="s">
        <v>67</v>
      </c>
      <c r="Z84" s="597"/>
      <c r="AA84" s="597"/>
      <c r="AB84" s="405"/>
    </row>
    <row r="85" spans="1:28" s="176" customFormat="1" ht="54.95" customHeight="1" x14ac:dyDescent="0.15">
      <c r="A85" s="387"/>
      <c r="B85" s="164">
        <f>D7</f>
        <v>0</v>
      </c>
      <c r="C85" s="392"/>
      <c r="D85" s="393"/>
      <c r="E85" s="394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7"/>
      <c r="R85" s="277"/>
      <c r="S85" s="169" t="s">
        <v>63</v>
      </c>
      <c r="T85" s="278">
        <f t="shared" si="3"/>
        <v>0</v>
      </c>
      <c r="U85" s="281"/>
      <c r="V85" s="282"/>
      <c r="W85" s="278"/>
      <c r="X85" s="278"/>
      <c r="Y85" s="597"/>
      <c r="Z85" s="597"/>
      <c r="AA85" s="597"/>
      <c r="AB85" s="405"/>
    </row>
    <row r="86" spans="1:28" s="176" customFormat="1" ht="54.95" customHeight="1" x14ac:dyDescent="0.15">
      <c r="A86" s="387"/>
      <c r="B86" s="164">
        <f>E7</f>
        <v>0</v>
      </c>
      <c r="C86" s="392"/>
      <c r="D86" s="393"/>
      <c r="E86" s="394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0</v>
      </c>
      <c r="N86" s="171"/>
      <c r="O86" s="277"/>
      <c r="P86" s="169" t="s">
        <v>63</v>
      </c>
      <c r="Q86" s="378"/>
      <c r="R86" s="168"/>
      <c r="S86" s="169" t="s">
        <v>63</v>
      </c>
      <c r="T86" s="278">
        <f t="shared" si="3"/>
        <v>0</v>
      </c>
      <c r="U86" s="281"/>
      <c r="V86" s="282"/>
      <c r="W86" s="278"/>
      <c r="X86" s="278"/>
      <c r="Y86" s="597"/>
      <c r="Z86" s="597"/>
      <c r="AA86" s="597"/>
      <c r="AB86" s="405"/>
    </row>
    <row r="87" spans="1:28" s="55" customFormat="1" ht="54.95" customHeight="1" x14ac:dyDescent="0.15">
      <c r="A87" s="386" t="s">
        <v>70</v>
      </c>
      <c r="B87" s="87">
        <f>C11</f>
        <v>280</v>
      </c>
      <c r="C87" s="389" t="s">
        <v>71</v>
      </c>
      <c r="D87" s="390"/>
      <c r="E87" s="391"/>
      <c r="F87" s="368"/>
      <c r="G87" s="369"/>
      <c r="H87" s="370"/>
      <c r="I87" s="152"/>
      <c r="J87" s="90"/>
      <c r="K87" s="156">
        <v>1</v>
      </c>
      <c r="L87" s="77" t="s">
        <v>63</v>
      </c>
      <c r="M87" s="88">
        <f t="shared" si="4"/>
        <v>280</v>
      </c>
      <c r="N87" s="89"/>
      <c r="O87" s="153"/>
      <c r="P87" s="88" t="s">
        <v>63</v>
      </c>
      <c r="Q87" s="398">
        <v>46064</v>
      </c>
      <c r="R87" s="93">
        <v>280</v>
      </c>
      <c r="S87" s="88" t="s">
        <v>63</v>
      </c>
      <c r="T87" s="154">
        <f t="shared" si="3"/>
        <v>0</v>
      </c>
      <c r="U87" s="91"/>
      <c r="V87" s="159"/>
      <c r="W87" s="159"/>
      <c r="X87" s="159"/>
      <c r="Y87" s="401" t="s">
        <v>258</v>
      </c>
      <c r="Z87" s="416"/>
      <c r="AA87" s="416"/>
      <c r="AB87" s="419" t="s">
        <v>274</v>
      </c>
    </row>
    <row r="88" spans="1:28" s="55" customFormat="1" ht="54.95" customHeight="1" x14ac:dyDescent="0.15">
      <c r="A88" s="387"/>
      <c r="B88" s="87">
        <f>D11</f>
        <v>234</v>
      </c>
      <c r="C88" s="392"/>
      <c r="D88" s="393"/>
      <c r="E88" s="394"/>
      <c r="F88" s="368"/>
      <c r="G88" s="369"/>
      <c r="H88" s="370"/>
      <c r="I88" s="152"/>
      <c r="J88" s="90"/>
      <c r="K88" s="156">
        <v>1</v>
      </c>
      <c r="L88" s="77" t="s">
        <v>63</v>
      </c>
      <c r="M88" s="88">
        <f t="shared" si="4"/>
        <v>234</v>
      </c>
      <c r="N88" s="89"/>
      <c r="O88" s="153"/>
      <c r="P88" s="88" t="s">
        <v>63</v>
      </c>
      <c r="Q88" s="399"/>
      <c r="R88" s="93">
        <v>234</v>
      </c>
      <c r="S88" s="88" t="s">
        <v>63</v>
      </c>
      <c r="T88" s="154">
        <f t="shared" si="3"/>
        <v>0</v>
      </c>
      <c r="U88" s="91"/>
      <c r="V88" s="159"/>
      <c r="W88" s="159"/>
      <c r="X88" s="159"/>
      <c r="Y88" s="402"/>
      <c r="Z88" s="417"/>
      <c r="AA88" s="417"/>
      <c r="AB88" s="420"/>
    </row>
    <row r="89" spans="1:28" s="55" customFormat="1" ht="54.95" customHeight="1" x14ac:dyDescent="0.15">
      <c r="A89" s="387"/>
      <c r="B89" s="87">
        <f>E11</f>
        <v>0</v>
      </c>
      <c r="C89" s="392"/>
      <c r="D89" s="393"/>
      <c r="E89" s="394"/>
      <c r="F89" s="368"/>
      <c r="G89" s="369"/>
      <c r="H89" s="370"/>
      <c r="I89" s="152"/>
      <c r="J89" s="90"/>
      <c r="K89" s="156">
        <v>1</v>
      </c>
      <c r="L89" s="77" t="s">
        <v>63</v>
      </c>
      <c r="M89" s="88">
        <f t="shared" si="4"/>
        <v>0</v>
      </c>
      <c r="N89" s="89"/>
      <c r="O89" s="153"/>
      <c r="P89" s="88" t="s">
        <v>63</v>
      </c>
      <c r="Q89" s="399"/>
      <c r="R89" s="93"/>
      <c r="S89" s="88" t="s">
        <v>63</v>
      </c>
      <c r="T89" s="154">
        <f t="shared" si="3"/>
        <v>0</v>
      </c>
      <c r="U89" s="91"/>
      <c r="V89" s="159"/>
      <c r="W89" s="159"/>
      <c r="X89" s="159"/>
      <c r="Y89" s="402"/>
      <c r="Z89" s="417"/>
      <c r="AA89" s="417"/>
      <c r="AB89" s="420"/>
    </row>
    <row r="90" spans="1:28" s="55" customFormat="1" ht="54.95" customHeight="1" x14ac:dyDescent="0.15">
      <c r="A90" s="388"/>
      <c r="B90" s="87">
        <f>F11</f>
        <v>0</v>
      </c>
      <c r="C90" s="395"/>
      <c r="D90" s="396"/>
      <c r="E90" s="397"/>
      <c r="F90" s="368"/>
      <c r="G90" s="369"/>
      <c r="H90" s="370"/>
      <c r="I90" s="152"/>
      <c r="J90" s="90"/>
      <c r="K90" s="156"/>
      <c r="L90" s="77" t="s">
        <v>63</v>
      </c>
      <c r="M90" s="88">
        <f t="shared" si="4"/>
        <v>0</v>
      </c>
      <c r="N90" s="89"/>
      <c r="O90" s="153"/>
      <c r="P90" s="88" t="s">
        <v>63</v>
      </c>
      <c r="Q90" s="400"/>
      <c r="R90" s="162"/>
      <c r="S90" s="88" t="s">
        <v>63</v>
      </c>
      <c r="T90" s="154">
        <f t="shared" si="3"/>
        <v>0</v>
      </c>
      <c r="U90" s="91"/>
      <c r="V90" s="159"/>
      <c r="W90" s="159"/>
      <c r="X90" s="159"/>
      <c r="Y90" s="403"/>
      <c r="Z90" s="418"/>
      <c r="AA90" s="418"/>
      <c r="AB90" s="421"/>
    </row>
    <row r="91" spans="1:28" s="176" customFormat="1" ht="54.95" customHeight="1" x14ac:dyDescent="0.15">
      <c r="A91" s="92" t="s">
        <v>73</v>
      </c>
      <c r="B91" s="164">
        <f>I11</f>
        <v>514</v>
      </c>
      <c r="C91" s="371" t="s">
        <v>71</v>
      </c>
      <c r="D91" s="372"/>
      <c r="E91" s="373"/>
      <c r="F91" s="371"/>
      <c r="G91" s="372"/>
      <c r="H91" s="373"/>
      <c r="I91" s="165"/>
      <c r="J91" s="166"/>
      <c r="K91" s="167">
        <v>1</v>
      </c>
      <c r="L91" s="168" t="s">
        <v>63</v>
      </c>
      <c r="M91" s="88">
        <f t="shared" si="4"/>
        <v>514</v>
      </c>
      <c r="N91" s="170"/>
      <c r="O91" s="170"/>
      <c r="P91" s="169" t="s">
        <v>63</v>
      </c>
      <c r="Q91" s="363">
        <v>46064</v>
      </c>
      <c r="R91" s="165">
        <v>514</v>
      </c>
      <c r="S91" s="169" t="s">
        <v>63</v>
      </c>
      <c r="T91" s="154">
        <f t="shared" si="3"/>
        <v>0</v>
      </c>
      <c r="U91" s="170"/>
      <c r="V91" s="172"/>
      <c r="W91" s="172"/>
      <c r="X91" s="172"/>
      <c r="Y91" s="173" t="s">
        <v>72</v>
      </c>
      <c r="Z91" s="174"/>
      <c r="AA91" s="175"/>
      <c r="AB91" s="586" t="s">
        <v>275</v>
      </c>
    </row>
    <row r="92" spans="1:28" s="55" customFormat="1" ht="54.95" customHeight="1" x14ac:dyDescent="0.15">
      <c r="A92" s="92" t="s">
        <v>81</v>
      </c>
      <c r="B92" s="87">
        <f>I11</f>
        <v>514</v>
      </c>
      <c r="C92" s="368" t="s">
        <v>71</v>
      </c>
      <c r="D92" s="369"/>
      <c r="E92" s="370"/>
      <c r="F92" s="368"/>
      <c r="G92" s="369"/>
      <c r="H92" s="370"/>
      <c r="I92" s="93"/>
      <c r="J92" s="90"/>
      <c r="K92" s="156">
        <v>1</v>
      </c>
      <c r="L92" s="77" t="s">
        <v>63</v>
      </c>
      <c r="M92" s="88">
        <f>K92*B92</f>
        <v>514</v>
      </c>
      <c r="N92" s="91"/>
      <c r="O92" s="91"/>
      <c r="P92" s="88" t="s">
        <v>63</v>
      </c>
      <c r="Q92" s="364"/>
      <c r="R92" s="93">
        <v>514</v>
      </c>
      <c r="S92" s="88" t="s">
        <v>63</v>
      </c>
      <c r="T92" s="154">
        <f t="shared" si="3"/>
        <v>0</v>
      </c>
      <c r="U92" s="91"/>
      <c r="V92" s="91"/>
      <c r="W92" s="91"/>
      <c r="X92" s="91"/>
      <c r="Y92" s="160" t="s">
        <v>72</v>
      </c>
      <c r="Z92" s="94"/>
      <c r="AA92" s="95"/>
      <c r="AB92" s="587"/>
    </row>
    <row r="93" spans="1:28" s="55" customFormat="1" ht="54.95" customHeight="1" x14ac:dyDescent="0.15">
      <c r="A93" s="96" t="s">
        <v>74</v>
      </c>
      <c r="B93" s="87">
        <f>I11</f>
        <v>514</v>
      </c>
      <c r="C93" s="368" t="s">
        <v>71</v>
      </c>
      <c r="D93" s="369"/>
      <c r="E93" s="370"/>
      <c r="F93" s="368"/>
      <c r="G93" s="369"/>
      <c r="H93" s="370"/>
      <c r="I93" s="93" t="s">
        <v>236</v>
      </c>
      <c r="J93" s="93"/>
      <c r="K93" s="156">
        <v>1</v>
      </c>
      <c r="L93" s="77" t="s">
        <v>63</v>
      </c>
      <c r="M93" s="88">
        <f t="shared" si="4"/>
        <v>514</v>
      </c>
      <c r="N93" s="91"/>
      <c r="O93" s="91"/>
      <c r="P93" s="89" t="s">
        <v>63</v>
      </c>
      <c r="Q93" s="365"/>
      <c r="R93" s="93">
        <v>524</v>
      </c>
      <c r="S93" s="89" t="s">
        <v>63</v>
      </c>
      <c r="T93" s="154">
        <f t="shared" si="3"/>
        <v>10</v>
      </c>
      <c r="U93" s="91"/>
      <c r="V93" s="91"/>
      <c r="W93" s="91"/>
      <c r="X93" s="91"/>
      <c r="Y93" s="160" t="s">
        <v>72</v>
      </c>
      <c r="Z93" s="97"/>
      <c r="AA93" s="98"/>
      <c r="AB93" s="588"/>
    </row>
    <row r="94" spans="1:28" ht="13.5" customHeight="1" x14ac:dyDescent="0.15">
      <c r="A94" s="177"/>
      <c r="B94" s="366"/>
      <c r="C94" s="366"/>
      <c r="D94" s="177"/>
      <c r="E94" s="177"/>
      <c r="F94" s="100"/>
      <c r="G94" s="100"/>
      <c r="H94" s="100"/>
      <c r="I94" s="177"/>
      <c r="J94" s="177"/>
      <c r="K94" s="101"/>
      <c r="L94" s="102"/>
      <c r="M94" s="103"/>
      <c r="N94" s="104"/>
      <c r="O94" s="104"/>
      <c r="P94" s="177"/>
      <c r="Q94" s="105"/>
      <c r="R94" s="105"/>
      <c r="S94" s="106"/>
      <c r="T94" s="107"/>
      <c r="U94" s="108"/>
      <c r="V94" s="108"/>
      <c r="W94" s="109"/>
      <c r="X94" s="107"/>
      <c r="Y94" s="110"/>
      <c r="Z94" s="111"/>
      <c r="AA94" s="111"/>
    </row>
    <row r="95" spans="1:28" ht="13.5" customHeight="1" x14ac:dyDescent="0.15">
      <c r="A95" s="177"/>
      <c r="B95" s="366"/>
      <c r="C95" s="366"/>
      <c r="D95" s="177"/>
      <c r="E95" s="177"/>
      <c r="F95" s="367"/>
      <c r="G95" s="367"/>
      <c r="H95" s="367"/>
      <c r="I95" s="177"/>
      <c r="J95" s="177"/>
      <c r="K95" s="101"/>
      <c r="L95" s="102"/>
      <c r="M95" s="103"/>
      <c r="N95" s="104"/>
      <c r="O95" s="104"/>
      <c r="P95" s="177"/>
      <c r="Q95" s="105"/>
      <c r="R95" s="105"/>
      <c r="S95" s="106"/>
      <c r="T95" s="107"/>
      <c r="U95" s="108"/>
      <c r="V95" s="108"/>
      <c r="W95" s="109"/>
      <c r="X95" s="107"/>
      <c r="Y95" s="112"/>
      <c r="Z95" s="111"/>
      <c r="AA95" s="111"/>
    </row>
    <row r="96" spans="1:28" ht="13.5" customHeight="1" x14ac:dyDescent="0.15">
      <c r="J96" s="177"/>
    </row>
    <row r="97" spans="1:29" ht="13.5" customHeight="1" x14ac:dyDescent="0.15">
      <c r="J97" s="177"/>
    </row>
    <row r="104" spans="1:29" s="114" customFormat="1" x14ac:dyDescent="0.15">
      <c r="A104" s="1"/>
      <c r="B104" s="113"/>
      <c r="C104" s="1"/>
      <c r="D104" s="1"/>
      <c r="E104" s="1"/>
      <c r="F104" s="1"/>
      <c r="G104" s="1"/>
      <c r="H104" s="1"/>
      <c r="I104" s="1"/>
      <c r="J104" s="1"/>
      <c r="L104" s="115"/>
      <c r="M104" s="116"/>
      <c r="N104" s="117"/>
      <c r="O104" s="117"/>
      <c r="P104" s="1"/>
      <c r="Q104" s="118"/>
      <c r="R104" s="118"/>
      <c r="S104" s="115"/>
      <c r="T104" s="119"/>
      <c r="U104" s="1"/>
      <c r="V104" s="1"/>
      <c r="W104" s="120"/>
      <c r="X104" s="121"/>
      <c r="Y104" s="1"/>
      <c r="Z104" s="1"/>
      <c r="AA104" s="1"/>
      <c r="AB104" s="1"/>
      <c r="AC104" s="1"/>
    </row>
    <row r="105" spans="1:29" s="114" customFormat="1" x14ac:dyDescent="0.15">
      <c r="A105" s="1"/>
      <c r="B105" s="113"/>
      <c r="C105" s="1"/>
      <c r="D105" s="1"/>
      <c r="E105" s="1"/>
      <c r="F105" s="1"/>
      <c r="G105" s="1"/>
      <c r="H105" s="1"/>
      <c r="I105" s="1"/>
      <c r="J105" s="1"/>
      <c r="L105" s="115"/>
      <c r="M105" s="116"/>
      <c r="N105" s="117"/>
      <c r="O105" s="117"/>
      <c r="P105" s="1"/>
      <c r="Q105" s="118"/>
      <c r="R105" s="118"/>
      <c r="S105" s="115"/>
      <c r="T105" s="119"/>
      <c r="U105" s="1"/>
      <c r="V105" s="1"/>
      <c r="W105" s="120"/>
      <c r="X105" s="121"/>
      <c r="Y105" s="1"/>
      <c r="Z105" s="1"/>
      <c r="AA105" s="1"/>
      <c r="AB105" s="1"/>
      <c r="AC105" s="1"/>
    </row>
  </sheetData>
  <mergeCells count="354">
    <mergeCell ref="B94:C94"/>
    <mergeCell ref="B95:C95"/>
    <mergeCell ref="F95:H95"/>
    <mergeCell ref="C91:E91"/>
    <mergeCell ref="F91:H91"/>
    <mergeCell ref="Q91:Q93"/>
    <mergeCell ref="AB91:AB93"/>
    <mergeCell ref="C92:E92"/>
    <mergeCell ref="F92:H92"/>
    <mergeCell ref="C93:E93"/>
    <mergeCell ref="F93:H93"/>
    <mergeCell ref="Y78:Y80"/>
    <mergeCell ref="Z78:Z80"/>
    <mergeCell ref="C84:E86"/>
    <mergeCell ref="AB87:AB90"/>
    <mergeCell ref="F88:H88"/>
    <mergeCell ref="F89:H89"/>
    <mergeCell ref="F90:H90"/>
    <mergeCell ref="AA84:AA86"/>
    <mergeCell ref="F85:H85"/>
    <mergeCell ref="F86:H86"/>
    <mergeCell ref="F84:H84"/>
    <mergeCell ref="Y84:Y86"/>
    <mergeCell ref="Z84:Z86"/>
    <mergeCell ref="AB69:AB77"/>
    <mergeCell ref="F70:H70"/>
    <mergeCell ref="F71:H71"/>
    <mergeCell ref="A87:A90"/>
    <mergeCell ref="C87:E90"/>
    <mergeCell ref="F87:H87"/>
    <mergeCell ref="Q87:Q90"/>
    <mergeCell ref="Y87:Y90"/>
    <mergeCell ref="Z87:Z90"/>
    <mergeCell ref="AA87:AA90"/>
    <mergeCell ref="AA78:AA80"/>
    <mergeCell ref="AB78:AB86"/>
    <mergeCell ref="F79:H79"/>
    <mergeCell ref="F80:H80"/>
    <mergeCell ref="C81:E83"/>
    <mergeCell ref="F81:H81"/>
    <mergeCell ref="Y81:Y83"/>
    <mergeCell ref="AA81:AA83"/>
    <mergeCell ref="F82:H82"/>
    <mergeCell ref="F83:H83"/>
    <mergeCell ref="A78:A86"/>
    <mergeCell ref="C78:E80"/>
    <mergeCell ref="F78:H78"/>
    <mergeCell ref="Q78:Q86"/>
    <mergeCell ref="C72:E74"/>
    <mergeCell ref="F72:H72"/>
    <mergeCell ref="Y72:Y74"/>
    <mergeCell ref="Z72:Z74"/>
    <mergeCell ref="AA72:AA74"/>
    <mergeCell ref="A69:A77"/>
    <mergeCell ref="C69:E71"/>
    <mergeCell ref="F69:H69"/>
    <mergeCell ref="Y69:Y71"/>
    <mergeCell ref="Z69:Z71"/>
    <mergeCell ref="F73:H73"/>
    <mergeCell ref="F74:H74"/>
    <mergeCell ref="C75:E77"/>
    <mergeCell ref="F75:H75"/>
    <mergeCell ref="Y75:Y77"/>
    <mergeCell ref="Z75:Z77"/>
    <mergeCell ref="AA75:AA77"/>
    <mergeCell ref="F76:H76"/>
    <mergeCell ref="F77:H77"/>
    <mergeCell ref="AA69:AA71"/>
    <mergeCell ref="A59:A60"/>
    <mergeCell ref="C59:E59"/>
    <mergeCell ref="F59:H59"/>
    <mergeCell ref="I59:I60"/>
    <mergeCell ref="Q59:Q60"/>
    <mergeCell ref="Y59:Y60"/>
    <mergeCell ref="Z64:Z68"/>
    <mergeCell ref="AA64:AA68"/>
    <mergeCell ref="AB64:AB68"/>
    <mergeCell ref="F65:H65"/>
    <mergeCell ref="F66:H66"/>
    <mergeCell ref="F67:H67"/>
    <mergeCell ref="F68:H68"/>
    <mergeCell ref="C63:E63"/>
    <mergeCell ref="F63:H63"/>
    <mergeCell ref="AB55:AB56"/>
    <mergeCell ref="C56:E56"/>
    <mergeCell ref="A64:A68"/>
    <mergeCell ref="C64:E68"/>
    <mergeCell ref="F64:H64"/>
    <mergeCell ref="Q64:Q68"/>
    <mergeCell ref="Y64:Y68"/>
    <mergeCell ref="F56:H56"/>
    <mergeCell ref="A57:A58"/>
    <mergeCell ref="C57:E57"/>
    <mergeCell ref="F57:H57"/>
    <mergeCell ref="I57:I58"/>
    <mergeCell ref="Q57:Q58"/>
    <mergeCell ref="Y57:Y58"/>
    <mergeCell ref="AB59:AB60"/>
    <mergeCell ref="C60:E60"/>
    <mergeCell ref="F60:H60"/>
    <mergeCell ref="A61:A62"/>
    <mergeCell ref="C61:E61"/>
    <mergeCell ref="F61:H61"/>
    <mergeCell ref="Q61:Q62"/>
    <mergeCell ref="Y61:Y62"/>
    <mergeCell ref="C62:E62"/>
    <mergeCell ref="F62:H62"/>
    <mergeCell ref="A51:A52"/>
    <mergeCell ref="C51:E51"/>
    <mergeCell ref="F51:H51"/>
    <mergeCell ref="Q51:Q52"/>
    <mergeCell ref="Y51:Y52"/>
    <mergeCell ref="AB51:AB52"/>
    <mergeCell ref="C52:E52"/>
    <mergeCell ref="AB57:AB58"/>
    <mergeCell ref="C58:E58"/>
    <mergeCell ref="F58:H58"/>
    <mergeCell ref="F52:H52"/>
    <mergeCell ref="A53:A54"/>
    <mergeCell ref="C53:E53"/>
    <mergeCell ref="F53:H53"/>
    <mergeCell ref="Q53:Q54"/>
    <mergeCell ref="Y53:Y54"/>
    <mergeCell ref="AB53:AB54"/>
    <mergeCell ref="C54:E54"/>
    <mergeCell ref="F54:H54"/>
    <mergeCell ref="A55:A56"/>
    <mergeCell ref="C55:E55"/>
    <mergeCell ref="F55:H55"/>
    <mergeCell ref="Q55:Q56"/>
    <mergeCell ref="Y55:Y56"/>
    <mergeCell ref="F48:H48"/>
    <mergeCell ref="A49:A50"/>
    <mergeCell ref="C49:E49"/>
    <mergeCell ref="F49:H49"/>
    <mergeCell ref="Q49:Q50"/>
    <mergeCell ref="Y49:Y50"/>
    <mergeCell ref="Y45:Y46"/>
    <mergeCell ref="AB45:AB46"/>
    <mergeCell ref="C46:E46"/>
    <mergeCell ref="F46:H46"/>
    <mergeCell ref="A47:A48"/>
    <mergeCell ref="C47:E47"/>
    <mergeCell ref="F47:H47"/>
    <mergeCell ref="Y47:Y48"/>
    <mergeCell ref="AB47:AB48"/>
    <mergeCell ref="C48:E48"/>
    <mergeCell ref="A45:A46"/>
    <mergeCell ref="C45:E45"/>
    <mergeCell ref="F45:H45"/>
    <mergeCell ref="Q45:Q46"/>
    <mergeCell ref="AB49:AB50"/>
    <mergeCell ref="C50:E50"/>
    <mergeCell ref="F50:H50"/>
    <mergeCell ref="Y41:Y42"/>
    <mergeCell ref="AB41:AB42"/>
    <mergeCell ref="C42:E42"/>
    <mergeCell ref="F42:H42"/>
    <mergeCell ref="A43:A44"/>
    <mergeCell ref="C43:E43"/>
    <mergeCell ref="F43:H43"/>
    <mergeCell ref="Q43:Q44"/>
    <mergeCell ref="Y43:Y44"/>
    <mergeCell ref="AB43:AB44"/>
    <mergeCell ref="A41:A42"/>
    <mergeCell ref="C41:E41"/>
    <mergeCell ref="F41:H41"/>
    <mergeCell ref="I41:I42"/>
    <mergeCell ref="Q41:Q42"/>
    <mergeCell ref="C44:E44"/>
    <mergeCell ref="F44:H44"/>
    <mergeCell ref="AC38:AF38"/>
    <mergeCell ref="A39:A40"/>
    <mergeCell ref="C39:E39"/>
    <mergeCell ref="F39:H39"/>
    <mergeCell ref="I39:I40"/>
    <mergeCell ref="Q39:Q40"/>
    <mergeCell ref="Y39:Y40"/>
    <mergeCell ref="AB39:AB40"/>
    <mergeCell ref="C40:E40"/>
    <mergeCell ref="F40:H40"/>
    <mergeCell ref="AC40:AF40"/>
    <mergeCell ref="A37:A38"/>
    <mergeCell ref="C37:E37"/>
    <mergeCell ref="F37:H37"/>
    <mergeCell ref="I37:I38"/>
    <mergeCell ref="Q37:Q38"/>
    <mergeCell ref="Y37:Y38"/>
    <mergeCell ref="AB37:AB38"/>
    <mergeCell ref="C38:E38"/>
    <mergeCell ref="F38:H38"/>
    <mergeCell ref="AC34:AF34"/>
    <mergeCell ref="A35:A36"/>
    <mergeCell ref="C35:E35"/>
    <mergeCell ref="F35:H35"/>
    <mergeCell ref="I35:I36"/>
    <mergeCell ref="Q35:Q36"/>
    <mergeCell ref="Y35:Y36"/>
    <mergeCell ref="AB35:AB36"/>
    <mergeCell ref="C36:E36"/>
    <mergeCell ref="F36:H36"/>
    <mergeCell ref="AC36:AF36"/>
    <mergeCell ref="A33:A34"/>
    <mergeCell ref="C33:E33"/>
    <mergeCell ref="F33:H33"/>
    <mergeCell ref="I33:I34"/>
    <mergeCell ref="Q33:Q34"/>
    <mergeCell ref="Y33:Y34"/>
    <mergeCell ref="AB33:AB34"/>
    <mergeCell ref="C34:E34"/>
    <mergeCell ref="F34:H34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C26:AF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28:AF28"/>
    <mergeCell ref="AB23:AB24"/>
    <mergeCell ref="C24:E24"/>
    <mergeCell ref="F24:H24"/>
    <mergeCell ref="A25:A26"/>
    <mergeCell ref="C25:E25"/>
    <mergeCell ref="F25:H25"/>
    <mergeCell ref="I25:I26"/>
    <mergeCell ref="Q25:Q26"/>
    <mergeCell ref="Y25:Y26"/>
    <mergeCell ref="AB25:AB26"/>
    <mergeCell ref="C26:E26"/>
    <mergeCell ref="F26:H26"/>
    <mergeCell ref="C22:E22"/>
    <mergeCell ref="F22:H22"/>
    <mergeCell ref="A23:A24"/>
    <mergeCell ref="C23:E23"/>
    <mergeCell ref="F23:H23"/>
    <mergeCell ref="I23:I24"/>
    <mergeCell ref="AB19:AB20"/>
    <mergeCell ref="C20:E20"/>
    <mergeCell ref="F20:H20"/>
    <mergeCell ref="A21:A22"/>
    <mergeCell ref="C21:E21"/>
    <mergeCell ref="F21:H21"/>
    <mergeCell ref="I21:I22"/>
    <mergeCell ref="Q21:Q22"/>
    <mergeCell ref="Y21:Y22"/>
    <mergeCell ref="AB21:AB22"/>
    <mergeCell ref="A19:A20"/>
    <mergeCell ref="C19:E19"/>
    <mergeCell ref="F19:H19"/>
    <mergeCell ref="I19:I20"/>
    <mergeCell ref="Q19:Q20"/>
    <mergeCell ref="Y19:Y20"/>
    <mergeCell ref="Q23:Q24"/>
    <mergeCell ref="Y23:Y24"/>
    <mergeCell ref="A17:A18"/>
    <mergeCell ref="C17:E17"/>
    <mergeCell ref="F17:H17"/>
    <mergeCell ref="Q17:Q18"/>
    <mergeCell ref="Y17:Y18"/>
    <mergeCell ref="AB17:AB18"/>
    <mergeCell ref="C18:E18"/>
    <mergeCell ref="F18:H18"/>
    <mergeCell ref="A15:A16"/>
    <mergeCell ref="C15:E15"/>
    <mergeCell ref="F15:H15"/>
    <mergeCell ref="Q15:Q16"/>
    <mergeCell ref="AB15:AB16"/>
    <mergeCell ref="AC15:AF15"/>
    <mergeCell ref="C16:E16"/>
    <mergeCell ref="F16:H16"/>
    <mergeCell ref="AC16:AF16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:AB1"/>
    <mergeCell ref="B2:G2"/>
    <mergeCell ref="I2:L2"/>
    <mergeCell ref="M2:N2"/>
    <mergeCell ref="O2:S2"/>
    <mergeCell ref="T2:U2"/>
    <mergeCell ref="V2:X2"/>
    <mergeCell ref="Z2:AB2"/>
    <mergeCell ref="Q69:Q77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3" orientation="portrait" r:id="rId1"/>
  <headerFooter alignWithMargins="0"/>
  <rowBreaks count="1" manualBreakCount="1">
    <brk id="68" max="27" man="1"/>
  </rowBreaks>
  <colBreaks count="1" manualBreakCount="1">
    <brk id="2" max="46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1F5F-752E-46A1-8215-7E3631436F02}">
  <sheetPr>
    <tabColor rgb="FFFF0000"/>
  </sheetPr>
  <dimension ref="A1"/>
  <sheetViews>
    <sheetView workbookViewId="0">
      <selection activeCell="S37" sqref="S37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FA57-5A39-4879-9FC1-3FF36428BE84}">
  <sheetPr>
    <pageSetUpPr fitToPage="1"/>
  </sheetPr>
  <dimension ref="A1:AF128"/>
  <sheetViews>
    <sheetView view="pageBreakPreview" zoomScale="75" zoomScaleNormal="100" zoomScaleSheetLayoutView="75" workbookViewId="0">
      <selection activeCell="B2" sqref="B2:G2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7773437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279</v>
      </c>
      <c r="C2" s="548"/>
      <c r="D2" s="548"/>
      <c r="E2" s="548"/>
      <c r="F2" s="548"/>
      <c r="G2" s="549"/>
      <c r="H2" s="180" t="s">
        <v>1</v>
      </c>
      <c r="I2" s="550">
        <f>I11</f>
        <v>1346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280</v>
      </c>
      <c r="B5" s="480"/>
      <c r="C5" s="182">
        <v>230</v>
      </c>
      <c r="D5" s="182">
        <v>176</v>
      </c>
      <c r="E5" s="182"/>
      <c r="F5" s="182"/>
      <c r="G5" s="182"/>
      <c r="H5" s="542" t="s">
        <v>24</v>
      </c>
      <c r="I5" s="524">
        <f t="shared" ref="I5:I11" si="0">SUM(C5:G5)</f>
        <v>406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161</v>
      </c>
      <c r="B6" s="523"/>
      <c r="C6" s="182">
        <v>265</v>
      </c>
      <c r="D6" s="182">
        <v>220</v>
      </c>
      <c r="E6" s="182"/>
      <c r="F6" s="182"/>
      <c r="G6" s="182"/>
      <c r="H6" s="537"/>
      <c r="I6" s="524">
        <f t="shared" si="0"/>
        <v>485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 t="s">
        <v>281</v>
      </c>
      <c r="B7" s="531"/>
      <c r="C7" s="183">
        <v>235</v>
      </c>
      <c r="D7" s="183">
        <v>220</v>
      </c>
      <c r="E7" s="183"/>
      <c r="F7" s="183"/>
      <c r="G7" s="183"/>
      <c r="H7" s="532"/>
      <c r="I7" s="532">
        <f t="shared" si="0"/>
        <v>455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46059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90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730</v>
      </c>
      <c r="D11" s="181">
        <f>SUM(D5:D10)</f>
        <v>616</v>
      </c>
      <c r="E11" s="181">
        <f>SUM(E5:E10)</f>
        <v>0</v>
      </c>
      <c r="F11" s="181">
        <f>SUM(F5:F10)</f>
        <v>0</v>
      </c>
      <c r="G11" s="181">
        <f>SUM(G5:G10)</f>
        <v>0</v>
      </c>
      <c r="H11" s="182"/>
      <c r="I11" s="481">
        <f t="shared" si="0"/>
        <v>1346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45902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744.6</v>
      </c>
      <c r="D12" s="43">
        <f>D11*1.02</f>
        <v>628.32000000000005</v>
      </c>
      <c r="E12" s="43">
        <f>E11*1.02</f>
        <v>0</v>
      </c>
      <c r="F12" s="43">
        <f>F11*1.02</f>
        <v>0</v>
      </c>
      <c r="G12" s="43">
        <f>G11*1.02</f>
        <v>0</v>
      </c>
      <c r="H12" s="44"/>
      <c r="I12" s="486">
        <f>I11*1.02</f>
        <v>1372.92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>$I$5</f>
        <v>406</v>
      </c>
      <c r="C15" s="474" t="str">
        <f t="shared" ref="C15:C31" si="1">$A$5</f>
        <v>LB</v>
      </c>
      <c r="D15" s="475"/>
      <c r="E15" s="476"/>
      <c r="F15" s="474"/>
      <c r="G15" s="475"/>
      <c r="H15" s="476"/>
      <c r="I15" s="71" t="s">
        <v>128</v>
      </c>
      <c r="J15" s="65" t="s">
        <v>6</v>
      </c>
      <c r="K15" s="66">
        <v>1.83</v>
      </c>
      <c r="L15" s="67" t="s">
        <v>7</v>
      </c>
      <c r="M15" s="68">
        <f>K15*B15</f>
        <v>742.98</v>
      </c>
      <c r="N15" s="69"/>
      <c r="O15" s="70"/>
      <c r="P15" s="67" t="s">
        <v>7</v>
      </c>
      <c r="Q15" s="478">
        <v>46062</v>
      </c>
      <c r="R15" s="311">
        <v>743.7</v>
      </c>
      <c r="S15" s="71" t="s">
        <v>7</v>
      </c>
      <c r="T15" s="123">
        <f t="shared" ref="T15:T116" si="2">R15-M15</f>
        <v>0.72000000000002728</v>
      </c>
      <c r="U15" s="72"/>
      <c r="V15" s="72"/>
      <c r="W15" s="73"/>
      <c r="X15" s="74"/>
      <c r="Y15" s="479" t="s">
        <v>250</v>
      </c>
      <c r="Z15" s="63"/>
      <c r="AA15" s="64"/>
      <c r="AB15" s="566" t="s">
        <v>289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485</v>
      </c>
      <c r="C16" s="368" t="str">
        <f>$A$6</f>
        <v>CO</v>
      </c>
      <c r="D16" s="369"/>
      <c r="E16" s="370"/>
      <c r="F16" s="368"/>
      <c r="G16" s="369"/>
      <c r="H16" s="370"/>
      <c r="I16" s="75" t="s">
        <v>128</v>
      </c>
      <c r="J16" s="76" t="s">
        <v>6</v>
      </c>
      <c r="K16" s="83">
        <v>1.83</v>
      </c>
      <c r="L16" s="77" t="s">
        <v>7</v>
      </c>
      <c r="M16" s="78">
        <f t="shared" ref="M16" si="3">K16*B16</f>
        <v>887.55000000000007</v>
      </c>
      <c r="N16" s="79"/>
      <c r="O16" s="128"/>
      <c r="P16" s="77" t="s">
        <v>7</v>
      </c>
      <c r="Q16" s="447"/>
      <c r="R16" s="294">
        <v>888.9</v>
      </c>
      <c r="S16" s="75" t="s">
        <v>7</v>
      </c>
      <c r="T16" s="81">
        <f t="shared" ref="T16" si="4">R16-M16</f>
        <v>1.3499999999999091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455</v>
      </c>
      <c r="C17" s="368" t="str">
        <f>$A$7</f>
        <v>CC</v>
      </c>
      <c r="D17" s="369"/>
      <c r="E17" s="370"/>
      <c r="F17" s="368"/>
      <c r="G17" s="369"/>
      <c r="H17" s="370"/>
      <c r="I17" s="75" t="s">
        <v>128</v>
      </c>
      <c r="J17" s="76" t="s">
        <v>6</v>
      </c>
      <c r="K17" s="323">
        <v>1.83</v>
      </c>
      <c r="L17" s="77" t="s">
        <v>7</v>
      </c>
      <c r="M17" s="78">
        <f t="shared" ref="M17:M116" si="5">K17*B17</f>
        <v>832.65</v>
      </c>
      <c r="N17" s="79"/>
      <c r="O17" s="128"/>
      <c r="P17" s="77" t="s">
        <v>7</v>
      </c>
      <c r="Q17" s="444"/>
      <c r="R17" s="294">
        <v>834</v>
      </c>
      <c r="S17" s="75" t="s">
        <v>7</v>
      </c>
      <c r="T17" s="81">
        <f t="shared" si="2"/>
        <v>1.3500000000000227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ref="B18:B31" si="6">$I$5</f>
        <v>406</v>
      </c>
      <c r="C18" s="461" t="str">
        <f t="shared" si="1"/>
        <v>LB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5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2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485</v>
      </c>
      <c r="C19" s="461" t="str">
        <f>$A$6</f>
        <v>CO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5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2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55" customFormat="1" ht="69.95" customHeight="1" x14ac:dyDescent="0.15">
      <c r="A20" s="431" t="s">
        <v>283</v>
      </c>
      <c r="B20" s="182">
        <f t="shared" si="6"/>
        <v>406</v>
      </c>
      <c r="C20" s="461" t="str">
        <f t="shared" si="1"/>
        <v>LB</v>
      </c>
      <c r="D20" s="461"/>
      <c r="E20" s="461"/>
      <c r="F20" s="461"/>
      <c r="G20" s="461"/>
      <c r="H20" s="461"/>
      <c r="I20" s="75" t="s">
        <v>288</v>
      </c>
      <c r="J20" s="76" t="s">
        <v>6</v>
      </c>
      <c r="K20" s="136">
        <v>0.61</v>
      </c>
      <c r="L20" s="77" t="s">
        <v>7</v>
      </c>
      <c r="M20" s="78">
        <f t="shared" ref="M20:M22" si="7">K20*B20</f>
        <v>247.66</v>
      </c>
      <c r="N20" s="79"/>
      <c r="O20" s="78"/>
      <c r="P20" s="80" t="s">
        <v>7</v>
      </c>
      <c r="Q20" s="443">
        <v>46101</v>
      </c>
      <c r="R20" s="78">
        <v>248</v>
      </c>
      <c r="S20" s="80" t="s">
        <v>7</v>
      </c>
      <c r="T20" s="81">
        <f t="shared" ref="T20:T22" si="8">R20-M20</f>
        <v>0.34000000000000341</v>
      </c>
      <c r="U20" s="598"/>
      <c r="V20" s="137"/>
      <c r="W20" s="80" t="s">
        <v>7</v>
      </c>
      <c r="X20" s="78"/>
      <c r="Y20" s="445" t="s">
        <v>93</v>
      </c>
      <c r="Z20" s="138"/>
      <c r="AA20" s="135"/>
      <c r="AB20" s="360" t="s">
        <v>321</v>
      </c>
      <c r="AC20" s="178"/>
      <c r="AD20" s="179"/>
      <c r="AE20" s="179"/>
      <c r="AF20" s="179"/>
    </row>
    <row r="21" spans="1:32" s="55" customFormat="1" ht="69.95" customHeight="1" x14ac:dyDescent="0.15">
      <c r="A21" s="559"/>
      <c r="B21" s="182">
        <f>$I$6</f>
        <v>485</v>
      </c>
      <c r="C21" s="461" t="str">
        <f>$A$6</f>
        <v>CO</v>
      </c>
      <c r="D21" s="461"/>
      <c r="E21" s="461"/>
      <c r="F21" s="461"/>
      <c r="G21" s="461"/>
      <c r="H21" s="461"/>
      <c r="I21" s="75" t="s">
        <v>287</v>
      </c>
      <c r="J21" s="76" t="s">
        <v>6</v>
      </c>
      <c r="K21" s="136">
        <v>0.61</v>
      </c>
      <c r="L21" s="77" t="s">
        <v>7</v>
      </c>
      <c r="M21" s="78">
        <f t="shared" si="7"/>
        <v>295.84999999999997</v>
      </c>
      <c r="N21" s="79"/>
      <c r="O21" s="128"/>
      <c r="P21" s="77" t="s">
        <v>7</v>
      </c>
      <c r="Q21" s="447"/>
      <c r="R21" s="137">
        <v>296</v>
      </c>
      <c r="S21" s="75" t="s">
        <v>7</v>
      </c>
      <c r="T21" s="81">
        <f t="shared" si="8"/>
        <v>0.15000000000003411</v>
      </c>
      <c r="U21" s="599"/>
      <c r="V21" s="131"/>
      <c r="W21" s="75" t="s">
        <v>7</v>
      </c>
      <c r="X21" s="133"/>
      <c r="Y21" s="557"/>
      <c r="Z21" s="228"/>
      <c r="AA21" s="228"/>
      <c r="AB21" s="361"/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$I$7</f>
        <v>455</v>
      </c>
      <c r="C22" s="461" t="str">
        <f>$A$7</f>
        <v>CC</v>
      </c>
      <c r="D22" s="461"/>
      <c r="E22" s="461"/>
      <c r="F22" s="461"/>
      <c r="G22" s="461"/>
      <c r="H22" s="461"/>
      <c r="I22" s="75" t="s">
        <v>288</v>
      </c>
      <c r="J22" s="76" t="s">
        <v>6</v>
      </c>
      <c r="K22" s="136">
        <v>0.61</v>
      </c>
      <c r="L22" s="77" t="s">
        <v>7</v>
      </c>
      <c r="M22" s="78">
        <f t="shared" si="7"/>
        <v>277.55</v>
      </c>
      <c r="N22" s="79"/>
      <c r="O22" s="128"/>
      <c r="P22" s="77" t="s">
        <v>7</v>
      </c>
      <c r="Q22" s="444"/>
      <c r="R22" s="137">
        <v>278</v>
      </c>
      <c r="S22" s="75" t="s">
        <v>7</v>
      </c>
      <c r="T22" s="81">
        <f t="shared" si="8"/>
        <v>0.44999999999998863</v>
      </c>
      <c r="U22" s="600"/>
      <c r="V22" s="131"/>
      <c r="W22" s="75" t="s">
        <v>7</v>
      </c>
      <c r="X22" s="133"/>
      <c r="Y22" s="446"/>
      <c r="Z22" s="228"/>
      <c r="AA22" s="228"/>
      <c r="AB22" s="362"/>
      <c r="AC22" s="178"/>
      <c r="AD22" s="179"/>
      <c r="AE22" s="179"/>
      <c r="AF22" s="179"/>
    </row>
    <row r="23" spans="1:32" s="55" customFormat="1" ht="69.95" customHeight="1" x14ac:dyDescent="0.15">
      <c r="A23" s="431" t="s">
        <v>315</v>
      </c>
      <c r="B23" s="182">
        <f t="shared" si="6"/>
        <v>406</v>
      </c>
      <c r="C23" s="461" t="str">
        <f t="shared" si="1"/>
        <v>LB</v>
      </c>
      <c r="D23" s="461"/>
      <c r="E23" s="461"/>
      <c r="F23" s="461"/>
      <c r="G23" s="461"/>
      <c r="H23" s="461"/>
      <c r="I23" s="75" t="s">
        <v>287</v>
      </c>
      <c r="J23" s="76" t="s">
        <v>6</v>
      </c>
      <c r="K23" s="136">
        <v>0.61</v>
      </c>
      <c r="L23" s="77" t="s">
        <v>7</v>
      </c>
      <c r="M23" s="78">
        <f t="shared" ref="M23:M25" si="9">K23*B23</f>
        <v>247.66</v>
      </c>
      <c r="N23" s="79"/>
      <c r="O23" s="78"/>
      <c r="P23" s="80" t="s">
        <v>7</v>
      </c>
      <c r="Q23" s="443">
        <v>46101</v>
      </c>
      <c r="R23" s="78">
        <v>248</v>
      </c>
      <c r="S23" s="80" t="s">
        <v>7</v>
      </c>
      <c r="T23" s="81">
        <f t="shared" ref="T23:T25" si="10">R23-M23</f>
        <v>0.34000000000000341</v>
      </c>
      <c r="U23" s="82"/>
      <c r="V23" s="137"/>
      <c r="W23" s="78"/>
      <c r="X23" s="78"/>
      <c r="Y23" s="445" t="s">
        <v>93</v>
      </c>
      <c r="Z23" s="138"/>
      <c r="AA23" s="135"/>
      <c r="AB23" s="360" t="s">
        <v>321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485</v>
      </c>
      <c r="C24" s="461" t="str">
        <f>$A$6</f>
        <v>CO</v>
      </c>
      <c r="D24" s="461"/>
      <c r="E24" s="461"/>
      <c r="F24" s="461"/>
      <c r="G24" s="461"/>
      <c r="H24" s="461"/>
      <c r="I24" s="75" t="s">
        <v>287</v>
      </c>
      <c r="J24" s="76" t="s">
        <v>6</v>
      </c>
      <c r="K24" s="136">
        <v>0.61</v>
      </c>
      <c r="L24" s="77" t="s">
        <v>7</v>
      </c>
      <c r="M24" s="78">
        <f t="shared" si="9"/>
        <v>295.84999999999997</v>
      </c>
      <c r="N24" s="79"/>
      <c r="O24" s="128"/>
      <c r="P24" s="77" t="s">
        <v>7</v>
      </c>
      <c r="Q24" s="447"/>
      <c r="R24" s="137">
        <v>296</v>
      </c>
      <c r="S24" s="75" t="s">
        <v>7</v>
      </c>
      <c r="T24" s="81">
        <f t="shared" si="10"/>
        <v>0.15000000000003411</v>
      </c>
      <c r="U24" s="131"/>
      <c r="V24" s="131"/>
      <c r="W24" s="132"/>
      <c r="X24" s="133"/>
      <c r="Y24" s="557"/>
      <c r="Z24" s="228"/>
      <c r="AA24" s="228"/>
      <c r="AB24" s="361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455</v>
      </c>
      <c r="C25" s="461" t="str">
        <f>$A$7</f>
        <v>CC</v>
      </c>
      <c r="D25" s="461"/>
      <c r="E25" s="461"/>
      <c r="F25" s="461"/>
      <c r="G25" s="461"/>
      <c r="H25" s="461"/>
      <c r="I25" s="75" t="s">
        <v>287</v>
      </c>
      <c r="J25" s="76" t="s">
        <v>6</v>
      </c>
      <c r="K25" s="136">
        <v>0.61</v>
      </c>
      <c r="L25" s="77" t="s">
        <v>7</v>
      </c>
      <c r="M25" s="78">
        <f t="shared" si="9"/>
        <v>277.55</v>
      </c>
      <c r="N25" s="79"/>
      <c r="O25" s="128"/>
      <c r="P25" s="77" t="s">
        <v>7</v>
      </c>
      <c r="Q25" s="444"/>
      <c r="R25" s="137">
        <v>278</v>
      </c>
      <c r="S25" s="75" t="s">
        <v>7</v>
      </c>
      <c r="T25" s="81">
        <f t="shared" si="10"/>
        <v>0.44999999999998863</v>
      </c>
      <c r="U25" s="131"/>
      <c r="V25" s="131"/>
      <c r="W25" s="132"/>
      <c r="X25" s="133"/>
      <c r="Y25" s="446"/>
      <c r="Z25" s="228"/>
      <c r="AA25" s="228"/>
      <c r="AB25" s="362"/>
      <c r="AC25" s="178"/>
      <c r="AD25" s="179"/>
      <c r="AE25" s="179"/>
      <c r="AF25" s="179"/>
    </row>
    <row r="26" spans="1:32" s="55" customFormat="1" ht="69.95" customHeight="1" x14ac:dyDescent="0.15">
      <c r="A26" s="431" t="s">
        <v>263</v>
      </c>
      <c r="B26" s="182">
        <f t="shared" si="6"/>
        <v>406</v>
      </c>
      <c r="C26" s="461" t="str">
        <f t="shared" si="1"/>
        <v>LB</v>
      </c>
      <c r="D26" s="461"/>
      <c r="E26" s="461"/>
      <c r="F26" s="461"/>
      <c r="G26" s="461"/>
      <c r="H26" s="461"/>
      <c r="I26" s="441" t="s">
        <v>8</v>
      </c>
      <c r="J26" s="76" t="s">
        <v>6</v>
      </c>
      <c r="K26" s="136">
        <v>0.97</v>
      </c>
      <c r="L26" s="77" t="s">
        <v>7</v>
      </c>
      <c r="M26" s="78">
        <f t="shared" si="5"/>
        <v>393.82</v>
      </c>
      <c r="N26" s="79"/>
      <c r="O26" s="78"/>
      <c r="P26" s="80" t="s">
        <v>7</v>
      </c>
      <c r="Q26" s="443">
        <v>46101</v>
      </c>
      <c r="R26" s="78">
        <v>394</v>
      </c>
      <c r="S26" s="80" t="s">
        <v>7</v>
      </c>
      <c r="T26" s="81">
        <f t="shared" si="2"/>
        <v>0.18000000000000682</v>
      </c>
      <c r="U26" s="598" t="s">
        <v>339</v>
      </c>
      <c r="V26" s="137"/>
      <c r="W26" s="80" t="s">
        <v>7</v>
      </c>
      <c r="X26" s="78"/>
      <c r="Y26" s="445" t="s">
        <v>93</v>
      </c>
      <c r="Z26" s="138"/>
      <c r="AA26" s="135"/>
      <c r="AB26" s="360" t="s">
        <v>321</v>
      </c>
      <c r="AC26" s="178"/>
      <c r="AD26" s="179"/>
      <c r="AE26" s="179"/>
      <c r="AF26" s="179"/>
    </row>
    <row r="27" spans="1:32" s="55" customFormat="1" ht="69.95" customHeight="1" x14ac:dyDescent="0.15">
      <c r="A27" s="559"/>
      <c r="B27" s="182">
        <f>$I$6</f>
        <v>485</v>
      </c>
      <c r="C27" s="461" t="str">
        <f>$A$6</f>
        <v>CO</v>
      </c>
      <c r="D27" s="461"/>
      <c r="E27" s="461"/>
      <c r="F27" s="461"/>
      <c r="G27" s="461"/>
      <c r="H27" s="461"/>
      <c r="I27" s="563"/>
      <c r="J27" s="76" t="s">
        <v>6</v>
      </c>
      <c r="K27" s="136">
        <v>0.97</v>
      </c>
      <c r="L27" s="77" t="s">
        <v>7</v>
      </c>
      <c r="M27" s="78">
        <f t="shared" ref="M27" si="11">K27*B27</f>
        <v>470.45</v>
      </c>
      <c r="N27" s="79"/>
      <c r="O27" s="128"/>
      <c r="P27" s="77" t="s">
        <v>7</v>
      </c>
      <c r="Q27" s="447"/>
      <c r="R27" s="137">
        <v>471</v>
      </c>
      <c r="S27" s="75" t="s">
        <v>7</v>
      </c>
      <c r="T27" s="81">
        <f t="shared" ref="T27" si="12">R27-M27</f>
        <v>0.55000000000001137</v>
      </c>
      <c r="U27" s="599"/>
      <c r="V27" s="75">
        <v>471</v>
      </c>
      <c r="W27" s="75" t="s">
        <v>7</v>
      </c>
      <c r="X27" s="133"/>
      <c r="Y27" s="557"/>
      <c r="Z27" s="228"/>
      <c r="AA27" s="228"/>
      <c r="AB27" s="361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82">
        <f>$I$7</f>
        <v>455</v>
      </c>
      <c r="C28" s="461" t="str">
        <f>$A$7</f>
        <v>CC</v>
      </c>
      <c r="D28" s="461"/>
      <c r="E28" s="461"/>
      <c r="F28" s="461"/>
      <c r="G28" s="461"/>
      <c r="H28" s="461"/>
      <c r="I28" s="442"/>
      <c r="J28" s="76" t="s">
        <v>6</v>
      </c>
      <c r="K28" s="136">
        <v>0.97</v>
      </c>
      <c r="L28" s="77" t="s">
        <v>7</v>
      </c>
      <c r="M28" s="78">
        <f t="shared" si="5"/>
        <v>441.34999999999997</v>
      </c>
      <c r="N28" s="79"/>
      <c r="O28" s="128"/>
      <c r="P28" s="77" t="s">
        <v>7</v>
      </c>
      <c r="Q28" s="444"/>
      <c r="R28" s="137">
        <v>442</v>
      </c>
      <c r="S28" s="75" t="s">
        <v>7</v>
      </c>
      <c r="T28" s="81">
        <f t="shared" si="2"/>
        <v>0.65000000000003411</v>
      </c>
      <c r="U28" s="600"/>
      <c r="V28" s="75">
        <v>442</v>
      </c>
      <c r="W28" s="75" t="s">
        <v>7</v>
      </c>
      <c r="X28" s="133"/>
      <c r="Y28" s="446"/>
      <c r="Z28" s="228"/>
      <c r="AA28" s="228"/>
      <c r="AB28" s="362"/>
      <c r="AC28" s="178"/>
      <c r="AD28" s="179"/>
      <c r="AE28" s="179"/>
      <c r="AF28" s="179"/>
    </row>
    <row r="29" spans="1:32" s="206" customFormat="1" ht="69.95" customHeight="1" x14ac:dyDescent="0.15">
      <c r="A29" s="431" t="s">
        <v>115</v>
      </c>
      <c r="B29" s="191">
        <f t="shared" si="6"/>
        <v>406</v>
      </c>
      <c r="C29" s="465" t="str">
        <f t="shared" si="1"/>
        <v>LB</v>
      </c>
      <c r="D29" s="465"/>
      <c r="E29" s="465"/>
      <c r="F29" s="465"/>
      <c r="G29" s="465"/>
      <c r="H29" s="465"/>
      <c r="I29" s="433" t="s">
        <v>8</v>
      </c>
      <c r="J29" s="192" t="s">
        <v>6</v>
      </c>
      <c r="K29" s="209"/>
      <c r="L29" s="194" t="s">
        <v>7</v>
      </c>
      <c r="M29" s="195">
        <f t="shared" si="5"/>
        <v>0</v>
      </c>
      <c r="N29" s="196"/>
      <c r="O29" s="195"/>
      <c r="P29" s="197" t="s">
        <v>7</v>
      </c>
      <c r="Q29" s="435"/>
      <c r="R29" s="195"/>
      <c r="S29" s="197" t="s">
        <v>7</v>
      </c>
      <c r="T29" s="198">
        <f t="shared" si="2"/>
        <v>0</v>
      </c>
      <c r="U29" s="199"/>
      <c r="V29" s="200"/>
      <c r="W29" s="195"/>
      <c r="X29" s="195"/>
      <c r="Y29" s="437" t="s">
        <v>93</v>
      </c>
      <c r="Z29" s="235"/>
      <c r="AA29" s="202"/>
      <c r="AB29" s="439"/>
      <c r="AC29" s="229"/>
      <c r="AD29" s="230"/>
      <c r="AE29" s="230"/>
      <c r="AF29" s="230"/>
    </row>
    <row r="30" spans="1:32" s="206" customFormat="1" ht="69.95" customHeight="1" x14ac:dyDescent="0.15">
      <c r="A30" s="432"/>
      <c r="B30" s="191">
        <f>$I$6</f>
        <v>485</v>
      </c>
      <c r="C30" s="465" t="str">
        <f>$A$6</f>
        <v>CO</v>
      </c>
      <c r="D30" s="465"/>
      <c r="E30" s="465"/>
      <c r="F30" s="465"/>
      <c r="G30" s="465"/>
      <c r="H30" s="465"/>
      <c r="I30" s="434"/>
      <c r="J30" s="192" t="s">
        <v>6</v>
      </c>
      <c r="K30" s="209"/>
      <c r="L30" s="194" t="s">
        <v>7</v>
      </c>
      <c r="M30" s="195">
        <f t="shared" si="5"/>
        <v>0</v>
      </c>
      <c r="N30" s="196"/>
      <c r="O30" s="210"/>
      <c r="P30" s="194" t="s">
        <v>7</v>
      </c>
      <c r="Q30" s="436"/>
      <c r="R30" s="236"/>
      <c r="S30" s="207" t="s">
        <v>7</v>
      </c>
      <c r="T30" s="198">
        <f t="shared" si="2"/>
        <v>0</v>
      </c>
      <c r="U30" s="211"/>
      <c r="V30" s="211"/>
      <c r="W30" s="212"/>
      <c r="X30" s="213"/>
      <c r="Y30" s="438"/>
      <c r="Z30" s="238"/>
      <c r="AA30" s="238"/>
      <c r="AB30" s="440"/>
      <c r="AC30" s="229"/>
      <c r="AD30" s="230"/>
      <c r="AE30" s="230"/>
      <c r="AF30" s="230"/>
    </row>
    <row r="31" spans="1:32" s="55" customFormat="1" ht="69.95" customHeight="1" x14ac:dyDescent="0.15">
      <c r="A31" s="431" t="s">
        <v>284</v>
      </c>
      <c r="B31" s="182">
        <f t="shared" si="6"/>
        <v>406</v>
      </c>
      <c r="C31" s="461" t="str">
        <f t="shared" si="1"/>
        <v>LB</v>
      </c>
      <c r="D31" s="461"/>
      <c r="E31" s="461"/>
      <c r="F31" s="461"/>
      <c r="G31" s="461"/>
      <c r="H31" s="461"/>
      <c r="I31" s="441" t="s">
        <v>58</v>
      </c>
      <c r="J31" s="76"/>
      <c r="K31" s="136">
        <v>0.08</v>
      </c>
      <c r="L31" s="77" t="s">
        <v>7</v>
      </c>
      <c r="M31" s="78">
        <f t="shared" si="5"/>
        <v>32.480000000000004</v>
      </c>
      <c r="N31" s="79"/>
      <c r="O31" s="78"/>
      <c r="P31" s="80" t="s">
        <v>7</v>
      </c>
      <c r="Q31" s="443">
        <v>46101</v>
      </c>
      <c r="R31" s="78">
        <v>32</v>
      </c>
      <c r="S31" s="80" t="s">
        <v>7</v>
      </c>
      <c r="T31" s="81">
        <f t="shared" si="2"/>
        <v>-0.48000000000000398</v>
      </c>
      <c r="U31" s="82"/>
      <c r="V31" s="137"/>
      <c r="W31" s="78"/>
      <c r="X31" s="78"/>
      <c r="Y31" s="445" t="s">
        <v>59</v>
      </c>
      <c r="Z31" s="138"/>
      <c r="AA31" s="135"/>
      <c r="AB31" s="360" t="s">
        <v>321</v>
      </c>
      <c r="AC31" s="178"/>
      <c r="AD31" s="179"/>
      <c r="AE31" s="179"/>
      <c r="AF31" s="179"/>
    </row>
    <row r="32" spans="1:32" s="55" customFormat="1" ht="69.95" customHeight="1" x14ac:dyDescent="0.15">
      <c r="A32" s="559"/>
      <c r="B32" s="182">
        <f>$I$6</f>
        <v>485</v>
      </c>
      <c r="C32" s="461" t="str">
        <f>$A$6</f>
        <v>CO</v>
      </c>
      <c r="D32" s="461"/>
      <c r="E32" s="461"/>
      <c r="F32" s="461"/>
      <c r="G32" s="461"/>
      <c r="H32" s="461"/>
      <c r="I32" s="563"/>
      <c r="J32" s="76"/>
      <c r="K32" s="136">
        <v>0.08</v>
      </c>
      <c r="L32" s="77" t="s">
        <v>7</v>
      </c>
      <c r="M32" s="78">
        <f t="shared" ref="M32" si="13">K32*B32</f>
        <v>38.800000000000004</v>
      </c>
      <c r="N32" s="79"/>
      <c r="O32" s="128"/>
      <c r="P32" s="77" t="s">
        <v>7</v>
      </c>
      <c r="Q32" s="447"/>
      <c r="R32" s="137">
        <v>39</v>
      </c>
      <c r="S32" s="75" t="s">
        <v>7</v>
      </c>
      <c r="T32" s="81">
        <f t="shared" ref="T32" si="14">R32-M32</f>
        <v>0.19999999999999574</v>
      </c>
      <c r="U32" s="131"/>
      <c r="V32" s="131"/>
      <c r="W32" s="132"/>
      <c r="X32" s="133"/>
      <c r="Y32" s="557"/>
      <c r="Z32" s="134"/>
      <c r="AA32" s="135"/>
      <c r="AB32" s="361"/>
      <c r="AC32" s="178"/>
      <c r="AD32" s="179"/>
      <c r="AE32" s="179"/>
      <c r="AF32" s="179"/>
    </row>
    <row r="33" spans="1:32" s="55" customFormat="1" ht="69.95" customHeight="1" thickBot="1" x14ac:dyDescent="0.2">
      <c r="A33" s="432"/>
      <c r="B33" s="182">
        <f>$I$7</f>
        <v>455</v>
      </c>
      <c r="C33" s="461" t="str">
        <f>$A$7</f>
        <v>CC</v>
      </c>
      <c r="D33" s="461"/>
      <c r="E33" s="461"/>
      <c r="F33" s="461"/>
      <c r="G33" s="461"/>
      <c r="H33" s="461"/>
      <c r="I33" s="442"/>
      <c r="J33" s="76"/>
      <c r="K33" s="136">
        <v>0.08</v>
      </c>
      <c r="L33" s="77" t="s">
        <v>7</v>
      </c>
      <c r="M33" s="78">
        <f t="shared" si="5"/>
        <v>36.4</v>
      </c>
      <c r="N33" s="79"/>
      <c r="O33" s="128"/>
      <c r="P33" s="77" t="s">
        <v>7</v>
      </c>
      <c r="Q33" s="444"/>
      <c r="R33" s="137">
        <v>36</v>
      </c>
      <c r="S33" s="75" t="s">
        <v>7</v>
      </c>
      <c r="T33" s="81">
        <f t="shared" si="2"/>
        <v>-0.39999999999999858</v>
      </c>
      <c r="U33" s="131"/>
      <c r="V33" s="131"/>
      <c r="W33" s="132"/>
      <c r="X33" s="133"/>
      <c r="Y33" s="446"/>
      <c r="Z33" s="134"/>
      <c r="AA33" s="135"/>
      <c r="AB33" s="362"/>
      <c r="AC33" s="178"/>
      <c r="AD33" s="179"/>
      <c r="AE33" s="179"/>
      <c r="AF33" s="179"/>
    </row>
    <row r="34" spans="1:32" s="143" customFormat="1" ht="69.95" customHeight="1" thickTop="1" x14ac:dyDescent="0.15">
      <c r="A34" s="431" t="s">
        <v>108</v>
      </c>
      <c r="B34" s="191">
        <f>$I$5</f>
        <v>406</v>
      </c>
      <c r="C34" s="465" t="str">
        <f>$A$5</f>
        <v>LB</v>
      </c>
      <c r="D34" s="465"/>
      <c r="E34" s="465"/>
      <c r="F34" s="465"/>
      <c r="G34" s="465"/>
      <c r="H34" s="465"/>
      <c r="I34" s="433" t="s">
        <v>8</v>
      </c>
      <c r="J34" s="192" t="s">
        <v>6</v>
      </c>
      <c r="K34" s="209"/>
      <c r="L34" s="194" t="s">
        <v>7</v>
      </c>
      <c r="M34" s="195">
        <f>K34*B34</f>
        <v>0</v>
      </c>
      <c r="N34" s="196"/>
      <c r="O34" s="195"/>
      <c r="P34" s="197" t="s">
        <v>7</v>
      </c>
      <c r="Q34" s="435"/>
      <c r="R34" s="195"/>
      <c r="S34" s="197" t="s">
        <v>9</v>
      </c>
      <c r="T34" s="198">
        <f t="shared" si="2"/>
        <v>0</v>
      </c>
      <c r="U34" s="199"/>
      <c r="V34" s="200"/>
      <c r="W34" s="195"/>
      <c r="X34" s="195"/>
      <c r="Y34" s="437" t="s">
        <v>59</v>
      </c>
      <c r="Z34" s="201"/>
      <c r="AA34" s="202"/>
      <c r="AB34" s="596"/>
    </row>
    <row r="35" spans="1:32" s="143" customFormat="1" ht="69.95" customHeight="1" x14ac:dyDescent="0.15">
      <c r="A35" s="432"/>
      <c r="B35" s="191">
        <f>$I$6</f>
        <v>485</v>
      </c>
      <c r="C35" s="465" t="str">
        <f>$A$6</f>
        <v>CO</v>
      </c>
      <c r="D35" s="465"/>
      <c r="E35" s="465"/>
      <c r="F35" s="465"/>
      <c r="G35" s="465"/>
      <c r="H35" s="465"/>
      <c r="I35" s="434"/>
      <c r="J35" s="192" t="s">
        <v>6</v>
      </c>
      <c r="K35" s="209"/>
      <c r="L35" s="194" t="s">
        <v>7</v>
      </c>
      <c r="M35" s="195">
        <f>K35*B35</f>
        <v>0</v>
      </c>
      <c r="N35" s="196"/>
      <c r="O35" s="210"/>
      <c r="P35" s="194" t="s">
        <v>7</v>
      </c>
      <c r="Q35" s="436"/>
      <c r="R35" s="200"/>
      <c r="S35" s="207" t="s">
        <v>9</v>
      </c>
      <c r="T35" s="198">
        <f t="shared" si="2"/>
        <v>0</v>
      </c>
      <c r="U35" s="211"/>
      <c r="V35" s="211"/>
      <c r="W35" s="212"/>
      <c r="X35" s="213"/>
      <c r="Y35" s="438"/>
      <c r="Z35" s="214"/>
      <c r="AA35" s="202"/>
      <c r="AB35" s="440"/>
      <c r="AC35" s="577"/>
      <c r="AD35" s="578"/>
      <c r="AE35" s="578"/>
      <c r="AF35" s="578"/>
    </row>
    <row r="36" spans="1:32" s="143" customFormat="1" ht="69.95" customHeight="1" x14ac:dyDescent="0.15">
      <c r="A36" s="464" t="s">
        <v>86</v>
      </c>
      <c r="B36" s="182">
        <f>$I$5</f>
        <v>406</v>
      </c>
      <c r="C36" s="461" t="str">
        <f>$A$5</f>
        <v>LB</v>
      </c>
      <c r="D36" s="461"/>
      <c r="E36" s="461"/>
      <c r="F36" s="461"/>
      <c r="G36" s="461"/>
      <c r="H36" s="461"/>
      <c r="I36" s="441" t="s">
        <v>251</v>
      </c>
      <c r="J36" s="76"/>
      <c r="K36" s="136">
        <v>22.9</v>
      </c>
      <c r="L36" s="77" t="s">
        <v>7</v>
      </c>
      <c r="M36" s="78">
        <f t="shared" ref="M36:M41" si="15">K36*B36/50</f>
        <v>185.94799999999998</v>
      </c>
      <c r="N36" s="79"/>
      <c r="O36" s="78"/>
      <c r="P36" s="80" t="s">
        <v>7</v>
      </c>
      <c r="Q36" s="443">
        <v>46101</v>
      </c>
      <c r="R36" s="78">
        <v>186</v>
      </c>
      <c r="S36" s="80" t="s">
        <v>9</v>
      </c>
      <c r="T36" s="81">
        <f t="shared" si="2"/>
        <v>5.2000000000020918E-2</v>
      </c>
      <c r="U36" s="82"/>
      <c r="V36" s="137"/>
      <c r="W36" s="78"/>
      <c r="X36" s="78"/>
      <c r="Y36" s="445" t="s">
        <v>94</v>
      </c>
      <c r="Z36" s="141"/>
      <c r="AA36" s="135"/>
      <c r="AB36" s="360" t="s">
        <v>321</v>
      </c>
    </row>
    <row r="37" spans="1:32" s="143" customFormat="1" ht="69.95" customHeight="1" x14ac:dyDescent="0.15">
      <c r="A37" s="464"/>
      <c r="B37" s="182">
        <f>$I$6</f>
        <v>485</v>
      </c>
      <c r="C37" s="461" t="str">
        <f>$A$6</f>
        <v>CO</v>
      </c>
      <c r="D37" s="461"/>
      <c r="E37" s="461"/>
      <c r="F37" s="461"/>
      <c r="G37" s="461"/>
      <c r="H37" s="461"/>
      <c r="I37" s="563"/>
      <c r="J37" s="76"/>
      <c r="K37" s="136">
        <v>22.9</v>
      </c>
      <c r="L37" s="77" t="s">
        <v>7</v>
      </c>
      <c r="M37" s="78">
        <f t="shared" si="15"/>
        <v>222.13</v>
      </c>
      <c r="N37" s="79"/>
      <c r="O37" s="128"/>
      <c r="P37" s="77" t="s">
        <v>7</v>
      </c>
      <c r="Q37" s="447"/>
      <c r="R37" s="137">
        <v>223</v>
      </c>
      <c r="S37" s="75" t="s">
        <v>9</v>
      </c>
      <c r="T37" s="81">
        <f t="shared" ref="T37" si="16">R37-M37</f>
        <v>0.87000000000000455</v>
      </c>
      <c r="U37" s="131"/>
      <c r="V37" s="131"/>
      <c r="W37" s="132"/>
      <c r="X37" s="133"/>
      <c r="Y37" s="557"/>
      <c r="Z37" s="134"/>
      <c r="AA37" s="135"/>
      <c r="AB37" s="361"/>
      <c r="AC37" s="577"/>
      <c r="AD37" s="578"/>
      <c r="AE37" s="578"/>
      <c r="AF37" s="578"/>
    </row>
    <row r="38" spans="1:32" s="143" customFormat="1" ht="69.95" customHeight="1" x14ac:dyDescent="0.15">
      <c r="A38" s="464"/>
      <c r="B38" s="182">
        <f>$I$7</f>
        <v>455</v>
      </c>
      <c r="C38" s="461" t="str">
        <f>$A$7</f>
        <v>CC</v>
      </c>
      <c r="D38" s="461"/>
      <c r="E38" s="461"/>
      <c r="F38" s="461"/>
      <c r="G38" s="461"/>
      <c r="H38" s="461"/>
      <c r="I38" s="442"/>
      <c r="J38" s="76"/>
      <c r="K38" s="136">
        <v>22.9</v>
      </c>
      <c r="L38" s="77" t="s">
        <v>7</v>
      </c>
      <c r="M38" s="78">
        <f t="shared" si="15"/>
        <v>208.39</v>
      </c>
      <c r="N38" s="79"/>
      <c r="O38" s="128"/>
      <c r="P38" s="77" t="s">
        <v>7</v>
      </c>
      <c r="Q38" s="444"/>
      <c r="R38" s="137">
        <v>209</v>
      </c>
      <c r="S38" s="75" t="s">
        <v>9</v>
      </c>
      <c r="T38" s="81">
        <f t="shared" si="2"/>
        <v>0.61000000000001364</v>
      </c>
      <c r="U38" s="131"/>
      <c r="V38" s="131"/>
      <c r="W38" s="132"/>
      <c r="X38" s="133"/>
      <c r="Y38" s="446"/>
      <c r="Z38" s="134"/>
      <c r="AA38" s="135"/>
      <c r="AB38" s="361"/>
      <c r="AC38" s="577"/>
      <c r="AD38" s="578"/>
      <c r="AE38" s="578"/>
      <c r="AF38" s="578"/>
    </row>
    <row r="39" spans="1:32" s="143" customFormat="1" ht="69.95" customHeight="1" x14ac:dyDescent="0.15">
      <c r="A39" s="464" t="s">
        <v>222</v>
      </c>
      <c r="B39" s="182">
        <f>$I$5</f>
        <v>406</v>
      </c>
      <c r="C39" s="461" t="str">
        <f>$A$5</f>
        <v>LB</v>
      </c>
      <c r="D39" s="461"/>
      <c r="E39" s="461"/>
      <c r="F39" s="461"/>
      <c r="G39" s="461"/>
      <c r="H39" s="461"/>
      <c r="I39" s="441" t="s">
        <v>76</v>
      </c>
      <c r="J39" s="76"/>
      <c r="K39" s="136">
        <v>0.7</v>
      </c>
      <c r="L39" s="77" t="s">
        <v>7</v>
      </c>
      <c r="M39" s="78">
        <f t="shared" si="15"/>
        <v>5.6840000000000002</v>
      </c>
      <c r="N39" s="79"/>
      <c r="O39" s="78"/>
      <c r="P39" s="80" t="s">
        <v>7</v>
      </c>
      <c r="Q39" s="443">
        <v>46101</v>
      </c>
      <c r="R39" s="78">
        <v>6</v>
      </c>
      <c r="S39" s="80" t="s">
        <v>9</v>
      </c>
      <c r="T39" s="81">
        <f t="shared" si="2"/>
        <v>0.31599999999999984</v>
      </c>
      <c r="U39" s="82"/>
      <c r="V39" s="137"/>
      <c r="W39" s="78"/>
      <c r="X39" s="78"/>
      <c r="Y39" s="445" t="s">
        <v>94</v>
      </c>
      <c r="Z39" s="141"/>
      <c r="AA39" s="135"/>
      <c r="AB39" s="361"/>
    </row>
    <row r="40" spans="1:32" s="143" customFormat="1" ht="69.95" customHeight="1" x14ac:dyDescent="0.15">
      <c r="A40" s="464"/>
      <c r="B40" s="182">
        <f>$I$6</f>
        <v>485</v>
      </c>
      <c r="C40" s="461" t="str">
        <f>$A$6</f>
        <v>CO</v>
      </c>
      <c r="D40" s="461"/>
      <c r="E40" s="461"/>
      <c r="F40" s="461"/>
      <c r="G40" s="461"/>
      <c r="H40" s="461"/>
      <c r="I40" s="563"/>
      <c r="J40" s="76"/>
      <c r="K40" s="136">
        <v>0.7</v>
      </c>
      <c r="L40" s="77" t="s">
        <v>7</v>
      </c>
      <c r="M40" s="78">
        <f t="shared" si="15"/>
        <v>6.79</v>
      </c>
      <c r="N40" s="79"/>
      <c r="O40" s="128"/>
      <c r="P40" s="77" t="s">
        <v>7</v>
      </c>
      <c r="Q40" s="447"/>
      <c r="R40" s="137">
        <v>7</v>
      </c>
      <c r="S40" s="75" t="s">
        <v>9</v>
      </c>
      <c r="T40" s="81">
        <f t="shared" ref="T40" si="17">R40-M40</f>
        <v>0.20999999999999996</v>
      </c>
      <c r="U40" s="131"/>
      <c r="V40" s="131"/>
      <c r="W40" s="132"/>
      <c r="X40" s="133"/>
      <c r="Y40" s="557"/>
      <c r="Z40" s="134"/>
      <c r="AA40" s="135"/>
      <c r="AB40" s="361"/>
      <c r="AC40" s="577"/>
      <c r="AD40" s="578"/>
      <c r="AE40" s="578"/>
      <c r="AF40" s="578"/>
    </row>
    <row r="41" spans="1:32" s="143" customFormat="1" ht="69.95" customHeight="1" x14ac:dyDescent="0.15">
      <c r="A41" s="464"/>
      <c r="B41" s="182">
        <f>$I$7</f>
        <v>455</v>
      </c>
      <c r="C41" s="461" t="str">
        <f>$A$7</f>
        <v>CC</v>
      </c>
      <c r="D41" s="461"/>
      <c r="E41" s="461"/>
      <c r="F41" s="461"/>
      <c r="G41" s="461"/>
      <c r="H41" s="461"/>
      <c r="I41" s="442"/>
      <c r="J41" s="76"/>
      <c r="K41" s="136">
        <v>0.7</v>
      </c>
      <c r="L41" s="77" t="s">
        <v>7</v>
      </c>
      <c r="M41" s="78">
        <f t="shared" si="15"/>
        <v>6.37</v>
      </c>
      <c r="N41" s="79"/>
      <c r="O41" s="128"/>
      <c r="P41" s="77" t="s">
        <v>7</v>
      </c>
      <c r="Q41" s="444"/>
      <c r="R41" s="137">
        <v>7</v>
      </c>
      <c r="S41" s="75" t="s">
        <v>9</v>
      </c>
      <c r="T41" s="81">
        <f t="shared" si="2"/>
        <v>0.62999999999999989</v>
      </c>
      <c r="U41" s="131"/>
      <c r="V41" s="131"/>
      <c r="W41" s="132"/>
      <c r="X41" s="133"/>
      <c r="Y41" s="446"/>
      <c r="Z41" s="134"/>
      <c r="AA41" s="135"/>
      <c r="AB41" s="361"/>
      <c r="AC41" s="577"/>
      <c r="AD41" s="578"/>
      <c r="AE41" s="578"/>
      <c r="AF41" s="578"/>
    </row>
    <row r="42" spans="1:32" s="203" customFormat="1" ht="69.95" customHeight="1" x14ac:dyDescent="0.15">
      <c r="A42" s="464" t="s">
        <v>77</v>
      </c>
      <c r="B42" s="182">
        <f>$I$5</f>
        <v>406</v>
      </c>
      <c r="C42" s="461" t="str">
        <f>$A$5</f>
        <v>LB</v>
      </c>
      <c r="D42" s="461"/>
      <c r="E42" s="461"/>
      <c r="F42" s="461"/>
      <c r="G42" s="461"/>
      <c r="H42" s="461"/>
      <c r="I42" s="441" t="s">
        <v>76</v>
      </c>
      <c r="J42" s="76"/>
      <c r="K42" s="136">
        <v>0.5</v>
      </c>
      <c r="L42" s="77" t="s">
        <v>7</v>
      </c>
      <c r="M42" s="78">
        <f>K42*B42/100</f>
        <v>2.0299999999999998</v>
      </c>
      <c r="N42" s="79"/>
      <c r="O42" s="78"/>
      <c r="P42" s="80" t="s">
        <v>7</v>
      </c>
      <c r="Q42" s="443">
        <v>46101</v>
      </c>
      <c r="R42" s="78">
        <v>3</v>
      </c>
      <c r="S42" s="80" t="s">
        <v>9</v>
      </c>
      <c r="T42" s="81">
        <f>R42-M42</f>
        <v>0.9700000000000002</v>
      </c>
      <c r="U42" s="82"/>
      <c r="V42" s="137"/>
      <c r="W42" s="78"/>
      <c r="X42" s="78"/>
      <c r="Y42" s="445" t="s">
        <v>94</v>
      </c>
      <c r="Z42" s="141"/>
      <c r="AA42" s="135"/>
      <c r="AB42" s="361"/>
    </row>
    <row r="43" spans="1:32" s="203" customFormat="1" ht="69.95" customHeight="1" x14ac:dyDescent="0.15">
      <c r="A43" s="464"/>
      <c r="B43" s="182">
        <f>$I$6</f>
        <v>485</v>
      </c>
      <c r="C43" s="461" t="str">
        <f>$A$6</f>
        <v>CO</v>
      </c>
      <c r="D43" s="461"/>
      <c r="E43" s="461"/>
      <c r="F43" s="461"/>
      <c r="G43" s="461"/>
      <c r="H43" s="461"/>
      <c r="I43" s="563"/>
      <c r="J43" s="76"/>
      <c r="K43" s="83">
        <v>0.5</v>
      </c>
      <c r="L43" s="77" t="s">
        <v>7</v>
      </c>
      <c r="M43" s="78">
        <f>K43*B43/100</f>
        <v>2.4249999999999998</v>
      </c>
      <c r="N43" s="79"/>
      <c r="O43" s="128"/>
      <c r="P43" s="77" t="s">
        <v>7</v>
      </c>
      <c r="Q43" s="447"/>
      <c r="R43" s="137">
        <v>3</v>
      </c>
      <c r="S43" s="75" t="s">
        <v>9</v>
      </c>
      <c r="T43" s="81">
        <f>R43-M43</f>
        <v>0.57500000000000018</v>
      </c>
      <c r="U43" s="131"/>
      <c r="V43" s="131"/>
      <c r="W43" s="132"/>
      <c r="X43" s="133"/>
      <c r="Y43" s="557"/>
      <c r="Z43" s="134"/>
      <c r="AA43" s="135"/>
      <c r="AB43" s="361"/>
      <c r="AC43" s="466"/>
      <c r="AD43" s="467"/>
      <c r="AE43" s="467"/>
      <c r="AF43" s="467"/>
    </row>
    <row r="44" spans="1:32" s="203" customFormat="1" ht="69.95" customHeight="1" x14ac:dyDescent="0.15">
      <c r="A44" s="464"/>
      <c r="B44" s="182">
        <f>$I$7</f>
        <v>455</v>
      </c>
      <c r="C44" s="461" t="str">
        <f>$A$7</f>
        <v>CC</v>
      </c>
      <c r="D44" s="461"/>
      <c r="E44" s="461"/>
      <c r="F44" s="461"/>
      <c r="G44" s="461"/>
      <c r="H44" s="461"/>
      <c r="I44" s="442"/>
      <c r="J44" s="76"/>
      <c r="K44" s="83">
        <v>0.5</v>
      </c>
      <c r="L44" s="77" t="s">
        <v>7</v>
      </c>
      <c r="M44" s="78">
        <f>K44*B44/100</f>
        <v>2.2749999999999999</v>
      </c>
      <c r="N44" s="79"/>
      <c r="O44" s="128"/>
      <c r="P44" s="77" t="s">
        <v>7</v>
      </c>
      <c r="Q44" s="444"/>
      <c r="R44" s="137">
        <v>3</v>
      </c>
      <c r="S44" s="75" t="s">
        <v>9</v>
      </c>
      <c r="T44" s="81">
        <f>R44-M44</f>
        <v>0.72500000000000009</v>
      </c>
      <c r="U44" s="131"/>
      <c r="V44" s="131"/>
      <c r="W44" s="132"/>
      <c r="X44" s="133"/>
      <c r="Y44" s="446"/>
      <c r="Z44" s="134"/>
      <c r="AA44" s="135"/>
      <c r="AB44" s="362"/>
      <c r="AC44" s="466"/>
      <c r="AD44" s="467"/>
      <c r="AE44" s="467"/>
      <c r="AF44" s="467"/>
    </row>
    <row r="45" spans="1:32" s="203" customFormat="1" ht="69.95" customHeight="1" x14ac:dyDescent="0.15">
      <c r="A45" s="464" t="s">
        <v>116</v>
      </c>
      <c r="B45" s="191">
        <f>$I$5</f>
        <v>406</v>
      </c>
      <c r="C45" s="465" t="str">
        <f>$A$5</f>
        <v>LB</v>
      </c>
      <c r="D45" s="465"/>
      <c r="E45" s="465"/>
      <c r="F45" s="465"/>
      <c r="G45" s="465"/>
      <c r="H45" s="465"/>
      <c r="I45" s="433" t="s">
        <v>76</v>
      </c>
      <c r="J45" s="192"/>
      <c r="K45" s="209"/>
      <c r="L45" s="194" t="s">
        <v>7</v>
      </c>
      <c r="M45" s="195">
        <f>K45*B45/50</f>
        <v>0</v>
      </c>
      <c r="N45" s="196"/>
      <c r="O45" s="195"/>
      <c r="P45" s="197" t="s">
        <v>7</v>
      </c>
      <c r="Q45" s="435"/>
      <c r="R45" s="195"/>
      <c r="S45" s="197" t="s">
        <v>9</v>
      </c>
      <c r="T45" s="198">
        <f t="shared" si="2"/>
        <v>0</v>
      </c>
      <c r="U45" s="199"/>
      <c r="V45" s="200"/>
      <c r="W45" s="195"/>
      <c r="X45" s="195"/>
      <c r="Y45" s="437" t="s">
        <v>94</v>
      </c>
      <c r="Z45" s="201"/>
      <c r="AA45" s="202"/>
      <c r="AB45" s="439"/>
    </row>
    <row r="46" spans="1:32" s="203" customFormat="1" ht="69.95" customHeight="1" x14ac:dyDescent="0.15">
      <c r="A46" s="464"/>
      <c r="B46" s="191">
        <f>$I$6</f>
        <v>485</v>
      </c>
      <c r="C46" s="465" t="str">
        <f>$A$6</f>
        <v>CO</v>
      </c>
      <c r="D46" s="465"/>
      <c r="E46" s="465"/>
      <c r="F46" s="465"/>
      <c r="G46" s="465"/>
      <c r="H46" s="465"/>
      <c r="I46" s="434"/>
      <c r="J46" s="192"/>
      <c r="K46" s="208"/>
      <c r="L46" s="194" t="s">
        <v>7</v>
      </c>
      <c r="M46" s="195">
        <f>K46*B46/50</f>
        <v>0</v>
      </c>
      <c r="N46" s="196"/>
      <c r="O46" s="210"/>
      <c r="P46" s="194" t="s">
        <v>7</v>
      </c>
      <c r="Q46" s="436"/>
      <c r="R46" s="200"/>
      <c r="S46" s="207" t="s">
        <v>9</v>
      </c>
      <c r="T46" s="198">
        <f t="shared" si="2"/>
        <v>0</v>
      </c>
      <c r="U46" s="211"/>
      <c r="V46" s="211"/>
      <c r="W46" s="212"/>
      <c r="X46" s="213"/>
      <c r="Y46" s="438"/>
      <c r="Z46" s="214"/>
      <c r="AA46" s="202"/>
      <c r="AB46" s="440"/>
      <c r="AC46" s="466"/>
      <c r="AD46" s="467"/>
      <c r="AE46" s="467"/>
      <c r="AF46" s="467"/>
    </row>
    <row r="47" spans="1:32" s="143" customFormat="1" ht="69.95" customHeight="1" x14ac:dyDescent="0.15">
      <c r="A47" s="431" t="s">
        <v>88</v>
      </c>
      <c r="B47" s="182">
        <f>$I$5</f>
        <v>406</v>
      </c>
      <c r="C47" s="461" t="str">
        <f>$A$5</f>
        <v>LB</v>
      </c>
      <c r="D47" s="461"/>
      <c r="E47" s="461"/>
      <c r="F47" s="461"/>
      <c r="G47" s="461"/>
      <c r="H47" s="461"/>
      <c r="I47" s="441" t="s">
        <v>62</v>
      </c>
      <c r="J47" s="76"/>
      <c r="K47" s="139">
        <v>300</v>
      </c>
      <c r="L47" s="77" t="s">
        <v>61</v>
      </c>
      <c r="M47" s="78">
        <f t="shared" ref="M47:M49" si="18">K47*B47/2500</f>
        <v>48.72</v>
      </c>
      <c r="N47" s="79"/>
      <c r="O47" s="78"/>
      <c r="P47" s="80" t="s">
        <v>10</v>
      </c>
      <c r="Q47" s="443">
        <v>46101</v>
      </c>
      <c r="R47" s="78">
        <v>49</v>
      </c>
      <c r="S47" s="80" t="s">
        <v>10</v>
      </c>
      <c r="T47" s="81">
        <f t="shared" si="2"/>
        <v>0.28000000000000114</v>
      </c>
      <c r="U47" s="82"/>
      <c r="V47" s="137"/>
      <c r="W47" s="78"/>
      <c r="X47" s="78"/>
      <c r="Y47" s="445" t="s">
        <v>94</v>
      </c>
      <c r="Z47" s="141"/>
      <c r="AA47" s="135"/>
      <c r="AB47" s="360" t="s">
        <v>321</v>
      </c>
    </row>
    <row r="48" spans="1:32" s="55" customFormat="1" ht="69.95" customHeight="1" x14ac:dyDescent="0.15">
      <c r="A48" s="559"/>
      <c r="B48" s="186">
        <f>$I$6</f>
        <v>485</v>
      </c>
      <c r="C48" s="395" t="str">
        <f>$A$6</f>
        <v>CO</v>
      </c>
      <c r="D48" s="396"/>
      <c r="E48" s="397"/>
      <c r="F48" s="395"/>
      <c r="G48" s="396"/>
      <c r="H48" s="397"/>
      <c r="I48" s="563"/>
      <c r="J48" s="144"/>
      <c r="K48" s="139">
        <v>300</v>
      </c>
      <c r="L48" s="145" t="s">
        <v>61</v>
      </c>
      <c r="M48" s="78">
        <f t="shared" ref="M48" si="19">K48*B48/2500</f>
        <v>58.2</v>
      </c>
      <c r="N48" s="146"/>
      <c r="O48" s="147"/>
      <c r="P48" s="145" t="s">
        <v>10</v>
      </c>
      <c r="Q48" s="447"/>
      <c r="R48" s="161">
        <v>59</v>
      </c>
      <c r="S48" s="148" t="s">
        <v>10</v>
      </c>
      <c r="T48" s="84">
        <f t="shared" ref="T48" si="20">R48-M48</f>
        <v>0.79999999999999716</v>
      </c>
      <c r="U48" s="149"/>
      <c r="V48" s="149"/>
      <c r="W48" s="150"/>
      <c r="X48" s="151"/>
      <c r="Y48" s="557"/>
      <c r="Z48" s="216"/>
      <c r="AA48" s="217"/>
      <c r="AB48" s="361"/>
      <c r="AC48" s="471"/>
      <c r="AD48" s="472"/>
      <c r="AE48" s="472"/>
      <c r="AF48" s="472"/>
    </row>
    <row r="49" spans="1:32" s="55" customFormat="1" ht="69.95" customHeight="1" x14ac:dyDescent="0.15">
      <c r="A49" s="432"/>
      <c r="B49" s="182">
        <f>$I$7</f>
        <v>455</v>
      </c>
      <c r="C49" s="461" t="str">
        <f>$A$7</f>
        <v>CC</v>
      </c>
      <c r="D49" s="461"/>
      <c r="E49" s="461"/>
      <c r="F49" s="395"/>
      <c r="G49" s="396"/>
      <c r="H49" s="397"/>
      <c r="I49" s="442"/>
      <c r="J49" s="144"/>
      <c r="K49" s="139">
        <v>300</v>
      </c>
      <c r="L49" s="145" t="s">
        <v>61</v>
      </c>
      <c r="M49" s="78">
        <f t="shared" si="18"/>
        <v>54.6</v>
      </c>
      <c r="N49" s="146"/>
      <c r="O49" s="147"/>
      <c r="P49" s="145" t="s">
        <v>10</v>
      </c>
      <c r="Q49" s="447"/>
      <c r="R49" s="161">
        <v>56</v>
      </c>
      <c r="S49" s="148" t="s">
        <v>10</v>
      </c>
      <c r="T49" s="84">
        <f t="shared" si="2"/>
        <v>1.3999999999999986</v>
      </c>
      <c r="U49" s="149"/>
      <c r="V49" s="149"/>
      <c r="W49" s="150"/>
      <c r="X49" s="151"/>
      <c r="Y49" s="446"/>
      <c r="Z49" s="216"/>
      <c r="AA49" s="217"/>
      <c r="AB49" s="361"/>
      <c r="AC49" s="471"/>
      <c r="AD49" s="472"/>
      <c r="AE49" s="472"/>
      <c r="AF49" s="472"/>
    </row>
    <row r="50" spans="1:32" s="143" customFormat="1" ht="69.95" customHeight="1" x14ac:dyDescent="0.15">
      <c r="A50" s="431" t="s">
        <v>285</v>
      </c>
      <c r="B50" s="182">
        <f>$I$5</f>
        <v>406</v>
      </c>
      <c r="C50" s="461" t="str">
        <f>$A$5</f>
        <v>LB</v>
      </c>
      <c r="D50" s="461"/>
      <c r="E50" s="461"/>
      <c r="F50" s="461"/>
      <c r="G50" s="461"/>
      <c r="H50" s="461"/>
      <c r="I50" s="441" t="s">
        <v>62</v>
      </c>
      <c r="J50" s="76"/>
      <c r="K50" s="139">
        <v>10</v>
      </c>
      <c r="L50" s="77" t="s">
        <v>61</v>
      </c>
      <c r="M50" s="78">
        <f t="shared" ref="M50:M52" si="21">K50*B50/2500</f>
        <v>1.6240000000000001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ref="T50:T52" si="22">R50-M50</f>
        <v>0.37599999999999989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55" customFormat="1" ht="69.95" customHeight="1" x14ac:dyDescent="0.15">
      <c r="A51" s="559"/>
      <c r="B51" s="186">
        <f>$I$6</f>
        <v>485</v>
      </c>
      <c r="C51" s="395" t="str">
        <f>$A$6</f>
        <v>CO</v>
      </c>
      <c r="D51" s="396"/>
      <c r="E51" s="397"/>
      <c r="F51" s="395"/>
      <c r="G51" s="396"/>
      <c r="H51" s="397"/>
      <c r="I51" s="563"/>
      <c r="J51" s="144"/>
      <c r="K51" s="139">
        <v>10</v>
      </c>
      <c r="L51" s="145" t="s">
        <v>61</v>
      </c>
      <c r="M51" s="78">
        <f t="shared" si="21"/>
        <v>1.94</v>
      </c>
      <c r="N51" s="146"/>
      <c r="O51" s="147"/>
      <c r="P51" s="145" t="s">
        <v>10</v>
      </c>
      <c r="Q51" s="447"/>
      <c r="R51" s="161">
        <v>22</v>
      </c>
      <c r="S51" s="148" t="s">
        <v>10</v>
      </c>
      <c r="T51" s="84">
        <f t="shared" si="22"/>
        <v>20.059999999999999</v>
      </c>
      <c r="U51" s="149"/>
      <c r="V51" s="149"/>
      <c r="W51" s="150"/>
      <c r="X51" s="151"/>
      <c r="Y51" s="557"/>
      <c r="Z51" s="216"/>
      <c r="AA51" s="217"/>
      <c r="AB51" s="361"/>
      <c r="AC51" s="471"/>
      <c r="AD51" s="472"/>
      <c r="AE51" s="472"/>
      <c r="AF51" s="472"/>
    </row>
    <row r="52" spans="1:32" s="55" customFormat="1" ht="69.95" customHeight="1" x14ac:dyDescent="0.15">
      <c r="A52" s="432"/>
      <c r="B52" s="182">
        <f>$I$7</f>
        <v>455</v>
      </c>
      <c r="C52" s="461" t="str">
        <f>$A$7</f>
        <v>CC</v>
      </c>
      <c r="D52" s="461"/>
      <c r="E52" s="461"/>
      <c r="F52" s="395"/>
      <c r="G52" s="396"/>
      <c r="H52" s="397"/>
      <c r="I52" s="442"/>
      <c r="J52" s="144"/>
      <c r="K52" s="139">
        <v>10</v>
      </c>
      <c r="L52" s="145" t="s">
        <v>61</v>
      </c>
      <c r="M52" s="78">
        <f t="shared" si="21"/>
        <v>1.82</v>
      </c>
      <c r="N52" s="146"/>
      <c r="O52" s="147"/>
      <c r="P52" s="145" t="s">
        <v>10</v>
      </c>
      <c r="Q52" s="447"/>
      <c r="R52" s="161">
        <v>2</v>
      </c>
      <c r="S52" s="148" t="s">
        <v>10</v>
      </c>
      <c r="T52" s="84">
        <f t="shared" si="22"/>
        <v>0.17999999999999994</v>
      </c>
      <c r="U52" s="149"/>
      <c r="V52" s="149"/>
      <c r="W52" s="150"/>
      <c r="X52" s="151"/>
      <c r="Y52" s="446"/>
      <c r="Z52" s="216"/>
      <c r="AA52" s="217"/>
      <c r="AB52" s="361"/>
      <c r="AC52" s="471"/>
      <c r="AD52" s="472"/>
      <c r="AE52" s="472"/>
      <c r="AF52" s="472"/>
    </row>
    <row r="53" spans="1:32" s="143" customFormat="1" ht="69.95" customHeight="1" x14ac:dyDescent="0.15">
      <c r="A53" s="431" t="s">
        <v>147</v>
      </c>
      <c r="B53" s="182">
        <f>$I$5</f>
        <v>406</v>
      </c>
      <c r="C53" s="461" t="str">
        <f>$A$5</f>
        <v>LB</v>
      </c>
      <c r="D53" s="461"/>
      <c r="E53" s="461"/>
      <c r="F53" s="461"/>
      <c r="G53" s="461"/>
      <c r="H53" s="461"/>
      <c r="I53" s="441" t="s">
        <v>60</v>
      </c>
      <c r="J53" s="76"/>
      <c r="K53" s="139">
        <v>350</v>
      </c>
      <c r="L53" s="77" t="s">
        <v>61</v>
      </c>
      <c r="M53" s="78">
        <f>K53*B53/4000</f>
        <v>35.524999999999999</v>
      </c>
      <c r="N53" s="79"/>
      <c r="O53" s="78"/>
      <c r="P53" s="80" t="s">
        <v>10</v>
      </c>
      <c r="Q53" s="447"/>
      <c r="R53" s="78">
        <v>36</v>
      </c>
      <c r="S53" s="80" t="s">
        <v>10</v>
      </c>
      <c r="T53" s="81">
        <f t="shared" si="2"/>
        <v>0.47500000000000142</v>
      </c>
      <c r="U53" s="82"/>
      <c r="V53" s="137"/>
      <c r="W53" s="78"/>
      <c r="X53" s="78"/>
      <c r="Y53" s="445" t="s">
        <v>94</v>
      </c>
      <c r="Z53" s="141"/>
      <c r="AA53" s="135"/>
      <c r="AB53" s="361"/>
    </row>
    <row r="54" spans="1:32" s="55" customFormat="1" ht="69.95" customHeight="1" x14ac:dyDescent="0.15">
      <c r="A54" s="559"/>
      <c r="B54" s="186">
        <f>$I$6</f>
        <v>485</v>
      </c>
      <c r="C54" s="395" t="str">
        <f>$A$6</f>
        <v>CO</v>
      </c>
      <c r="D54" s="396"/>
      <c r="E54" s="397"/>
      <c r="F54" s="395"/>
      <c r="G54" s="396"/>
      <c r="H54" s="397"/>
      <c r="I54" s="563"/>
      <c r="J54" s="144"/>
      <c r="K54" s="139">
        <v>350</v>
      </c>
      <c r="L54" s="145" t="s">
        <v>61</v>
      </c>
      <c r="M54" s="78">
        <f>K54*B54/4000</f>
        <v>42.4375</v>
      </c>
      <c r="N54" s="146"/>
      <c r="O54" s="147"/>
      <c r="P54" s="145" t="s">
        <v>10</v>
      </c>
      <c r="Q54" s="447"/>
      <c r="R54" s="161">
        <v>43</v>
      </c>
      <c r="S54" s="148" t="s">
        <v>10</v>
      </c>
      <c r="T54" s="84">
        <f t="shared" ref="T54" si="23">R54-M54</f>
        <v>0.5625</v>
      </c>
      <c r="U54" s="149"/>
      <c r="V54" s="149"/>
      <c r="W54" s="150"/>
      <c r="X54" s="151"/>
      <c r="Y54" s="557"/>
      <c r="Z54" s="216"/>
      <c r="AA54" s="217"/>
      <c r="AB54" s="361"/>
      <c r="AC54" s="471"/>
      <c r="AD54" s="472"/>
      <c r="AE54" s="472"/>
      <c r="AF54" s="472"/>
    </row>
    <row r="55" spans="1:32" s="55" customFormat="1" ht="69.95" customHeight="1" x14ac:dyDescent="0.15">
      <c r="A55" s="432"/>
      <c r="B55" s="182">
        <f>$I$7</f>
        <v>455</v>
      </c>
      <c r="C55" s="461" t="str">
        <f>$A$7</f>
        <v>CC</v>
      </c>
      <c r="D55" s="461"/>
      <c r="E55" s="461"/>
      <c r="F55" s="395"/>
      <c r="G55" s="396"/>
      <c r="H55" s="397"/>
      <c r="I55" s="442"/>
      <c r="J55" s="144"/>
      <c r="K55" s="139">
        <v>350</v>
      </c>
      <c r="L55" s="145" t="s">
        <v>61</v>
      </c>
      <c r="M55" s="78">
        <f>K55*B55/4000</f>
        <v>39.8125</v>
      </c>
      <c r="N55" s="146"/>
      <c r="O55" s="147"/>
      <c r="P55" s="145" t="s">
        <v>10</v>
      </c>
      <c r="Q55" s="444"/>
      <c r="R55" s="161">
        <v>40</v>
      </c>
      <c r="S55" s="148" t="s">
        <v>10</v>
      </c>
      <c r="T55" s="84">
        <f t="shared" si="2"/>
        <v>0.1875</v>
      </c>
      <c r="U55" s="149"/>
      <c r="V55" s="149"/>
      <c r="W55" s="150"/>
      <c r="X55" s="151"/>
      <c r="Y55" s="446"/>
      <c r="Z55" s="216"/>
      <c r="AA55" s="217"/>
      <c r="AB55" s="362"/>
      <c r="AC55" s="471"/>
      <c r="AD55" s="472"/>
      <c r="AE55" s="472"/>
      <c r="AF55" s="472"/>
    </row>
    <row r="56" spans="1:32" s="143" customFormat="1" ht="69.95" customHeight="1" x14ac:dyDescent="0.15">
      <c r="A56" s="431" t="s">
        <v>253</v>
      </c>
      <c r="B56" s="191">
        <f>$I$5</f>
        <v>406</v>
      </c>
      <c r="C56" s="465" t="str">
        <f>$A$5</f>
        <v>LB</v>
      </c>
      <c r="D56" s="465"/>
      <c r="E56" s="465"/>
      <c r="F56" s="465" t="str">
        <f>$A$5</f>
        <v>LB</v>
      </c>
      <c r="G56" s="465"/>
      <c r="H56" s="465"/>
      <c r="I56" s="433" t="s">
        <v>254</v>
      </c>
      <c r="J56" s="192"/>
      <c r="K56" s="193">
        <v>10</v>
      </c>
      <c r="L56" s="194" t="s">
        <v>61</v>
      </c>
      <c r="M56" s="195">
        <f>K56*B56/6000</f>
        <v>0.67666666666666664</v>
      </c>
      <c r="N56" s="196"/>
      <c r="O56" s="195"/>
      <c r="P56" s="197" t="s">
        <v>10</v>
      </c>
      <c r="Q56" s="435"/>
      <c r="R56" s="195"/>
      <c r="S56" s="197" t="s">
        <v>10</v>
      </c>
      <c r="T56" s="198">
        <f t="shared" si="2"/>
        <v>-0.67666666666666664</v>
      </c>
      <c r="U56" s="199"/>
      <c r="V56" s="200"/>
      <c r="W56" s="195"/>
      <c r="X56" s="195"/>
      <c r="Y56" s="437" t="s">
        <v>94</v>
      </c>
      <c r="Z56" s="201"/>
      <c r="AA56" s="202"/>
      <c r="AB56" s="439"/>
    </row>
    <row r="57" spans="1:32" s="55" customFormat="1" ht="69.95" customHeight="1" x14ac:dyDescent="0.15">
      <c r="A57" s="432"/>
      <c r="B57" s="204">
        <f>$I$6</f>
        <v>485</v>
      </c>
      <c r="C57" s="453" t="str">
        <f>$A$6</f>
        <v>CO</v>
      </c>
      <c r="D57" s="454"/>
      <c r="E57" s="455"/>
      <c r="F57" s="453" t="str">
        <f>$A$6</f>
        <v>CO</v>
      </c>
      <c r="G57" s="454"/>
      <c r="H57" s="455"/>
      <c r="I57" s="434"/>
      <c r="J57" s="218"/>
      <c r="K57" s="193">
        <v>10</v>
      </c>
      <c r="L57" s="219" t="s">
        <v>61</v>
      </c>
      <c r="M57" s="195">
        <f>K57*B57/6000</f>
        <v>0.80833333333333335</v>
      </c>
      <c r="N57" s="220"/>
      <c r="O57" s="221"/>
      <c r="P57" s="219" t="s">
        <v>10</v>
      </c>
      <c r="Q57" s="436"/>
      <c r="R57" s="222"/>
      <c r="S57" s="215" t="s">
        <v>10</v>
      </c>
      <c r="T57" s="205">
        <f t="shared" si="2"/>
        <v>-0.80833333333333335</v>
      </c>
      <c r="U57" s="223"/>
      <c r="V57" s="223"/>
      <c r="W57" s="224"/>
      <c r="X57" s="225"/>
      <c r="Y57" s="438"/>
      <c r="Z57" s="226"/>
      <c r="AA57" s="227"/>
      <c r="AB57" s="440"/>
      <c r="AC57" s="471"/>
      <c r="AD57" s="472"/>
      <c r="AE57" s="472"/>
      <c r="AF57" s="472"/>
    </row>
    <row r="58" spans="1:32" s="206" customFormat="1" ht="69.95" customHeight="1" x14ac:dyDescent="0.15">
      <c r="A58" s="431" t="s">
        <v>117</v>
      </c>
      <c r="B58" s="191">
        <f t="shared" ref="B58:B60" si="24">$I$5</f>
        <v>406</v>
      </c>
      <c r="C58" s="422" t="str">
        <f t="shared" ref="C58:C60" si="25">$A$5</f>
        <v>LB</v>
      </c>
      <c r="D58" s="423"/>
      <c r="E58" s="424"/>
      <c r="F58" s="425"/>
      <c r="G58" s="423"/>
      <c r="H58" s="424"/>
      <c r="I58" s="433" t="s">
        <v>80</v>
      </c>
      <c r="J58" s="192"/>
      <c r="K58" s="193"/>
      <c r="L58" s="194" t="s">
        <v>65</v>
      </c>
      <c r="M58" s="195">
        <f t="shared" ref="M58:M78" si="26">K58*B58</f>
        <v>0</v>
      </c>
      <c r="N58" s="196"/>
      <c r="O58" s="195"/>
      <c r="P58" s="194" t="s">
        <v>65</v>
      </c>
      <c r="Q58" s="435"/>
      <c r="R58" s="195"/>
      <c r="S58" s="194" t="s">
        <v>65</v>
      </c>
      <c r="T58" s="205">
        <f t="shared" si="2"/>
        <v>0</v>
      </c>
      <c r="U58" s="199"/>
      <c r="V58" s="199"/>
      <c r="W58" s="208"/>
      <c r="X58" s="198"/>
      <c r="Y58" s="437" t="s">
        <v>57</v>
      </c>
      <c r="Z58" s="231"/>
      <c r="AA58" s="232"/>
      <c r="AB58" s="439"/>
    </row>
    <row r="59" spans="1:32" s="206" customFormat="1" ht="69.95" customHeight="1" x14ac:dyDescent="0.15">
      <c r="A59" s="432"/>
      <c r="B59" s="204">
        <f>$I$6</f>
        <v>485</v>
      </c>
      <c r="C59" s="453" t="str">
        <f>$A$6</f>
        <v>CO</v>
      </c>
      <c r="D59" s="454"/>
      <c r="E59" s="455"/>
      <c r="F59" s="425"/>
      <c r="G59" s="423"/>
      <c r="H59" s="424"/>
      <c r="I59" s="434"/>
      <c r="J59" s="192"/>
      <c r="K59" s="193"/>
      <c r="L59" s="194" t="s">
        <v>65</v>
      </c>
      <c r="M59" s="195">
        <f t="shared" si="26"/>
        <v>0</v>
      </c>
      <c r="N59" s="233"/>
      <c r="O59" s="195"/>
      <c r="P59" s="194" t="s">
        <v>65</v>
      </c>
      <c r="Q59" s="436"/>
      <c r="R59" s="195"/>
      <c r="S59" s="194" t="s">
        <v>65</v>
      </c>
      <c r="T59" s="198">
        <f t="shared" si="2"/>
        <v>0</v>
      </c>
      <c r="U59" s="199"/>
      <c r="V59" s="200"/>
      <c r="W59" s="195"/>
      <c r="X59" s="195"/>
      <c r="Y59" s="438"/>
      <c r="Z59" s="201"/>
      <c r="AA59" s="202"/>
      <c r="AB59" s="440"/>
      <c r="AC59" s="234"/>
      <c r="AD59" s="230"/>
      <c r="AE59" s="230"/>
      <c r="AF59" s="230"/>
    </row>
    <row r="60" spans="1:32" s="206" customFormat="1" ht="69.95" customHeight="1" x14ac:dyDescent="0.15">
      <c r="A60" s="431" t="s">
        <v>78</v>
      </c>
      <c r="B60" s="191">
        <f t="shared" si="24"/>
        <v>406</v>
      </c>
      <c r="C60" s="422" t="str">
        <f t="shared" si="25"/>
        <v>LB</v>
      </c>
      <c r="D60" s="423"/>
      <c r="E60" s="424"/>
      <c r="F60" s="425"/>
      <c r="G60" s="423"/>
      <c r="H60" s="424"/>
      <c r="I60" s="207"/>
      <c r="J60" s="192"/>
      <c r="K60" s="193"/>
      <c r="L60" s="194" t="s">
        <v>65</v>
      </c>
      <c r="M60" s="195">
        <f t="shared" si="26"/>
        <v>0</v>
      </c>
      <c r="N60" s="196"/>
      <c r="O60" s="195"/>
      <c r="P60" s="194" t="s">
        <v>65</v>
      </c>
      <c r="Q60" s="435"/>
      <c r="R60" s="195"/>
      <c r="S60" s="194" t="s">
        <v>65</v>
      </c>
      <c r="T60" s="205">
        <f t="shared" si="2"/>
        <v>0</v>
      </c>
      <c r="U60" s="199"/>
      <c r="V60" s="199"/>
      <c r="W60" s="208"/>
      <c r="X60" s="198"/>
      <c r="Y60" s="437" t="s">
        <v>57</v>
      </c>
      <c r="Z60" s="231"/>
      <c r="AA60" s="232"/>
      <c r="AB60" s="439"/>
    </row>
    <row r="61" spans="1:32" s="206" customFormat="1" ht="69.95" customHeight="1" x14ac:dyDescent="0.15">
      <c r="A61" s="432"/>
      <c r="B61" s="204">
        <f>$I$6</f>
        <v>485</v>
      </c>
      <c r="C61" s="453" t="str">
        <f>$A$6</f>
        <v>CO</v>
      </c>
      <c r="D61" s="454"/>
      <c r="E61" s="455"/>
      <c r="F61" s="425"/>
      <c r="G61" s="423"/>
      <c r="H61" s="424"/>
      <c r="I61" s="207"/>
      <c r="J61" s="192"/>
      <c r="K61" s="193"/>
      <c r="L61" s="194" t="s">
        <v>65</v>
      </c>
      <c r="M61" s="195">
        <f t="shared" si="26"/>
        <v>0</v>
      </c>
      <c r="N61" s="233"/>
      <c r="O61" s="195"/>
      <c r="P61" s="194" t="s">
        <v>65</v>
      </c>
      <c r="Q61" s="436"/>
      <c r="R61" s="195"/>
      <c r="S61" s="194" t="s">
        <v>65</v>
      </c>
      <c r="T61" s="198">
        <f t="shared" si="2"/>
        <v>0</v>
      </c>
      <c r="U61" s="199"/>
      <c r="V61" s="200"/>
      <c r="W61" s="195"/>
      <c r="X61" s="195"/>
      <c r="Y61" s="438"/>
      <c r="Z61" s="201"/>
      <c r="AA61" s="202"/>
      <c r="AB61" s="440"/>
      <c r="AC61" s="234"/>
      <c r="AD61" s="230"/>
      <c r="AE61" s="230"/>
      <c r="AF61" s="230"/>
    </row>
    <row r="62" spans="1:32" s="55" customFormat="1" ht="69.95" customHeight="1" x14ac:dyDescent="0.15">
      <c r="A62" s="431" t="s">
        <v>100</v>
      </c>
      <c r="B62" s="191">
        <f t="shared" ref="B62:B75" si="27">$I$5</f>
        <v>406</v>
      </c>
      <c r="C62" s="422" t="str">
        <f t="shared" ref="C62:C75" si="28">$A$5</f>
        <v>LB</v>
      </c>
      <c r="D62" s="423"/>
      <c r="E62" s="424"/>
      <c r="F62" s="425"/>
      <c r="G62" s="423"/>
      <c r="H62" s="424"/>
      <c r="I62" s="207" t="s">
        <v>101</v>
      </c>
      <c r="J62" s="192"/>
      <c r="K62" s="193"/>
      <c r="L62" s="194" t="s">
        <v>63</v>
      </c>
      <c r="M62" s="195">
        <f t="shared" si="26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2"/>
        <v>0</v>
      </c>
      <c r="U62" s="199"/>
      <c r="V62" s="199"/>
      <c r="W62" s="208"/>
      <c r="X62" s="198"/>
      <c r="Y62" s="437" t="s">
        <v>94</v>
      </c>
      <c r="Z62" s="231"/>
      <c r="AA62" s="232"/>
      <c r="AB62" s="439"/>
    </row>
    <row r="63" spans="1:32" s="55" customFormat="1" ht="69.95" customHeight="1" x14ac:dyDescent="0.15">
      <c r="A63" s="432"/>
      <c r="B63" s="204">
        <f>$I$6</f>
        <v>485</v>
      </c>
      <c r="C63" s="453" t="str">
        <f>$A$6</f>
        <v>CO</v>
      </c>
      <c r="D63" s="454"/>
      <c r="E63" s="455"/>
      <c r="F63" s="425"/>
      <c r="G63" s="423"/>
      <c r="H63" s="424"/>
      <c r="I63" s="207" t="s">
        <v>101</v>
      </c>
      <c r="J63" s="192"/>
      <c r="K63" s="193"/>
      <c r="L63" s="194" t="s">
        <v>63</v>
      </c>
      <c r="M63" s="195">
        <f t="shared" si="26"/>
        <v>0</v>
      </c>
      <c r="N63" s="233"/>
      <c r="O63" s="195"/>
      <c r="P63" s="197" t="s">
        <v>63</v>
      </c>
      <c r="Q63" s="436"/>
      <c r="R63" s="195"/>
      <c r="S63" s="197" t="s">
        <v>63</v>
      </c>
      <c r="T63" s="198">
        <f t="shared" si="2"/>
        <v>0</v>
      </c>
      <c r="U63" s="199"/>
      <c r="V63" s="200"/>
      <c r="W63" s="195"/>
      <c r="X63" s="195"/>
      <c r="Y63" s="438"/>
      <c r="Z63" s="201"/>
      <c r="AA63" s="202"/>
      <c r="AB63" s="440"/>
      <c r="AC63" s="142"/>
      <c r="AD63" s="179"/>
      <c r="AE63" s="179"/>
      <c r="AF63" s="179"/>
    </row>
    <row r="64" spans="1:32" s="206" customFormat="1" ht="69.95" customHeight="1" x14ac:dyDescent="0.15">
      <c r="A64" s="431" t="s">
        <v>265</v>
      </c>
      <c r="B64" s="191">
        <f t="shared" ref="B64" si="29">$I$5</f>
        <v>406</v>
      </c>
      <c r="C64" s="422" t="str">
        <f t="shared" si="28"/>
        <v>LB</v>
      </c>
      <c r="D64" s="423"/>
      <c r="E64" s="424"/>
      <c r="F64" s="425"/>
      <c r="G64" s="426"/>
      <c r="H64" s="427"/>
      <c r="I64" s="215"/>
      <c r="J64" s="192"/>
      <c r="K64" s="193">
        <v>2</v>
      </c>
      <c r="L64" s="194" t="s">
        <v>267</v>
      </c>
      <c r="M64" s="321">
        <f t="shared" si="26"/>
        <v>812</v>
      </c>
      <c r="N64" s="233"/>
      <c r="O64" s="195"/>
      <c r="P64" s="197"/>
      <c r="Q64" s="317"/>
      <c r="R64" s="195"/>
      <c r="S64" s="197" t="s">
        <v>264</v>
      </c>
      <c r="T64" s="322">
        <f t="shared" si="2"/>
        <v>-812</v>
      </c>
      <c r="U64" s="199"/>
      <c r="V64" s="200"/>
      <c r="W64" s="195"/>
      <c r="X64" s="195"/>
      <c r="Y64" s="437" t="s">
        <v>64</v>
      </c>
      <c r="Z64" s="201"/>
      <c r="AA64" s="202"/>
      <c r="AB64" s="439"/>
      <c r="AC64" s="234"/>
      <c r="AD64" s="230"/>
      <c r="AE64" s="230"/>
      <c r="AF64" s="230"/>
    </row>
    <row r="65" spans="1:32" s="206" customFormat="1" ht="69.95" customHeight="1" x14ac:dyDescent="0.15">
      <c r="A65" s="432"/>
      <c r="B65" s="204">
        <f>$I$6</f>
        <v>485</v>
      </c>
      <c r="C65" s="422" t="str">
        <f>$A$6</f>
        <v>CO</v>
      </c>
      <c r="D65" s="423"/>
      <c r="E65" s="424"/>
      <c r="F65" s="425"/>
      <c r="G65" s="426"/>
      <c r="H65" s="427"/>
      <c r="I65" s="215"/>
      <c r="J65" s="192"/>
      <c r="K65" s="193">
        <v>2</v>
      </c>
      <c r="L65" s="194" t="s">
        <v>267</v>
      </c>
      <c r="M65" s="321">
        <f t="shared" si="26"/>
        <v>970</v>
      </c>
      <c r="N65" s="233"/>
      <c r="O65" s="195"/>
      <c r="P65" s="197"/>
      <c r="Q65" s="317"/>
      <c r="R65" s="195"/>
      <c r="S65" s="197" t="s">
        <v>264</v>
      </c>
      <c r="T65" s="322">
        <f t="shared" si="2"/>
        <v>-970</v>
      </c>
      <c r="U65" s="199"/>
      <c r="V65" s="200"/>
      <c r="W65" s="195"/>
      <c r="X65" s="195"/>
      <c r="Y65" s="438"/>
      <c r="Z65" s="201"/>
      <c r="AA65" s="202"/>
      <c r="AB65" s="440"/>
      <c r="AC65" s="234"/>
      <c r="AD65" s="230"/>
      <c r="AE65" s="230"/>
      <c r="AF65" s="230"/>
    </row>
    <row r="66" spans="1:32" s="206" customFormat="1" ht="69.95" customHeight="1" x14ac:dyDescent="0.15">
      <c r="A66" s="431" t="s">
        <v>90</v>
      </c>
      <c r="B66" s="182">
        <f t="shared" si="27"/>
        <v>406</v>
      </c>
      <c r="C66" s="368" t="str">
        <f t="shared" si="28"/>
        <v>LB</v>
      </c>
      <c r="D66" s="369"/>
      <c r="E66" s="370"/>
      <c r="F66" s="428"/>
      <c r="G66" s="429"/>
      <c r="H66" s="430"/>
      <c r="I66" s="441" t="s">
        <v>121</v>
      </c>
      <c r="J66" s="76"/>
      <c r="K66" s="139">
        <v>5</v>
      </c>
      <c r="L66" s="77" t="s">
        <v>63</v>
      </c>
      <c r="M66" s="78">
        <f t="shared" si="26"/>
        <v>2030</v>
      </c>
      <c r="N66" s="79"/>
      <c r="O66" s="78"/>
      <c r="P66" s="80" t="s">
        <v>63</v>
      </c>
      <c r="Q66" s="443">
        <v>46101</v>
      </c>
      <c r="R66" s="78">
        <v>2030</v>
      </c>
      <c r="S66" s="80" t="s">
        <v>63</v>
      </c>
      <c r="T66" s="324">
        <f t="shared" si="2"/>
        <v>0</v>
      </c>
      <c r="U66" s="82"/>
      <c r="V66" s="82"/>
      <c r="W66" s="83"/>
      <c r="X66" s="81"/>
      <c r="Y66" s="445" t="s">
        <v>64</v>
      </c>
      <c r="Z66" s="86"/>
      <c r="AA66" s="85"/>
      <c r="AB66" s="360" t="s">
        <v>316</v>
      </c>
    </row>
    <row r="67" spans="1:32" s="206" customFormat="1" ht="69.95" customHeight="1" x14ac:dyDescent="0.15">
      <c r="A67" s="559"/>
      <c r="B67" s="186">
        <f>$I$6</f>
        <v>485</v>
      </c>
      <c r="C67" s="368" t="str">
        <f>$A$6</f>
        <v>CO</v>
      </c>
      <c r="D67" s="369"/>
      <c r="E67" s="370"/>
      <c r="F67" s="428"/>
      <c r="G67" s="429"/>
      <c r="H67" s="430"/>
      <c r="I67" s="563"/>
      <c r="J67" s="76"/>
      <c r="K67" s="139">
        <v>5</v>
      </c>
      <c r="L67" s="77" t="s">
        <v>63</v>
      </c>
      <c r="M67" s="78">
        <f t="shared" ref="M67" si="30">K67*B67</f>
        <v>2425</v>
      </c>
      <c r="N67" s="140"/>
      <c r="O67" s="78"/>
      <c r="P67" s="80" t="s">
        <v>63</v>
      </c>
      <c r="Q67" s="447"/>
      <c r="R67" s="78">
        <v>2425</v>
      </c>
      <c r="S67" s="80" t="s">
        <v>63</v>
      </c>
      <c r="T67" s="78">
        <f t="shared" ref="T67" si="31">R67-M67</f>
        <v>0</v>
      </c>
      <c r="U67" s="82"/>
      <c r="V67" s="137"/>
      <c r="W67" s="78"/>
      <c r="X67" s="78"/>
      <c r="Y67" s="557"/>
      <c r="Z67" s="141"/>
      <c r="AA67" s="135"/>
      <c r="AB67" s="361"/>
      <c r="AC67" s="234"/>
      <c r="AD67" s="230"/>
      <c r="AE67" s="230"/>
      <c r="AF67" s="230"/>
    </row>
    <row r="68" spans="1:32" s="206" customFormat="1" ht="69.95" customHeight="1" x14ac:dyDescent="0.15">
      <c r="A68" s="432"/>
      <c r="B68" s="182">
        <f>$I$7</f>
        <v>455</v>
      </c>
      <c r="C68" s="461" t="str">
        <f>$A$7</f>
        <v>CC</v>
      </c>
      <c r="D68" s="461"/>
      <c r="E68" s="461"/>
      <c r="F68" s="428"/>
      <c r="G68" s="429"/>
      <c r="H68" s="430"/>
      <c r="I68" s="442"/>
      <c r="J68" s="76"/>
      <c r="K68" s="139">
        <v>5</v>
      </c>
      <c r="L68" s="77" t="s">
        <v>63</v>
      </c>
      <c r="M68" s="78">
        <f t="shared" si="26"/>
        <v>2275</v>
      </c>
      <c r="N68" s="140"/>
      <c r="O68" s="78"/>
      <c r="P68" s="80" t="s">
        <v>63</v>
      </c>
      <c r="Q68" s="444"/>
      <c r="R68" s="78">
        <v>2275</v>
      </c>
      <c r="S68" s="80" t="s">
        <v>63</v>
      </c>
      <c r="T68" s="78">
        <f t="shared" si="2"/>
        <v>0</v>
      </c>
      <c r="U68" s="82"/>
      <c r="V68" s="137"/>
      <c r="W68" s="78"/>
      <c r="X68" s="78"/>
      <c r="Y68" s="446"/>
      <c r="Z68" s="141"/>
      <c r="AA68" s="135"/>
      <c r="AB68" s="362"/>
      <c r="AC68" s="234"/>
      <c r="AD68" s="230"/>
      <c r="AE68" s="230"/>
      <c r="AF68" s="230"/>
    </row>
    <row r="69" spans="1:32" s="55" customFormat="1" ht="69.95" customHeight="1" x14ac:dyDescent="0.15">
      <c r="A69" s="431" t="s">
        <v>91</v>
      </c>
      <c r="B69" s="182">
        <f t="shared" si="27"/>
        <v>406</v>
      </c>
      <c r="C69" s="368" t="str">
        <f t="shared" si="28"/>
        <v>LB</v>
      </c>
      <c r="D69" s="369"/>
      <c r="E69" s="370"/>
      <c r="F69" s="428"/>
      <c r="G69" s="429"/>
      <c r="H69" s="430"/>
      <c r="I69" s="441" t="s">
        <v>75</v>
      </c>
      <c r="J69" s="76"/>
      <c r="K69" s="139">
        <v>2</v>
      </c>
      <c r="L69" s="77" t="s">
        <v>63</v>
      </c>
      <c r="M69" s="78">
        <f t="shared" si="26"/>
        <v>812</v>
      </c>
      <c r="N69" s="79"/>
      <c r="O69" s="78"/>
      <c r="P69" s="80" t="s">
        <v>63</v>
      </c>
      <c r="Q69" s="443">
        <v>46101</v>
      </c>
      <c r="R69" s="78">
        <v>812</v>
      </c>
      <c r="S69" s="80" t="s">
        <v>63</v>
      </c>
      <c r="T69" s="324">
        <f t="shared" si="2"/>
        <v>0</v>
      </c>
      <c r="U69" s="82"/>
      <c r="V69" s="82"/>
      <c r="W69" s="83"/>
      <c r="X69" s="81"/>
      <c r="Y69" s="445" t="s">
        <v>64</v>
      </c>
      <c r="Z69" s="86"/>
      <c r="AA69" s="85"/>
      <c r="AB69" s="360" t="s">
        <v>316</v>
      </c>
    </row>
    <row r="70" spans="1:32" s="55" customFormat="1" ht="69.95" customHeight="1" x14ac:dyDescent="0.15">
      <c r="A70" s="559"/>
      <c r="B70" s="186">
        <f>$I$6</f>
        <v>485</v>
      </c>
      <c r="C70" s="368" t="str">
        <f>$A$6</f>
        <v>CO</v>
      </c>
      <c r="D70" s="369"/>
      <c r="E70" s="370"/>
      <c r="F70" s="428"/>
      <c r="G70" s="429"/>
      <c r="H70" s="430"/>
      <c r="I70" s="563"/>
      <c r="J70" s="76"/>
      <c r="K70" s="139">
        <v>2</v>
      </c>
      <c r="L70" s="77" t="s">
        <v>63</v>
      </c>
      <c r="M70" s="78">
        <f t="shared" ref="M70" si="32">K70*B70</f>
        <v>970</v>
      </c>
      <c r="N70" s="140"/>
      <c r="O70" s="78"/>
      <c r="P70" s="80" t="s">
        <v>63</v>
      </c>
      <c r="Q70" s="447"/>
      <c r="R70" s="78">
        <v>970</v>
      </c>
      <c r="S70" s="80" t="s">
        <v>63</v>
      </c>
      <c r="T70" s="78">
        <f t="shared" ref="T70" si="33">R70-M70</f>
        <v>0</v>
      </c>
      <c r="U70" s="82"/>
      <c r="V70" s="137"/>
      <c r="W70" s="78"/>
      <c r="X70" s="78"/>
      <c r="Y70" s="557"/>
      <c r="Z70" s="141"/>
      <c r="AA70" s="135"/>
      <c r="AB70" s="361"/>
      <c r="AC70" s="142"/>
      <c r="AD70" s="179"/>
      <c r="AE70" s="179"/>
      <c r="AF70" s="179"/>
    </row>
    <row r="71" spans="1:32" s="55" customFormat="1" ht="69.95" customHeight="1" x14ac:dyDescent="0.15">
      <c r="A71" s="432"/>
      <c r="B71" s="182">
        <f>$I$7</f>
        <v>455</v>
      </c>
      <c r="C71" s="461" t="str">
        <f>$A$7</f>
        <v>CC</v>
      </c>
      <c r="D71" s="461"/>
      <c r="E71" s="461"/>
      <c r="F71" s="428"/>
      <c r="G71" s="429"/>
      <c r="H71" s="430"/>
      <c r="I71" s="442"/>
      <c r="J71" s="76"/>
      <c r="K71" s="139">
        <v>2</v>
      </c>
      <c r="L71" s="77" t="s">
        <v>63</v>
      </c>
      <c r="M71" s="78">
        <f t="shared" si="26"/>
        <v>910</v>
      </c>
      <c r="N71" s="140"/>
      <c r="O71" s="78"/>
      <c r="P71" s="80" t="s">
        <v>63</v>
      </c>
      <c r="Q71" s="444"/>
      <c r="R71" s="78">
        <v>910</v>
      </c>
      <c r="S71" s="80" t="s">
        <v>63</v>
      </c>
      <c r="T71" s="78">
        <f t="shared" si="2"/>
        <v>0</v>
      </c>
      <c r="U71" s="82"/>
      <c r="V71" s="137"/>
      <c r="W71" s="78"/>
      <c r="X71" s="78"/>
      <c r="Y71" s="446"/>
      <c r="Z71" s="141"/>
      <c r="AA71" s="135"/>
      <c r="AB71" s="362"/>
      <c r="AC71" s="142"/>
      <c r="AD71" s="179"/>
      <c r="AE71" s="179"/>
      <c r="AF71" s="179"/>
    </row>
    <row r="72" spans="1:32" s="55" customFormat="1" ht="69.95" customHeight="1" x14ac:dyDescent="0.15">
      <c r="A72" s="431" t="s">
        <v>286</v>
      </c>
      <c r="B72" s="182">
        <f t="shared" si="27"/>
        <v>406</v>
      </c>
      <c r="C72" s="368" t="str">
        <f t="shared" si="28"/>
        <v>LB</v>
      </c>
      <c r="D72" s="369"/>
      <c r="E72" s="370"/>
      <c r="F72" s="428"/>
      <c r="G72" s="429"/>
      <c r="H72" s="430"/>
      <c r="I72" s="75"/>
      <c r="J72" s="76"/>
      <c r="K72" s="298">
        <v>0.8</v>
      </c>
      <c r="L72" s="77" t="s">
        <v>7</v>
      </c>
      <c r="M72" s="78">
        <f t="shared" ref="M72:M74" si="34">K72*B72</f>
        <v>324.8</v>
      </c>
      <c r="N72" s="79"/>
      <c r="O72" s="78"/>
      <c r="P72" s="77" t="s">
        <v>7</v>
      </c>
      <c r="Q72" s="443">
        <v>46101</v>
      </c>
      <c r="R72" s="78">
        <v>360</v>
      </c>
      <c r="S72" s="77" t="s">
        <v>7</v>
      </c>
      <c r="T72" s="324">
        <f t="shared" ref="T72:T74" si="35">R72-M72</f>
        <v>35.199999999999989</v>
      </c>
      <c r="U72" s="82"/>
      <c r="V72" s="82"/>
      <c r="W72" s="83"/>
      <c r="X72" s="81"/>
      <c r="Y72" s="445" t="s">
        <v>130</v>
      </c>
      <c r="Z72" s="86"/>
      <c r="AA72" s="85"/>
      <c r="AB72" s="360" t="s">
        <v>316</v>
      </c>
    </row>
    <row r="73" spans="1:32" s="55" customFormat="1" ht="69.95" customHeight="1" x14ac:dyDescent="0.15">
      <c r="A73" s="559"/>
      <c r="B73" s="186">
        <f>$I$6</f>
        <v>485</v>
      </c>
      <c r="C73" s="368" t="str">
        <f>$A$6</f>
        <v>CO</v>
      </c>
      <c r="D73" s="369"/>
      <c r="E73" s="370"/>
      <c r="F73" s="428"/>
      <c r="G73" s="429"/>
      <c r="H73" s="430"/>
      <c r="I73" s="75"/>
      <c r="J73" s="76"/>
      <c r="K73" s="298">
        <v>0.8</v>
      </c>
      <c r="L73" s="77" t="s">
        <v>7</v>
      </c>
      <c r="M73" s="78">
        <f t="shared" si="34"/>
        <v>388</v>
      </c>
      <c r="N73" s="140"/>
      <c r="O73" s="78"/>
      <c r="P73" s="77" t="s">
        <v>7</v>
      </c>
      <c r="Q73" s="447"/>
      <c r="R73" s="78">
        <v>430</v>
      </c>
      <c r="S73" s="77" t="s">
        <v>7</v>
      </c>
      <c r="T73" s="78">
        <f t="shared" si="35"/>
        <v>42</v>
      </c>
      <c r="U73" s="82"/>
      <c r="V73" s="137"/>
      <c r="W73" s="78"/>
      <c r="X73" s="78"/>
      <c r="Y73" s="557"/>
      <c r="Z73" s="141"/>
      <c r="AA73" s="135"/>
      <c r="AB73" s="361"/>
      <c r="AC73" s="142"/>
      <c r="AD73" s="179"/>
      <c r="AE73" s="179"/>
      <c r="AF73" s="179"/>
    </row>
    <row r="74" spans="1:32" s="55" customFormat="1" ht="69.95" customHeight="1" x14ac:dyDescent="0.15">
      <c r="A74" s="432"/>
      <c r="B74" s="182">
        <f>$I$7</f>
        <v>455</v>
      </c>
      <c r="C74" s="461" t="str">
        <f>$A$7</f>
        <v>CC</v>
      </c>
      <c r="D74" s="461"/>
      <c r="E74" s="461"/>
      <c r="F74" s="428"/>
      <c r="G74" s="429"/>
      <c r="H74" s="430"/>
      <c r="I74" s="75"/>
      <c r="J74" s="76"/>
      <c r="K74" s="298">
        <v>0.8</v>
      </c>
      <c r="L74" s="77" t="s">
        <v>7</v>
      </c>
      <c r="M74" s="78">
        <f t="shared" si="34"/>
        <v>364</v>
      </c>
      <c r="N74" s="140"/>
      <c r="O74" s="78"/>
      <c r="P74" s="77" t="s">
        <v>7</v>
      </c>
      <c r="Q74" s="444"/>
      <c r="R74" s="78">
        <v>400</v>
      </c>
      <c r="S74" s="77" t="s">
        <v>7</v>
      </c>
      <c r="T74" s="78">
        <f t="shared" si="35"/>
        <v>36</v>
      </c>
      <c r="U74" s="82"/>
      <c r="V74" s="137"/>
      <c r="W74" s="78"/>
      <c r="X74" s="78"/>
      <c r="Y74" s="446"/>
      <c r="Z74" s="141"/>
      <c r="AA74" s="135"/>
      <c r="AB74" s="362"/>
      <c r="AC74" s="142"/>
      <c r="AD74" s="179"/>
      <c r="AE74" s="179"/>
      <c r="AF74" s="179"/>
    </row>
    <row r="75" spans="1:32" s="55" customFormat="1" ht="69.95" customHeight="1" x14ac:dyDescent="0.15">
      <c r="A75" s="431" t="s">
        <v>255</v>
      </c>
      <c r="B75" s="191">
        <f t="shared" si="27"/>
        <v>406</v>
      </c>
      <c r="C75" s="422" t="str">
        <f t="shared" si="28"/>
        <v>LB</v>
      </c>
      <c r="D75" s="423"/>
      <c r="E75" s="424"/>
      <c r="F75" s="425"/>
      <c r="G75" s="426"/>
      <c r="H75" s="427"/>
      <c r="I75" s="207" t="s">
        <v>79</v>
      </c>
      <c r="J75" s="192"/>
      <c r="K75" s="193">
        <v>4</v>
      </c>
      <c r="L75" s="194" t="s">
        <v>65</v>
      </c>
      <c r="M75" s="195">
        <f t="shared" si="26"/>
        <v>1624</v>
      </c>
      <c r="N75" s="196"/>
      <c r="O75" s="195"/>
      <c r="P75" s="197" t="s">
        <v>63</v>
      </c>
      <c r="Q75" s="435"/>
      <c r="R75" s="195"/>
      <c r="S75" s="197" t="s">
        <v>63</v>
      </c>
      <c r="T75" s="205">
        <f t="shared" si="2"/>
        <v>-1624</v>
      </c>
      <c r="U75" s="199"/>
      <c r="V75" s="199"/>
      <c r="W75" s="208"/>
      <c r="X75" s="198"/>
      <c r="Y75" s="437" t="s">
        <v>64</v>
      </c>
      <c r="Z75" s="231"/>
      <c r="AA75" s="232"/>
      <c r="AB75" s="439"/>
    </row>
    <row r="76" spans="1:32" s="55" customFormat="1" ht="69.95" customHeight="1" x14ac:dyDescent="0.15">
      <c r="A76" s="432"/>
      <c r="B76" s="204">
        <f>$I$6</f>
        <v>485</v>
      </c>
      <c r="C76" s="422" t="str">
        <f>$A$6</f>
        <v>CO</v>
      </c>
      <c r="D76" s="423"/>
      <c r="E76" s="424"/>
      <c r="F76" s="425"/>
      <c r="G76" s="426"/>
      <c r="H76" s="427"/>
      <c r="I76" s="207" t="s">
        <v>79</v>
      </c>
      <c r="J76" s="192"/>
      <c r="K76" s="193">
        <v>4</v>
      </c>
      <c r="L76" s="194" t="s">
        <v>65</v>
      </c>
      <c r="M76" s="195">
        <f t="shared" si="26"/>
        <v>1940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2"/>
        <v>-1940</v>
      </c>
      <c r="U76" s="199"/>
      <c r="V76" s="200"/>
      <c r="W76" s="195"/>
      <c r="X76" s="195"/>
      <c r="Y76" s="438"/>
      <c r="Z76" s="201"/>
      <c r="AA76" s="202"/>
      <c r="AB76" s="440"/>
      <c r="AC76" s="142"/>
      <c r="AD76" s="179"/>
      <c r="AE76" s="179"/>
      <c r="AF76" s="179"/>
    </row>
    <row r="77" spans="1:32" s="55" customFormat="1" ht="69.95" customHeight="1" x14ac:dyDescent="0.15">
      <c r="A77" s="431" t="s">
        <v>103</v>
      </c>
      <c r="B77" s="191">
        <f t="shared" ref="B77" si="36">$I$5</f>
        <v>406</v>
      </c>
      <c r="C77" s="422" t="str">
        <f t="shared" ref="C77" si="37">$A$5</f>
        <v>LB</v>
      </c>
      <c r="D77" s="423"/>
      <c r="E77" s="424"/>
      <c r="F77" s="425"/>
      <c r="G77" s="426"/>
      <c r="H77" s="427"/>
      <c r="I77" s="207"/>
      <c r="J77" s="192"/>
      <c r="K77" s="193"/>
      <c r="L77" s="194" t="s">
        <v>65</v>
      </c>
      <c r="M77" s="195">
        <f t="shared" si="26"/>
        <v>0</v>
      </c>
      <c r="N77" s="196"/>
      <c r="O77" s="195"/>
      <c r="P77" s="197" t="s">
        <v>65</v>
      </c>
      <c r="Q77" s="435"/>
      <c r="R77" s="195"/>
      <c r="S77" s="197" t="s">
        <v>65</v>
      </c>
      <c r="T77" s="205">
        <f t="shared" si="2"/>
        <v>0</v>
      </c>
      <c r="U77" s="199"/>
      <c r="V77" s="199"/>
      <c r="W77" s="208"/>
      <c r="X77" s="198"/>
      <c r="Y77" s="437" t="s">
        <v>94</v>
      </c>
      <c r="Z77" s="231"/>
      <c r="AA77" s="232"/>
      <c r="AB77" s="439"/>
    </row>
    <row r="78" spans="1:32" s="55" customFormat="1" ht="69.95" customHeight="1" x14ac:dyDescent="0.15">
      <c r="A78" s="432"/>
      <c r="B78" s="204">
        <f>$I$6</f>
        <v>485</v>
      </c>
      <c r="C78" s="422" t="str">
        <f>$A$6</f>
        <v>CO</v>
      </c>
      <c r="D78" s="423"/>
      <c r="E78" s="424"/>
      <c r="F78" s="425"/>
      <c r="G78" s="426"/>
      <c r="H78" s="427"/>
      <c r="I78" s="207"/>
      <c r="J78" s="192"/>
      <c r="K78" s="193"/>
      <c r="L78" s="194" t="s">
        <v>65</v>
      </c>
      <c r="M78" s="195">
        <f t="shared" si="26"/>
        <v>0</v>
      </c>
      <c r="N78" s="233"/>
      <c r="O78" s="195"/>
      <c r="P78" s="197" t="s">
        <v>65</v>
      </c>
      <c r="Q78" s="436"/>
      <c r="R78" s="195"/>
      <c r="S78" s="197" t="s">
        <v>65</v>
      </c>
      <c r="T78" s="198">
        <f t="shared" si="2"/>
        <v>0</v>
      </c>
      <c r="U78" s="199"/>
      <c r="V78" s="200"/>
      <c r="W78" s="195"/>
      <c r="X78" s="195"/>
      <c r="Y78" s="438"/>
      <c r="Z78" s="201"/>
      <c r="AA78" s="202"/>
      <c r="AB78" s="440"/>
      <c r="AC78" s="142"/>
      <c r="AD78" s="179"/>
      <c r="AE78" s="179"/>
      <c r="AF78" s="179"/>
    </row>
    <row r="79" spans="1:32" s="55" customFormat="1" ht="69.95" customHeight="1" x14ac:dyDescent="0.15">
      <c r="A79" s="431" t="s">
        <v>256</v>
      </c>
      <c r="B79" s="191">
        <f t="shared" ref="B79:B83" si="38">$I$5</f>
        <v>406</v>
      </c>
      <c r="C79" s="422" t="str">
        <f t="shared" ref="C79:C81" si="39">$A$5</f>
        <v>LB</v>
      </c>
      <c r="D79" s="423"/>
      <c r="E79" s="424"/>
      <c r="F79" s="425"/>
      <c r="G79" s="426"/>
      <c r="H79" s="427"/>
      <c r="I79" s="433" t="s">
        <v>102</v>
      </c>
      <c r="J79" s="192"/>
      <c r="K79" s="209">
        <v>0.96</v>
      </c>
      <c r="L79" s="194" t="s">
        <v>129</v>
      </c>
      <c r="M79" s="195">
        <f t="shared" si="5"/>
        <v>389.76</v>
      </c>
      <c r="N79" s="196"/>
      <c r="O79" s="195"/>
      <c r="P79" s="197" t="s">
        <v>63</v>
      </c>
      <c r="Q79" s="435"/>
      <c r="R79" s="195"/>
      <c r="S79" s="197" t="s">
        <v>63</v>
      </c>
      <c r="T79" s="205">
        <f t="shared" si="2"/>
        <v>-389.76</v>
      </c>
      <c r="U79" s="199"/>
      <c r="V79" s="199"/>
      <c r="W79" s="208"/>
      <c r="X79" s="198"/>
      <c r="Y79" s="437" t="s">
        <v>130</v>
      </c>
      <c r="Z79" s="231"/>
      <c r="AA79" s="232"/>
      <c r="AB79" s="439"/>
    </row>
    <row r="80" spans="1:32" s="55" customFormat="1" ht="69.95" customHeight="1" x14ac:dyDescent="0.15">
      <c r="A80" s="432"/>
      <c r="B80" s="204">
        <f>$I$6</f>
        <v>485</v>
      </c>
      <c r="C80" s="422" t="str">
        <f>$A$6</f>
        <v>CO</v>
      </c>
      <c r="D80" s="423"/>
      <c r="E80" s="424"/>
      <c r="F80" s="425"/>
      <c r="G80" s="426"/>
      <c r="H80" s="427"/>
      <c r="I80" s="434"/>
      <c r="J80" s="192"/>
      <c r="K80" s="209">
        <v>0.96</v>
      </c>
      <c r="L80" s="194" t="s">
        <v>129</v>
      </c>
      <c r="M80" s="195">
        <f t="shared" si="5"/>
        <v>465.59999999999997</v>
      </c>
      <c r="N80" s="233"/>
      <c r="O80" s="195"/>
      <c r="P80" s="197" t="s">
        <v>63</v>
      </c>
      <c r="Q80" s="436"/>
      <c r="R80" s="195"/>
      <c r="S80" s="197" t="s">
        <v>63</v>
      </c>
      <c r="T80" s="198">
        <f t="shared" si="2"/>
        <v>-465.59999999999997</v>
      </c>
      <c r="U80" s="199"/>
      <c r="V80" s="200"/>
      <c r="W80" s="195"/>
      <c r="X80" s="195"/>
      <c r="Y80" s="438"/>
      <c r="Z80" s="201"/>
      <c r="AA80" s="202"/>
      <c r="AB80" s="440"/>
      <c r="AC80" s="142"/>
      <c r="AD80" s="179"/>
      <c r="AE80" s="179"/>
      <c r="AF80" s="179"/>
    </row>
    <row r="81" spans="1:32" s="206" customFormat="1" ht="69.95" customHeight="1" x14ac:dyDescent="0.15">
      <c r="A81" s="431" t="s">
        <v>120</v>
      </c>
      <c r="B81" s="191">
        <f t="shared" si="38"/>
        <v>406</v>
      </c>
      <c r="C81" s="422" t="str">
        <f t="shared" si="39"/>
        <v>LB</v>
      </c>
      <c r="D81" s="423"/>
      <c r="E81" s="424"/>
      <c r="F81" s="425"/>
      <c r="G81" s="426"/>
      <c r="H81" s="427"/>
      <c r="I81" s="433" t="s">
        <v>75</v>
      </c>
      <c r="J81" s="192"/>
      <c r="K81" s="193">
        <v>2</v>
      </c>
      <c r="L81" s="194" t="s">
        <v>63</v>
      </c>
      <c r="M81" s="195">
        <f t="shared" si="5"/>
        <v>812</v>
      </c>
      <c r="N81" s="196"/>
      <c r="O81" s="195"/>
      <c r="P81" s="197" t="s">
        <v>63</v>
      </c>
      <c r="Q81" s="435"/>
      <c r="R81" s="195"/>
      <c r="S81" s="197" t="s">
        <v>63</v>
      </c>
      <c r="T81" s="205">
        <f t="shared" si="2"/>
        <v>-812</v>
      </c>
      <c r="U81" s="199"/>
      <c r="V81" s="199"/>
      <c r="W81" s="208"/>
      <c r="X81" s="198"/>
      <c r="Y81" s="437" t="s">
        <v>64</v>
      </c>
      <c r="Z81" s="231"/>
      <c r="AA81" s="232"/>
      <c r="AB81" s="439"/>
    </row>
    <row r="82" spans="1:32" s="206" customFormat="1" ht="69.95" customHeight="1" x14ac:dyDescent="0.15">
      <c r="A82" s="432"/>
      <c r="B82" s="204">
        <f>$I$6</f>
        <v>485</v>
      </c>
      <c r="C82" s="422" t="str">
        <f>$A$6</f>
        <v>CO</v>
      </c>
      <c r="D82" s="423"/>
      <c r="E82" s="424"/>
      <c r="F82" s="425"/>
      <c r="G82" s="426"/>
      <c r="H82" s="427"/>
      <c r="I82" s="434"/>
      <c r="J82" s="192"/>
      <c r="K82" s="193">
        <v>2</v>
      </c>
      <c r="L82" s="194" t="s">
        <v>63</v>
      </c>
      <c r="M82" s="195">
        <f t="shared" si="5"/>
        <v>970</v>
      </c>
      <c r="N82" s="233"/>
      <c r="O82" s="195"/>
      <c r="P82" s="197" t="s">
        <v>63</v>
      </c>
      <c r="Q82" s="436"/>
      <c r="R82" s="195"/>
      <c r="S82" s="197" t="s">
        <v>63</v>
      </c>
      <c r="T82" s="198">
        <f t="shared" si="2"/>
        <v>-970</v>
      </c>
      <c r="U82" s="199"/>
      <c r="V82" s="200"/>
      <c r="W82" s="195"/>
      <c r="X82" s="195"/>
      <c r="Y82" s="438"/>
      <c r="Z82" s="201"/>
      <c r="AA82" s="202"/>
      <c r="AB82" s="440"/>
      <c r="AC82" s="234"/>
      <c r="AD82" s="230"/>
      <c r="AE82" s="230"/>
      <c r="AF82" s="230"/>
    </row>
    <row r="83" spans="1:32" s="206" customFormat="1" ht="69.95" customHeight="1" x14ac:dyDescent="0.15">
      <c r="A83" s="431" t="s">
        <v>266</v>
      </c>
      <c r="B83" s="191">
        <f t="shared" si="38"/>
        <v>406</v>
      </c>
      <c r="C83" s="422"/>
      <c r="D83" s="423"/>
      <c r="E83" s="424"/>
      <c r="F83" s="425"/>
      <c r="G83" s="426"/>
      <c r="H83" s="427"/>
      <c r="I83" s="215"/>
      <c r="J83" s="192"/>
      <c r="K83" s="304">
        <v>1.2</v>
      </c>
      <c r="L83" s="194" t="s">
        <v>264</v>
      </c>
      <c r="M83" s="321">
        <f t="shared" si="5"/>
        <v>487.2</v>
      </c>
      <c r="N83" s="233"/>
      <c r="O83" s="195"/>
      <c r="P83" s="197"/>
      <c r="Q83" s="435"/>
      <c r="R83" s="195"/>
      <c r="S83" s="197" t="s">
        <v>264</v>
      </c>
      <c r="T83" s="322">
        <f t="shared" si="2"/>
        <v>-487.2</v>
      </c>
      <c r="U83" s="199"/>
      <c r="V83" s="200"/>
      <c r="W83" s="195"/>
      <c r="X83" s="195"/>
      <c r="Y83" s="437" t="s">
        <v>140</v>
      </c>
      <c r="Z83" s="201"/>
      <c r="AA83" s="202"/>
      <c r="AB83" s="439"/>
      <c r="AC83" s="234"/>
      <c r="AD83" s="230"/>
      <c r="AE83" s="230"/>
      <c r="AF83" s="230"/>
    </row>
    <row r="84" spans="1:32" s="206" customFormat="1" ht="69.95" customHeight="1" x14ac:dyDescent="0.15">
      <c r="A84" s="432"/>
      <c r="B84" s="204">
        <f>$I$6</f>
        <v>485</v>
      </c>
      <c r="C84" s="422"/>
      <c r="D84" s="423"/>
      <c r="E84" s="424"/>
      <c r="F84" s="425"/>
      <c r="G84" s="426"/>
      <c r="H84" s="427"/>
      <c r="I84" s="215"/>
      <c r="J84" s="192"/>
      <c r="K84" s="304">
        <v>1.2</v>
      </c>
      <c r="L84" s="194" t="s">
        <v>264</v>
      </c>
      <c r="M84" s="321">
        <f t="shared" si="5"/>
        <v>582</v>
      </c>
      <c r="N84" s="233"/>
      <c r="O84" s="195"/>
      <c r="P84" s="197"/>
      <c r="Q84" s="436"/>
      <c r="R84" s="195"/>
      <c r="S84" s="197" t="s">
        <v>264</v>
      </c>
      <c r="T84" s="322">
        <f t="shared" si="2"/>
        <v>-582</v>
      </c>
      <c r="U84" s="199"/>
      <c r="V84" s="200"/>
      <c r="W84" s="195"/>
      <c r="X84" s="195"/>
      <c r="Y84" s="438"/>
      <c r="Z84" s="201"/>
      <c r="AA84" s="202"/>
      <c r="AB84" s="440"/>
      <c r="AC84" s="234"/>
      <c r="AD84" s="230"/>
      <c r="AE84" s="230"/>
      <c r="AF84" s="230"/>
    </row>
    <row r="85" spans="1:32" s="206" customFormat="1" ht="54.95" customHeight="1" x14ac:dyDescent="0.15">
      <c r="A85" s="92" t="s">
        <v>257</v>
      </c>
      <c r="B85" s="87">
        <f>I11</f>
        <v>1346</v>
      </c>
      <c r="C85" s="368" t="s">
        <v>71</v>
      </c>
      <c r="D85" s="369"/>
      <c r="E85" s="370"/>
      <c r="F85" s="368"/>
      <c r="G85" s="369"/>
      <c r="H85" s="370"/>
      <c r="I85" s="93"/>
      <c r="J85" s="90"/>
      <c r="K85" s="156">
        <v>1</v>
      </c>
      <c r="L85" s="77" t="s">
        <v>63</v>
      </c>
      <c r="M85" s="88">
        <f t="shared" si="5"/>
        <v>1346</v>
      </c>
      <c r="N85" s="91"/>
      <c r="O85" s="91"/>
      <c r="P85" s="88" t="s">
        <v>63</v>
      </c>
      <c r="Q85" s="318">
        <v>46064</v>
      </c>
      <c r="R85" s="93">
        <v>1346</v>
      </c>
      <c r="S85" s="88" t="s">
        <v>63</v>
      </c>
      <c r="T85" s="154">
        <f t="shared" si="2"/>
        <v>0</v>
      </c>
      <c r="U85" s="91"/>
      <c r="V85" s="159"/>
      <c r="W85" s="159"/>
      <c r="X85" s="159"/>
      <c r="Y85" s="160" t="s">
        <v>72</v>
      </c>
      <c r="Z85" s="94"/>
      <c r="AA85" s="95"/>
      <c r="AB85" s="319" t="s">
        <v>275</v>
      </c>
    </row>
    <row r="86" spans="1:32" s="206" customFormat="1" ht="54.95" customHeight="1" x14ac:dyDescent="0.15">
      <c r="A86" s="92" t="s">
        <v>323</v>
      </c>
      <c r="B86" s="87">
        <f>I11</f>
        <v>1346</v>
      </c>
      <c r="C86" s="368" t="s">
        <v>71</v>
      </c>
      <c r="D86" s="369"/>
      <c r="E86" s="370"/>
      <c r="F86" s="368"/>
      <c r="G86" s="369"/>
      <c r="H86" s="370"/>
      <c r="I86" s="93"/>
      <c r="J86" s="90"/>
      <c r="K86" s="156">
        <v>1</v>
      </c>
      <c r="L86" s="77" t="s">
        <v>63</v>
      </c>
      <c r="M86" s="88">
        <f t="shared" ref="M86" si="40">K86*B86</f>
        <v>1346</v>
      </c>
      <c r="N86" s="91"/>
      <c r="O86" s="91"/>
      <c r="P86" s="88" t="s">
        <v>63</v>
      </c>
      <c r="Q86" s="318">
        <v>46127</v>
      </c>
      <c r="R86" s="93">
        <v>1346</v>
      </c>
      <c r="S86" s="88" t="s">
        <v>63</v>
      </c>
      <c r="T86" s="154">
        <f t="shared" ref="T86" si="41">R86-M86</f>
        <v>0</v>
      </c>
      <c r="U86" s="91"/>
      <c r="V86" s="159"/>
      <c r="W86" s="159"/>
      <c r="X86" s="159"/>
      <c r="Y86" s="160" t="s">
        <v>72</v>
      </c>
      <c r="Z86" s="94"/>
      <c r="AA86" s="95"/>
      <c r="AB86" s="319" t="s">
        <v>325</v>
      </c>
    </row>
    <row r="87" spans="1:32" s="55" customFormat="1" ht="54.95" customHeight="1" x14ac:dyDescent="0.15">
      <c r="A87" s="386" t="s">
        <v>66</v>
      </c>
      <c r="B87" s="87">
        <f>C11</f>
        <v>730</v>
      </c>
      <c r="C87" s="389" t="e">
        <f>#REF!</f>
        <v>#REF!</v>
      </c>
      <c r="D87" s="390"/>
      <c r="E87" s="391"/>
      <c r="F87" s="368"/>
      <c r="G87" s="369"/>
      <c r="H87" s="370"/>
      <c r="I87" s="152"/>
      <c r="J87" s="75"/>
      <c r="K87" s="139">
        <v>1</v>
      </c>
      <c r="L87" s="77" t="s">
        <v>63</v>
      </c>
      <c r="M87" s="88">
        <f t="shared" si="5"/>
        <v>730</v>
      </c>
      <c r="N87" s="89"/>
      <c r="O87" s="153"/>
      <c r="P87" s="88" t="s">
        <v>63</v>
      </c>
      <c r="Q87" s="443">
        <v>46064</v>
      </c>
      <c r="R87" s="153">
        <v>730</v>
      </c>
      <c r="S87" s="88" t="s">
        <v>63</v>
      </c>
      <c r="T87" s="154">
        <f t="shared" si="2"/>
        <v>0</v>
      </c>
      <c r="U87" s="129"/>
      <c r="V87" s="155"/>
      <c r="W87" s="154"/>
      <c r="X87" s="154"/>
      <c r="Y87" s="401" t="s">
        <v>72</v>
      </c>
      <c r="Z87" s="401"/>
      <c r="AA87" s="401"/>
      <c r="AB87" s="579" t="s">
        <v>275</v>
      </c>
    </row>
    <row r="88" spans="1:32" s="55" customFormat="1" ht="54.95" customHeight="1" x14ac:dyDescent="0.15">
      <c r="A88" s="387"/>
      <c r="B88" s="87">
        <f>D11</f>
        <v>616</v>
      </c>
      <c r="C88" s="392"/>
      <c r="D88" s="393"/>
      <c r="E88" s="394"/>
      <c r="F88" s="368"/>
      <c r="G88" s="369"/>
      <c r="H88" s="370"/>
      <c r="I88" s="152"/>
      <c r="J88" s="75"/>
      <c r="K88" s="156">
        <v>1</v>
      </c>
      <c r="L88" s="77" t="s">
        <v>63</v>
      </c>
      <c r="M88" s="88">
        <f t="shared" si="5"/>
        <v>616</v>
      </c>
      <c r="N88" s="89"/>
      <c r="O88" s="153"/>
      <c r="P88" s="88" t="s">
        <v>63</v>
      </c>
      <c r="Q88" s="447"/>
      <c r="R88" s="153">
        <v>616</v>
      </c>
      <c r="S88" s="88" t="s">
        <v>63</v>
      </c>
      <c r="T88" s="154">
        <f t="shared" si="2"/>
        <v>0</v>
      </c>
      <c r="U88" s="129"/>
      <c r="V88" s="155"/>
      <c r="W88" s="154"/>
      <c r="X88" s="154"/>
      <c r="Y88" s="402"/>
      <c r="Z88" s="402"/>
      <c r="AA88" s="402"/>
      <c r="AB88" s="580"/>
    </row>
    <row r="89" spans="1:32" s="55" customFormat="1" ht="54.95" customHeight="1" x14ac:dyDescent="0.15">
      <c r="A89" s="387"/>
      <c r="B89" s="87">
        <f>E11</f>
        <v>0</v>
      </c>
      <c r="C89" s="392"/>
      <c r="D89" s="393"/>
      <c r="E89" s="394"/>
      <c r="F89" s="368"/>
      <c r="G89" s="369"/>
      <c r="H89" s="370"/>
      <c r="I89" s="152"/>
      <c r="J89" s="75"/>
      <c r="K89" s="156">
        <v>1</v>
      </c>
      <c r="L89" s="77" t="s">
        <v>63</v>
      </c>
      <c r="M89" s="88">
        <f t="shared" si="5"/>
        <v>0</v>
      </c>
      <c r="N89" s="89"/>
      <c r="O89" s="153"/>
      <c r="P89" s="88" t="s">
        <v>63</v>
      </c>
      <c r="Q89" s="447"/>
      <c r="R89" s="153"/>
      <c r="S89" s="88" t="s">
        <v>63</v>
      </c>
      <c r="T89" s="154">
        <f t="shared" si="2"/>
        <v>0</v>
      </c>
      <c r="U89" s="129"/>
      <c r="V89" s="155"/>
      <c r="W89" s="154"/>
      <c r="X89" s="154"/>
      <c r="Y89" s="402"/>
      <c r="Z89" s="402"/>
      <c r="AA89" s="402"/>
      <c r="AB89" s="580"/>
    </row>
    <row r="90" spans="1:32" s="55" customFormat="1" ht="54.95" customHeight="1" x14ac:dyDescent="0.15">
      <c r="A90" s="387"/>
      <c r="B90" s="87">
        <f>F11</f>
        <v>0</v>
      </c>
      <c r="C90" s="392"/>
      <c r="D90" s="393"/>
      <c r="E90" s="394"/>
      <c r="F90" s="368"/>
      <c r="G90" s="369"/>
      <c r="H90" s="370"/>
      <c r="I90" s="152"/>
      <c r="J90" s="75"/>
      <c r="K90" s="156">
        <v>1</v>
      </c>
      <c r="L90" s="77" t="s">
        <v>63</v>
      </c>
      <c r="M90" s="88">
        <f t="shared" si="5"/>
        <v>0</v>
      </c>
      <c r="N90" s="89"/>
      <c r="O90" s="153"/>
      <c r="P90" s="88" t="s">
        <v>63</v>
      </c>
      <c r="Q90" s="447"/>
      <c r="R90" s="153"/>
      <c r="S90" s="88" t="s">
        <v>63</v>
      </c>
      <c r="T90" s="154">
        <f t="shared" si="2"/>
        <v>0</v>
      </c>
      <c r="U90" s="129"/>
      <c r="V90" s="155"/>
      <c r="W90" s="154"/>
      <c r="X90" s="154"/>
      <c r="Y90" s="402"/>
      <c r="Z90" s="402"/>
      <c r="AA90" s="402"/>
      <c r="AB90" s="580"/>
    </row>
    <row r="91" spans="1:32" s="55" customFormat="1" ht="54.95" customHeight="1" x14ac:dyDescent="0.15">
      <c r="A91" s="388"/>
      <c r="B91" s="87">
        <f>G11</f>
        <v>0</v>
      </c>
      <c r="C91" s="395"/>
      <c r="D91" s="396"/>
      <c r="E91" s="397"/>
      <c r="F91" s="368"/>
      <c r="G91" s="369"/>
      <c r="H91" s="370"/>
      <c r="I91" s="152"/>
      <c r="J91" s="75"/>
      <c r="K91" s="156">
        <v>1</v>
      </c>
      <c r="L91" s="77" t="s">
        <v>63</v>
      </c>
      <c r="M91" s="88">
        <f t="shared" si="5"/>
        <v>0</v>
      </c>
      <c r="N91" s="89"/>
      <c r="O91" s="153"/>
      <c r="P91" s="88" t="s">
        <v>63</v>
      </c>
      <c r="Q91" s="444"/>
      <c r="R91" s="153"/>
      <c r="S91" s="88" t="s">
        <v>63</v>
      </c>
      <c r="T91" s="154">
        <f t="shared" si="2"/>
        <v>0</v>
      </c>
      <c r="U91" s="129"/>
      <c r="V91" s="155"/>
      <c r="W91" s="154"/>
      <c r="X91" s="154"/>
      <c r="Y91" s="403"/>
      <c r="Z91" s="403"/>
      <c r="AA91" s="403"/>
      <c r="AB91" s="581"/>
    </row>
    <row r="92" spans="1:32" s="55" customFormat="1" ht="54.95" customHeight="1" x14ac:dyDescent="0.15">
      <c r="A92" s="386" t="s">
        <v>68</v>
      </c>
      <c r="B92" s="87">
        <f>C5</f>
        <v>230</v>
      </c>
      <c r="C92" s="461" t="str">
        <f>A5</f>
        <v>LB</v>
      </c>
      <c r="D92" s="461"/>
      <c r="E92" s="461"/>
      <c r="F92" s="368"/>
      <c r="G92" s="369"/>
      <c r="H92" s="370"/>
      <c r="I92" s="152"/>
      <c r="J92" s="152"/>
      <c r="K92" s="156">
        <v>1</v>
      </c>
      <c r="L92" s="77" t="s">
        <v>63</v>
      </c>
      <c r="M92" s="343">
        <f t="shared" si="5"/>
        <v>230</v>
      </c>
      <c r="N92" s="89"/>
      <c r="O92" s="153"/>
      <c r="P92" s="88" t="s">
        <v>63</v>
      </c>
      <c r="Q92" s="443">
        <v>46101</v>
      </c>
      <c r="R92" s="153">
        <v>230</v>
      </c>
      <c r="S92" s="88" t="s">
        <v>63</v>
      </c>
      <c r="T92" s="154">
        <f t="shared" si="2"/>
        <v>0</v>
      </c>
      <c r="U92" s="157"/>
      <c r="V92" s="158"/>
      <c r="W92" s="154"/>
      <c r="X92" s="154"/>
      <c r="Y92" s="582" t="s">
        <v>72</v>
      </c>
      <c r="Z92" s="582"/>
      <c r="AA92" s="582"/>
      <c r="AB92" s="601" t="s">
        <v>351</v>
      </c>
    </row>
    <row r="93" spans="1:32" s="55" customFormat="1" ht="54.95" customHeight="1" x14ac:dyDescent="0.15">
      <c r="A93" s="387"/>
      <c r="B93" s="87">
        <f>D5</f>
        <v>176</v>
      </c>
      <c r="C93" s="461"/>
      <c r="D93" s="461"/>
      <c r="E93" s="461"/>
      <c r="F93" s="368"/>
      <c r="G93" s="369"/>
      <c r="H93" s="370"/>
      <c r="I93" s="152"/>
      <c r="J93" s="152"/>
      <c r="K93" s="156">
        <v>1</v>
      </c>
      <c r="L93" s="77" t="s">
        <v>63</v>
      </c>
      <c r="M93" s="343">
        <f t="shared" si="5"/>
        <v>176</v>
      </c>
      <c r="N93" s="89"/>
      <c r="O93" s="153"/>
      <c r="P93" s="88" t="s">
        <v>63</v>
      </c>
      <c r="Q93" s="447"/>
      <c r="R93" s="153">
        <v>176</v>
      </c>
      <c r="S93" s="88" t="s">
        <v>63</v>
      </c>
      <c r="T93" s="154">
        <f t="shared" si="2"/>
        <v>0</v>
      </c>
      <c r="U93" s="157"/>
      <c r="V93" s="158"/>
      <c r="W93" s="154"/>
      <c r="X93" s="154"/>
      <c r="Y93" s="582"/>
      <c r="Z93" s="582"/>
      <c r="AA93" s="582"/>
      <c r="AB93" s="602"/>
    </row>
    <row r="94" spans="1:32" s="55" customFormat="1" ht="54.95" customHeight="1" x14ac:dyDescent="0.15">
      <c r="A94" s="387"/>
      <c r="B94" s="87">
        <f>E5</f>
        <v>0</v>
      </c>
      <c r="C94" s="461"/>
      <c r="D94" s="461"/>
      <c r="E94" s="461"/>
      <c r="F94" s="368"/>
      <c r="G94" s="369"/>
      <c r="H94" s="370"/>
      <c r="I94" s="152"/>
      <c r="J94" s="152"/>
      <c r="K94" s="156">
        <v>1</v>
      </c>
      <c r="L94" s="77" t="s">
        <v>63</v>
      </c>
      <c r="M94" s="88">
        <f t="shared" si="5"/>
        <v>0</v>
      </c>
      <c r="N94" s="89"/>
      <c r="O94" s="153"/>
      <c r="P94" s="88" t="s">
        <v>63</v>
      </c>
      <c r="Q94" s="447"/>
      <c r="R94" s="153"/>
      <c r="S94" s="88" t="s">
        <v>63</v>
      </c>
      <c r="T94" s="154">
        <f t="shared" si="2"/>
        <v>0</v>
      </c>
      <c r="U94" s="157"/>
      <c r="V94" s="158"/>
      <c r="W94" s="154"/>
      <c r="X94" s="154"/>
      <c r="Y94" s="582"/>
      <c r="Z94" s="582"/>
      <c r="AA94" s="582"/>
      <c r="AB94" s="602"/>
    </row>
    <row r="95" spans="1:32" s="55" customFormat="1" ht="54.95" customHeight="1" x14ac:dyDescent="0.15">
      <c r="A95" s="387"/>
      <c r="B95" s="87">
        <f>C6</f>
        <v>265</v>
      </c>
      <c r="C95" s="461" t="str">
        <f>A6</f>
        <v>CO</v>
      </c>
      <c r="D95" s="461"/>
      <c r="E95" s="461"/>
      <c r="F95" s="368"/>
      <c r="G95" s="369"/>
      <c r="H95" s="370"/>
      <c r="I95" s="152"/>
      <c r="J95" s="152"/>
      <c r="K95" s="156">
        <v>1</v>
      </c>
      <c r="L95" s="77" t="s">
        <v>63</v>
      </c>
      <c r="M95" s="343">
        <f t="shared" si="5"/>
        <v>265</v>
      </c>
      <c r="N95" s="89"/>
      <c r="O95" s="153"/>
      <c r="P95" s="88" t="s">
        <v>63</v>
      </c>
      <c r="Q95" s="447"/>
      <c r="R95" s="77">
        <v>265</v>
      </c>
      <c r="S95" s="88" t="s">
        <v>63</v>
      </c>
      <c r="T95" s="154">
        <f t="shared" si="2"/>
        <v>0</v>
      </c>
      <c r="U95" s="157"/>
      <c r="V95" s="158"/>
      <c r="W95" s="154"/>
      <c r="X95" s="154"/>
      <c r="Y95" s="582" t="s">
        <v>72</v>
      </c>
      <c r="Z95" s="582"/>
      <c r="AA95" s="582"/>
      <c r="AB95" s="602"/>
    </row>
    <row r="96" spans="1:32" s="55" customFormat="1" ht="54.95" customHeight="1" x14ac:dyDescent="0.15">
      <c r="A96" s="387"/>
      <c r="B96" s="87">
        <f>D6</f>
        <v>220</v>
      </c>
      <c r="C96" s="461"/>
      <c r="D96" s="461"/>
      <c r="E96" s="461"/>
      <c r="F96" s="368"/>
      <c r="G96" s="369"/>
      <c r="H96" s="370"/>
      <c r="I96" s="152"/>
      <c r="J96" s="152"/>
      <c r="K96" s="156">
        <v>1</v>
      </c>
      <c r="L96" s="77" t="s">
        <v>63</v>
      </c>
      <c r="M96" s="88">
        <f t="shared" si="5"/>
        <v>220</v>
      </c>
      <c r="N96" s="89"/>
      <c r="O96" s="153"/>
      <c r="P96" s="88" t="s">
        <v>63</v>
      </c>
      <c r="Q96" s="604">
        <v>46184</v>
      </c>
      <c r="R96" s="77">
        <v>220</v>
      </c>
      <c r="S96" s="88" t="s">
        <v>63</v>
      </c>
      <c r="T96" s="154">
        <f t="shared" si="2"/>
        <v>0</v>
      </c>
      <c r="U96" s="157"/>
      <c r="V96" s="158"/>
      <c r="W96" s="154"/>
      <c r="X96" s="154"/>
      <c r="Y96" s="582"/>
      <c r="Z96" s="582"/>
      <c r="AA96" s="582"/>
      <c r="AB96" s="602"/>
    </row>
    <row r="97" spans="1:28" s="55" customFormat="1" ht="54.95" customHeight="1" x14ac:dyDescent="0.15">
      <c r="A97" s="387"/>
      <c r="B97" s="87">
        <f>E6</f>
        <v>0</v>
      </c>
      <c r="C97" s="461"/>
      <c r="D97" s="461"/>
      <c r="E97" s="461"/>
      <c r="F97" s="368"/>
      <c r="G97" s="369"/>
      <c r="H97" s="370"/>
      <c r="I97" s="152"/>
      <c r="J97" s="152"/>
      <c r="K97" s="156">
        <v>1</v>
      </c>
      <c r="L97" s="77" t="s">
        <v>63</v>
      </c>
      <c r="M97" s="88">
        <f t="shared" si="5"/>
        <v>0</v>
      </c>
      <c r="N97" s="89"/>
      <c r="O97" s="153"/>
      <c r="P97" s="88" t="s">
        <v>63</v>
      </c>
      <c r="Q97" s="604"/>
      <c r="R97" s="153"/>
      <c r="S97" s="88" t="s">
        <v>63</v>
      </c>
      <c r="T97" s="154">
        <f>R97-M97</f>
        <v>0</v>
      </c>
      <c r="U97" s="157"/>
      <c r="V97" s="158"/>
      <c r="W97" s="154"/>
      <c r="X97" s="154"/>
      <c r="Y97" s="582"/>
      <c r="Z97" s="582"/>
      <c r="AA97" s="582"/>
      <c r="AB97" s="602"/>
    </row>
    <row r="98" spans="1:28" s="55" customFormat="1" ht="54.95" customHeight="1" x14ac:dyDescent="0.15">
      <c r="A98" s="387"/>
      <c r="B98" s="87">
        <f>C7</f>
        <v>235</v>
      </c>
      <c r="C98" s="392" t="str">
        <f>A7</f>
        <v>CC</v>
      </c>
      <c r="D98" s="393"/>
      <c r="E98" s="394"/>
      <c r="F98" s="368"/>
      <c r="G98" s="369"/>
      <c r="H98" s="370"/>
      <c r="I98" s="152"/>
      <c r="J98" s="152"/>
      <c r="K98" s="156">
        <v>1</v>
      </c>
      <c r="L98" s="77" t="s">
        <v>63</v>
      </c>
      <c r="M98" s="343">
        <f t="shared" si="5"/>
        <v>235</v>
      </c>
      <c r="N98" s="89"/>
      <c r="O98" s="153"/>
      <c r="P98" s="88" t="s">
        <v>63</v>
      </c>
      <c r="Q98" s="604"/>
      <c r="R98" s="153">
        <v>235</v>
      </c>
      <c r="S98" s="88" t="s">
        <v>63</v>
      </c>
      <c r="T98" s="154">
        <f>R98-M98</f>
        <v>0</v>
      </c>
      <c r="U98" s="157"/>
      <c r="V98" s="158"/>
      <c r="W98" s="154"/>
      <c r="X98" s="154"/>
      <c r="Y98" s="582" t="s">
        <v>72</v>
      </c>
      <c r="Z98" s="582"/>
      <c r="AA98" s="582"/>
      <c r="AB98" s="602"/>
    </row>
    <row r="99" spans="1:28" s="55" customFormat="1" ht="54.95" customHeight="1" x14ac:dyDescent="0.15">
      <c r="A99" s="387"/>
      <c r="B99" s="87">
        <f>D7</f>
        <v>220</v>
      </c>
      <c r="C99" s="392"/>
      <c r="D99" s="393"/>
      <c r="E99" s="394"/>
      <c r="F99" s="368"/>
      <c r="G99" s="369"/>
      <c r="H99" s="370"/>
      <c r="I99" s="152"/>
      <c r="J99" s="152"/>
      <c r="K99" s="156">
        <v>1</v>
      </c>
      <c r="L99" s="77" t="s">
        <v>63</v>
      </c>
      <c r="M99" s="88">
        <f t="shared" si="5"/>
        <v>220</v>
      </c>
      <c r="N99" s="89"/>
      <c r="O99" s="153"/>
      <c r="P99" s="88" t="s">
        <v>63</v>
      </c>
      <c r="Q99" s="604"/>
      <c r="R99" s="153">
        <v>220</v>
      </c>
      <c r="S99" s="88" t="s">
        <v>63</v>
      </c>
      <c r="T99" s="154">
        <f>R99-M99</f>
        <v>0</v>
      </c>
      <c r="U99" s="157"/>
      <c r="V99" s="158"/>
      <c r="W99" s="154"/>
      <c r="X99" s="154"/>
      <c r="Y99" s="582"/>
      <c r="Z99" s="582"/>
      <c r="AA99" s="582"/>
      <c r="AB99" s="602"/>
    </row>
    <row r="100" spans="1:28" s="176" customFormat="1" ht="54.95" customHeight="1" x14ac:dyDescent="0.15">
      <c r="A100" s="387"/>
      <c r="B100" s="87">
        <f>E7</f>
        <v>0</v>
      </c>
      <c r="C100" s="392"/>
      <c r="D100" s="393"/>
      <c r="E100" s="394"/>
      <c r="F100" s="371"/>
      <c r="G100" s="372"/>
      <c r="H100" s="373"/>
      <c r="I100" s="276"/>
      <c r="J100" s="276"/>
      <c r="K100" s="167">
        <v>1</v>
      </c>
      <c r="L100" s="168" t="s">
        <v>63</v>
      </c>
      <c r="M100" s="169">
        <f t="shared" si="5"/>
        <v>0</v>
      </c>
      <c r="N100" s="171"/>
      <c r="O100" s="277"/>
      <c r="P100" s="169" t="s">
        <v>63</v>
      </c>
      <c r="Q100" s="605"/>
      <c r="R100" s="168"/>
      <c r="S100" s="169" t="s">
        <v>63</v>
      </c>
      <c r="T100" s="278">
        <f>R100-M100</f>
        <v>0</v>
      </c>
      <c r="U100" s="281"/>
      <c r="V100" s="282"/>
      <c r="W100" s="278"/>
      <c r="X100" s="278"/>
      <c r="Y100" s="582"/>
      <c r="Z100" s="582"/>
      <c r="AA100" s="582"/>
      <c r="AB100" s="603"/>
    </row>
    <row r="101" spans="1:28" s="176" customFormat="1" ht="54.95" customHeight="1" x14ac:dyDescent="0.15">
      <c r="A101" s="386" t="s">
        <v>69</v>
      </c>
      <c r="B101" s="164">
        <f>C5</f>
        <v>230</v>
      </c>
      <c r="C101" s="461" t="str">
        <f>A5</f>
        <v>LB</v>
      </c>
      <c r="D101" s="461"/>
      <c r="E101" s="461"/>
      <c r="F101" s="371"/>
      <c r="G101" s="372"/>
      <c r="H101" s="373"/>
      <c r="I101" s="276"/>
      <c r="J101" s="276"/>
      <c r="K101" s="167">
        <v>1</v>
      </c>
      <c r="L101" s="168" t="s">
        <v>63</v>
      </c>
      <c r="M101" s="169">
        <f t="shared" si="5"/>
        <v>230</v>
      </c>
      <c r="N101" s="171"/>
      <c r="O101" s="277"/>
      <c r="P101" s="169" t="s">
        <v>63</v>
      </c>
      <c r="Q101" s="376">
        <v>46127</v>
      </c>
      <c r="R101" s="277">
        <v>230</v>
      </c>
      <c r="S101" s="169" t="s">
        <v>63</v>
      </c>
      <c r="T101" s="278">
        <f t="shared" si="2"/>
        <v>0</v>
      </c>
      <c r="U101" s="281"/>
      <c r="V101" s="282"/>
      <c r="W101" s="278"/>
      <c r="X101" s="278"/>
      <c r="Y101" s="597" t="s">
        <v>67</v>
      </c>
      <c r="Z101" s="597"/>
      <c r="AA101" s="597"/>
      <c r="AB101" s="404" t="s">
        <v>325</v>
      </c>
    </row>
    <row r="102" spans="1:28" s="176" customFormat="1" ht="54.95" customHeight="1" x14ac:dyDescent="0.15">
      <c r="A102" s="387"/>
      <c r="B102" s="164">
        <f>D5</f>
        <v>176</v>
      </c>
      <c r="C102" s="461"/>
      <c r="D102" s="461"/>
      <c r="E102" s="461"/>
      <c r="F102" s="371"/>
      <c r="G102" s="372"/>
      <c r="H102" s="373"/>
      <c r="I102" s="276"/>
      <c r="J102" s="276"/>
      <c r="K102" s="167">
        <v>1</v>
      </c>
      <c r="L102" s="168" t="s">
        <v>63</v>
      </c>
      <c r="M102" s="169">
        <f t="shared" si="5"/>
        <v>176</v>
      </c>
      <c r="N102" s="171"/>
      <c r="O102" s="277"/>
      <c r="P102" s="169" t="s">
        <v>63</v>
      </c>
      <c r="Q102" s="377"/>
      <c r="R102" s="277">
        <v>176</v>
      </c>
      <c r="S102" s="169" t="s">
        <v>63</v>
      </c>
      <c r="T102" s="278">
        <f t="shared" si="2"/>
        <v>0</v>
      </c>
      <c r="U102" s="281"/>
      <c r="V102" s="282"/>
      <c r="W102" s="278"/>
      <c r="X102" s="278"/>
      <c r="Y102" s="597"/>
      <c r="Z102" s="597"/>
      <c r="AA102" s="597"/>
      <c r="AB102" s="405"/>
    </row>
    <row r="103" spans="1:28" s="176" customFormat="1" ht="54.95" customHeight="1" x14ac:dyDescent="0.15">
      <c r="A103" s="387"/>
      <c r="B103" s="164">
        <f>E5</f>
        <v>0</v>
      </c>
      <c r="C103" s="461"/>
      <c r="D103" s="461"/>
      <c r="E103" s="461"/>
      <c r="F103" s="371"/>
      <c r="G103" s="372"/>
      <c r="H103" s="373"/>
      <c r="I103" s="276"/>
      <c r="J103" s="276"/>
      <c r="K103" s="167">
        <v>1</v>
      </c>
      <c r="L103" s="168" t="s">
        <v>63</v>
      </c>
      <c r="M103" s="169">
        <f t="shared" si="5"/>
        <v>0</v>
      </c>
      <c r="N103" s="171"/>
      <c r="O103" s="277"/>
      <c r="P103" s="169" t="s">
        <v>63</v>
      </c>
      <c r="Q103" s="377"/>
      <c r="R103" s="277"/>
      <c r="S103" s="169" t="s">
        <v>63</v>
      </c>
      <c r="T103" s="278">
        <f t="shared" si="2"/>
        <v>0</v>
      </c>
      <c r="U103" s="281"/>
      <c r="V103" s="282"/>
      <c r="W103" s="278"/>
      <c r="X103" s="278"/>
      <c r="Y103" s="597"/>
      <c r="Z103" s="597"/>
      <c r="AA103" s="597"/>
      <c r="AB103" s="405"/>
    </row>
    <row r="104" spans="1:28" s="176" customFormat="1" ht="54.95" customHeight="1" x14ac:dyDescent="0.15">
      <c r="A104" s="387"/>
      <c r="B104" s="164">
        <f>C6</f>
        <v>265</v>
      </c>
      <c r="C104" s="461" t="str">
        <f>A6</f>
        <v>CO</v>
      </c>
      <c r="D104" s="461"/>
      <c r="E104" s="461"/>
      <c r="F104" s="371"/>
      <c r="G104" s="372"/>
      <c r="H104" s="373"/>
      <c r="I104" s="276"/>
      <c r="J104" s="276"/>
      <c r="K104" s="167">
        <v>1</v>
      </c>
      <c r="L104" s="168" t="s">
        <v>63</v>
      </c>
      <c r="M104" s="169">
        <f t="shared" si="5"/>
        <v>265</v>
      </c>
      <c r="N104" s="171"/>
      <c r="O104" s="277"/>
      <c r="P104" s="169" t="s">
        <v>63</v>
      </c>
      <c r="Q104" s="377"/>
      <c r="R104" s="168">
        <v>265</v>
      </c>
      <c r="S104" s="169" t="s">
        <v>63</v>
      </c>
      <c r="T104" s="278">
        <f t="shared" si="2"/>
        <v>0</v>
      </c>
      <c r="U104" s="281"/>
      <c r="V104" s="282"/>
      <c r="W104" s="278"/>
      <c r="X104" s="278"/>
      <c r="Y104" s="597" t="s">
        <v>67</v>
      </c>
      <c r="AA104" s="597"/>
      <c r="AB104" s="405"/>
    </row>
    <row r="105" spans="1:28" s="176" customFormat="1" ht="54.95" customHeight="1" x14ac:dyDescent="0.15">
      <c r="A105" s="387"/>
      <c r="B105" s="164">
        <f>D6</f>
        <v>220</v>
      </c>
      <c r="C105" s="461"/>
      <c r="D105" s="461"/>
      <c r="E105" s="461"/>
      <c r="F105" s="371"/>
      <c r="G105" s="372"/>
      <c r="H105" s="373"/>
      <c r="I105" s="276"/>
      <c r="J105" s="276"/>
      <c r="K105" s="167">
        <v>1</v>
      </c>
      <c r="L105" s="168" t="s">
        <v>63</v>
      </c>
      <c r="M105" s="169">
        <f t="shared" si="5"/>
        <v>220</v>
      </c>
      <c r="N105" s="171"/>
      <c r="O105" s="277"/>
      <c r="P105" s="169" t="s">
        <v>63</v>
      </c>
      <c r="Q105" s="377"/>
      <c r="R105" s="168">
        <v>220</v>
      </c>
      <c r="S105" s="169" t="s">
        <v>63</v>
      </c>
      <c r="T105" s="278">
        <f t="shared" si="2"/>
        <v>0</v>
      </c>
      <c r="U105" s="281"/>
      <c r="V105" s="282"/>
      <c r="W105" s="278"/>
      <c r="X105" s="278"/>
      <c r="Y105" s="597"/>
      <c r="AA105" s="597"/>
      <c r="AB105" s="405"/>
    </row>
    <row r="106" spans="1:28" s="176" customFormat="1" ht="54.95" customHeight="1" x14ac:dyDescent="0.15">
      <c r="A106" s="387"/>
      <c r="B106" s="164">
        <f>E6</f>
        <v>0</v>
      </c>
      <c r="C106" s="461"/>
      <c r="D106" s="461"/>
      <c r="E106" s="461"/>
      <c r="F106" s="371"/>
      <c r="G106" s="372"/>
      <c r="H106" s="373"/>
      <c r="I106" s="276"/>
      <c r="J106" s="276"/>
      <c r="K106" s="167">
        <v>1</v>
      </c>
      <c r="L106" s="168" t="s">
        <v>63</v>
      </c>
      <c r="M106" s="169">
        <f t="shared" si="5"/>
        <v>0</v>
      </c>
      <c r="N106" s="171"/>
      <c r="O106" s="277"/>
      <c r="P106" s="169" t="s">
        <v>63</v>
      </c>
      <c r="Q106" s="377"/>
      <c r="R106" s="277"/>
      <c r="S106" s="169" t="s">
        <v>63</v>
      </c>
      <c r="T106" s="278">
        <f t="shared" si="2"/>
        <v>0</v>
      </c>
      <c r="U106" s="281"/>
      <c r="V106" s="282"/>
      <c r="W106" s="278"/>
      <c r="X106" s="278"/>
      <c r="Y106" s="597"/>
      <c r="AA106" s="597"/>
      <c r="AB106" s="405"/>
    </row>
    <row r="107" spans="1:28" s="176" customFormat="1" ht="54.95" customHeight="1" x14ac:dyDescent="0.15">
      <c r="A107" s="387"/>
      <c r="B107" s="164">
        <f>C7</f>
        <v>235</v>
      </c>
      <c r="C107" s="392" t="str">
        <f>A7</f>
        <v>CC</v>
      </c>
      <c r="D107" s="393"/>
      <c r="E107" s="394"/>
      <c r="F107" s="371"/>
      <c r="G107" s="372"/>
      <c r="H107" s="373"/>
      <c r="I107" s="276"/>
      <c r="J107" s="276"/>
      <c r="K107" s="167">
        <v>1</v>
      </c>
      <c r="L107" s="168" t="s">
        <v>63</v>
      </c>
      <c r="M107" s="169">
        <f t="shared" si="5"/>
        <v>235</v>
      </c>
      <c r="N107" s="171"/>
      <c r="O107" s="277"/>
      <c r="P107" s="169" t="s">
        <v>63</v>
      </c>
      <c r="Q107" s="377"/>
      <c r="R107" s="277">
        <v>235</v>
      </c>
      <c r="S107" s="169" t="s">
        <v>63</v>
      </c>
      <c r="T107" s="278">
        <f t="shared" si="2"/>
        <v>0</v>
      </c>
      <c r="U107" s="281"/>
      <c r="V107" s="282"/>
      <c r="W107" s="278"/>
      <c r="X107" s="278"/>
      <c r="Y107" s="597" t="s">
        <v>67</v>
      </c>
      <c r="Z107" s="597"/>
      <c r="AA107" s="597"/>
      <c r="AB107" s="405"/>
    </row>
    <row r="108" spans="1:28" s="176" customFormat="1" ht="54.95" customHeight="1" x14ac:dyDescent="0.15">
      <c r="A108" s="387"/>
      <c r="B108" s="164">
        <f>D7</f>
        <v>220</v>
      </c>
      <c r="C108" s="392"/>
      <c r="D108" s="393"/>
      <c r="E108" s="394"/>
      <c r="F108" s="371"/>
      <c r="G108" s="372"/>
      <c r="H108" s="373"/>
      <c r="I108" s="276"/>
      <c r="J108" s="276"/>
      <c r="K108" s="167">
        <v>1</v>
      </c>
      <c r="L108" s="168" t="s">
        <v>63</v>
      </c>
      <c r="M108" s="169">
        <f t="shared" si="5"/>
        <v>220</v>
      </c>
      <c r="N108" s="171"/>
      <c r="O108" s="277"/>
      <c r="P108" s="169" t="s">
        <v>63</v>
      </c>
      <c r="Q108" s="377"/>
      <c r="R108" s="277">
        <v>220</v>
      </c>
      <c r="S108" s="169" t="s">
        <v>63</v>
      </c>
      <c r="T108" s="278">
        <f t="shared" si="2"/>
        <v>0</v>
      </c>
      <c r="U108" s="281"/>
      <c r="V108" s="282"/>
      <c r="W108" s="278"/>
      <c r="X108" s="278"/>
      <c r="Y108" s="597"/>
      <c r="Z108" s="597"/>
      <c r="AA108" s="597"/>
      <c r="AB108" s="405"/>
    </row>
    <row r="109" spans="1:28" s="176" customFormat="1" ht="54.95" customHeight="1" x14ac:dyDescent="0.15">
      <c r="A109" s="387"/>
      <c r="B109" s="164">
        <f>E7</f>
        <v>0</v>
      </c>
      <c r="C109" s="392"/>
      <c r="D109" s="393"/>
      <c r="E109" s="394"/>
      <c r="F109" s="371"/>
      <c r="G109" s="372"/>
      <c r="H109" s="373"/>
      <c r="I109" s="276"/>
      <c r="J109" s="276"/>
      <c r="K109" s="167">
        <v>1</v>
      </c>
      <c r="L109" s="168" t="s">
        <v>63</v>
      </c>
      <c r="M109" s="169">
        <f t="shared" si="5"/>
        <v>0</v>
      </c>
      <c r="N109" s="171"/>
      <c r="O109" s="277"/>
      <c r="P109" s="169" t="s">
        <v>63</v>
      </c>
      <c r="Q109" s="378"/>
      <c r="R109" s="168"/>
      <c r="S109" s="169" t="s">
        <v>63</v>
      </c>
      <c r="T109" s="278">
        <f t="shared" si="2"/>
        <v>0</v>
      </c>
      <c r="U109" s="281"/>
      <c r="V109" s="282"/>
      <c r="W109" s="278"/>
      <c r="X109" s="278"/>
      <c r="Y109" s="597"/>
      <c r="Z109" s="597"/>
      <c r="AA109" s="597"/>
      <c r="AB109" s="405"/>
    </row>
    <row r="110" spans="1:28" s="55" customFormat="1" ht="54.95" customHeight="1" x14ac:dyDescent="0.15">
      <c r="A110" s="386" t="s">
        <v>70</v>
      </c>
      <c r="B110" s="87">
        <f>C11</f>
        <v>730</v>
      </c>
      <c r="C110" s="389" t="s">
        <v>71</v>
      </c>
      <c r="D110" s="390"/>
      <c r="E110" s="391"/>
      <c r="F110" s="368"/>
      <c r="G110" s="369"/>
      <c r="H110" s="370"/>
      <c r="I110" s="152"/>
      <c r="J110" s="90"/>
      <c r="K110" s="156">
        <v>1</v>
      </c>
      <c r="L110" s="77" t="s">
        <v>63</v>
      </c>
      <c r="M110" s="88">
        <f t="shared" si="5"/>
        <v>730</v>
      </c>
      <c r="N110" s="89"/>
      <c r="O110" s="153"/>
      <c r="P110" s="88" t="s">
        <v>63</v>
      </c>
      <c r="Q110" s="398">
        <v>46101</v>
      </c>
      <c r="R110" s="93">
        <v>730</v>
      </c>
      <c r="S110" s="88" t="s">
        <v>63</v>
      </c>
      <c r="T110" s="154">
        <f t="shared" si="2"/>
        <v>0</v>
      </c>
      <c r="U110" s="91"/>
      <c r="V110" s="159"/>
      <c r="W110" s="159"/>
      <c r="X110" s="159"/>
      <c r="Y110" s="401" t="s">
        <v>258</v>
      </c>
      <c r="Z110" s="416"/>
      <c r="AA110" s="416"/>
      <c r="AB110" s="419" t="s">
        <v>316</v>
      </c>
    </row>
    <row r="111" spans="1:28" s="55" customFormat="1" ht="54.95" customHeight="1" x14ac:dyDescent="0.15">
      <c r="A111" s="387"/>
      <c r="B111" s="87">
        <f>D11</f>
        <v>616</v>
      </c>
      <c r="C111" s="392"/>
      <c r="D111" s="393"/>
      <c r="E111" s="394"/>
      <c r="F111" s="368"/>
      <c r="G111" s="369"/>
      <c r="H111" s="370"/>
      <c r="I111" s="152"/>
      <c r="J111" s="90"/>
      <c r="K111" s="156">
        <v>1</v>
      </c>
      <c r="L111" s="77" t="s">
        <v>63</v>
      </c>
      <c r="M111" s="88">
        <f t="shared" si="5"/>
        <v>616</v>
      </c>
      <c r="N111" s="89"/>
      <c r="O111" s="153"/>
      <c r="P111" s="88" t="s">
        <v>63</v>
      </c>
      <c r="Q111" s="399"/>
      <c r="R111" s="93">
        <v>616</v>
      </c>
      <c r="S111" s="88" t="s">
        <v>63</v>
      </c>
      <c r="T111" s="154">
        <f t="shared" si="2"/>
        <v>0</v>
      </c>
      <c r="U111" s="91"/>
      <c r="V111" s="159"/>
      <c r="W111" s="159"/>
      <c r="X111" s="159"/>
      <c r="Y111" s="402"/>
      <c r="Z111" s="417"/>
      <c r="AA111" s="417"/>
      <c r="AB111" s="420"/>
    </row>
    <row r="112" spans="1:28" s="55" customFormat="1" ht="54.95" customHeight="1" x14ac:dyDescent="0.15">
      <c r="A112" s="387"/>
      <c r="B112" s="87">
        <f>E11</f>
        <v>0</v>
      </c>
      <c r="C112" s="392"/>
      <c r="D112" s="393"/>
      <c r="E112" s="394"/>
      <c r="F112" s="368"/>
      <c r="G112" s="369"/>
      <c r="H112" s="370"/>
      <c r="I112" s="152"/>
      <c r="J112" s="90"/>
      <c r="K112" s="156">
        <v>1</v>
      </c>
      <c r="L112" s="77" t="s">
        <v>63</v>
      </c>
      <c r="M112" s="88">
        <f t="shared" si="5"/>
        <v>0</v>
      </c>
      <c r="N112" s="89"/>
      <c r="O112" s="153"/>
      <c r="P112" s="88" t="s">
        <v>63</v>
      </c>
      <c r="Q112" s="399"/>
      <c r="R112" s="93"/>
      <c r="S112" s="88" t="s">
        <v>63</v>
      </c>
      <c r="T112" s="154">
        <f t="shared" si="2"/>
        <v>0</v>
      </c>
      <c r="U112" s="91"/>
      <c r="V112" s="159"/>
      <c r="W112" s="159"/>
      <c r="X112" s="159"/>
      <c r="Y112" s="402"/>
      <c r="Z112" s="417"/>
      <c r="AA112" s="417"/>
      <c r="AB112" s="420"/>
    </row>
    <row r="113" spans="1:29" s="55" customFormat="1" ht="54.95" customHeight="1" x14ac:dyDescent="0.15">
      <c r="A113" s="388"/>
      <c r="B113" s="87">
        <f>F11</f>
        <v>0</v>
      </c>
      <c r="C113" s="395"/>
      <c r="D113" s="396"/>
      <c r="E113" s="397"/>
      <c r="F113" s="368"/>
      <c r="G113" s="369"/>
      <c r="H113" s="370"/>
      <c r="I113" s="152"/>
      <c r="J113" s="90"/>
      <c r="K113" s="156"/>
      <c r="L113" s="77" t="s">
        <v>63</v>
      </c>
      <c r="M113" s="88">
        <f t="shared" si="5"/>
        <v>0</v>
      </c>
      <c r="N113" s="89"/>
      <c r="O113" s="153"/>
      <c r="P113" s="88" t="s">
        <v>63</v>
      </c>
      <c r="Q113" s="400"/>
      <c r="R113" s="162"/>
      <c r="S113" s="88" t="s">
        <v>63</v>
      </c>
      <c r="T113" s="154">
        <f t="shared" si="2"/>
        <v>0</v>
      </c>
      <c r="U113" s="91"/>
      <c r="V113" s="159"/>
      <c r="W113" s="159"/>
      <c r="X113" s="159"/>
      <c r="Y113" s="403"/>
      <c r="Z113" s="418"/>
      <c r="AA113" s="418"/>
      <c r="AB113" s="421"/>
    </row>
    <row r="114" spans="1:29" s="176" customFormat="1" ht="54.95" customHeight="1" x14ac:dyDescent="0.15">
      <c r="A114" s="92" t="s">
        <v>73</v>
      </c>
      <c r="B114" s="164">
        <f>I11</f>
        <v>1346</v>
      </c>
      <c r="C114" s="371" t="s">
        <v>71</v>
      </c>
      <c r="D114" s="372"/>
      <c r="E114" s="373"/>
      <c r="F114" s="371"/>
      <c r="G114" s="372"/>
      <c r="H114" s="373"/>
      <c r="I114" s="165"/>
      <c r="J114" s="166"/>
      <c r="K114" s="167">
        <v>1</v>
      </c>
      <c r="L114" s="168" t="s">
        <v>63</v>
      </c>
      <c r="M114" s="88">
        <f t="shared" si="5"/>
        <v>1346</v>
      </c>
      <c r="N114" s="170"/>
      <c r="O114" s="170"/>
      <c r="P114" s="169" t="s">
        <v>63</v>
      </c>
      <c r="Q114" s="363">
        <v>46064</v>
      </c>
      <c r="R114" s="165">
        <v>1346</v>
      </c>
      <c r="S114" s="169" t="s">
        <v>63</v>
      </c>
      <c r="T114" s="154">
        <f t="shared" si="2"/>
        <v>0</v>
      </c>
      <c r="U114" s="170"/>
      <c r="V114" s="172"/>
      <c r="W114" s="172"/>
      <c r="X114" s="172"/>
      <c r="Y114" s="173" t="s">
        <v>72</v>
      </c>
      <c r="Z114" s="174"/>
      <c r="AA114" s="175"/>
      <c r="AB114" s="586" t="s">
        <v>275</v>
      </c>
    </row>
    <row r="115" spans="1:29" s="55" customFormat="1" ht="54.95" customHeight="1" x14ac:dyDescent="0.15">
      <c r="A115" s="92" t="s">
        <v>81</v>
      </c>
      <c r="B115" s="87">
        <f>I11</f>
        <v>1346</v>
      </c>
      <c r="C115" s="368" t="s">
        <v>71</v>
      </c>
      <c r="D115" s="369"/>
      <c r="E115" s="370"/>
      <c r="F115" s="368"/>
      <c r="G115" s="369"/>
      <c r="H115" s="370"/>
      <c r="I115" s="93"/>
      <c r="J115" s="90"/>
      <c r="K115" s="156">
        <v>1</v>
      </c>
      <c r="L115" s="77" t="s">
        <v>63</v>
      </c>
      <c r="M115" s="88">
        <f>K115*B115</f>
        <v>1346</v>
      </c>
      <c r="N115" s="91"/>
      <c r="O115" s="91"/>
      <c r="P115" s="88" t="s">
        <v>63</v>
      </c>
      <c r="Q115" s="364"/>
      <c r="R115" s="93">
        <v>1346</v>
      </c>
      <c r="S115" s="88" t="s">
        <v>63</v>
      </c>
      <c r="T115" s="154">
        <f t="shared" si="2"/>
        <v>0</v>
      </c>
      <c r="U115" s="91"/>
      <c r="V115" s="91"/>
      <c r="W115" s="91"/>
      <c r="X115" s="91"/>
      <c r="Y115" s="160" t="s">
        <v>72</v>
      </c>
      <c r="Z115" s="94"/>
      <c r="AA115" s="95"/>
      <c r="AB115" s="587"/>
    </row>
    <row r="116" spans="1:29" s="55" customFormat="1" ht="54.95" customHeight="1" x14ac:dyDescent="0.15">
      <c r="A116" s="96" t="s">
        <v>74</v>
      </c>
      <c r="B116" s="87">
        <f>I11</f>
        <v>1346</v>
      </c>
      <c r="C116" s="368" t="s">
        <v>71</v>
      </c>
      <c r="D116" s="369"/>
      <c r="E116" s="370"/>
      <c r="F116" s="368"/>
      <c r="G116" s="369"/>
      <c r="H116" s="370"/>
      <c r="I116" s="93" t="s">
        <v>282</v>
      </c>
      <c r="J116" s="93"/>
      <c r="K116" s="156">
        <v>1</v>
      </c>
      <c r="L116" s="77" t="s">
        <v>63</v>
      </c>
      <c r="M116" s="88">
        <f t="shared" si="5"/>
        <v>1346</v>
      </c>
      <c r="N116" s="91"/>
      <c r="O116" s="91"/>
      <c r="P116" s="89" t="s">
        <v>63</v>
      </c>
      <c r="Q116" s="365"/>
      <c r="R116" s="93">
        <v>1346</v>
      </c>
      <c r="S116" s="89" t="s">
        <v>63</v>
      </c>
      <c r="T116" s="154">
        <f t="shared" si="2"/>
        <v>0</v>
      </c>
      <c r="U116" s="91"/>
      <c r="V116" s="91"/>
      <c r="W116" s="91"/>
      <c r="X116" s="91"/>
      <c r="Y116" s="160" t="s">
        <v>72</v>
      </c>
      <c r="Z116" s="97"/>
      <c r="AA116" s="98"/>
      <c r="AB116" s="588"/>
    </row>
    <row r="117" spans="1:29" ht="13.5" customHeight="1" x14ac:dyDescent="0.15">
      <c r="A117" s="177"/>
      <c r="B117" s="366"/>
      <c r="C117" s="366"/>
      <c r="D117" s="177"/>
      <c r="E117" s="177"/>
      <c r="F117" s="100"/>
      <c r="G117" s="100"/>
      <c r="H117" s="100"/>
      <c r="I117" s="177"/>
      <c r="J117" s="177"/>
      <c r="K117" s="101"/>
      <c r="L117" s="102"/>
      <c r="M117" s="103"/>
      <c r="N117" s="104"/>
      <c r="O117" s="104"/>
      <c r="P117" s="177"/>
      <c r="Q117" s="105"/>
      <c r="R117" s="105"/>
      <c r="S117" s="106"/>
      <c r="T117" s="107"/>
      <c r="U117" s="108"/>
      <c r="V117" s="108"/>
      <c r="W117" s="109"/>
      <c r="X117" s="107"/>
      <c r="Y117" s="110"/>
      <c r="Z117" s="111"/>
      <c r="AA117" s="111"/>
    </row>
    <row r="118" spans="1:29" ht="13.5" customHeight="1" x14ac:dyDescent="0.15">
      <c r="A118" s="177"/>
      <c r="B118" s="366"/>
      <c r="C118" s="366"/>
      <c r="D118" s="177"/>
      <c r="E118" s="177"/>
      <c r="F118" s="367"/>
      <c r="G118" s="367"/>
      <c r="H118" s="367"/>
      <c r="I118" s="177"/>
      <c r="J118" s="177"/>
      <c r="K118" s="101"/>
      <c r="L118" s="102"/>
      <c r="M118" s="103"/>
      <c r="N118" s="104"/>
      <c r="O118" s="104"/>
      <c r="P118" s="177"/>
      <c r="Q118" s="105"/>
      <c r="R118" s="105"/>
      <c r="S118" s="106"/>
      <c r="T118" s="107"/>
      <c r="U118" s="108"/>
      <c r="V118" s="108"/>
      <c r="W118" s="109"/>
      <c r="X118" s="107"/>
      <c r="Y118" s="112"/>
      <c r="Z118" s="111"/>
      <c r="AA118" s="111"/>
    </row>
    <row r="119" spans="1:29" ht="13.5" customHeight="1" x14ac:dyDescent="0.15">
      <c r="J119" s="177"/>
    </row>
    <row r="120" spans="1:29" ht="13.5" customHeight="1" x14ac:dyDescent="0.15">
      <c r="J120" s="177"/>
    </row>
    <row r="127" spans="1:29" s="114" customFormat="1" x14ac:dyDescent="0.15">
      <c r="A127" s="1"/>
      <c r="B127" s="113"/>
      <c r="C127" s="1"/>
      <c r="D127" s="1"/>
      <c r="E127" s="1"/>
      <c r="F127" s="1"/>
      <c r="G127" s="1"/>
      <c r="H127" s="1"/>
      <c r="I127" s="1"/>
      <c r="J127" s="1"/>
      <c r="L127" s="115"/>
      <c r="M127" s="116"/>
      <c r="N127" s="117"/>
      <c r="O127" s="117"/>
      <c r="P127" s="1"/>
      <c r="Q127" s="118"/>
      <c r="R127" s="118"/>
      <c r="S127" s="115"/>
      <c r="T127" s="119"/>
      <c r="U127" s="1"/>
      <c r="V127" s="1"/>
      <c r="W127" s="120"/>
      <c r="X127" s="121"/>
      <c r="Y127" s="1"/>
      <c r="Z127" s="1"/>
      <c r="AA127" s="1"/>
      <c r="AB127" s="1"/>
      <c r="AC127" s="1"/>
    </row>
    <row r="128" spans="1:29" s="114" customFormat="1" x14ac:dyDescent="0.15">
      <c r="A128" s="1"/>
      <c r="B128" s="113"/>
      <c r="C128" s="1"/>
      <c r="D128" s="1"/>
      <c r="E128" s="1"/>
      <c r="F128" s="1"/>
      <c r="G128" s="1"/>
      <c r="H128" s="1"/>
      <c r="I128" s="1"/>
      <c r="J128" s="1"/>
      <c r="L128" s="115"/>
      <c r="M128" s="116"/>
      <c r="N128" s="117"/>
      <c r="O128" s="117"/>
      <c r="P128" s="1"/>
      <c r="Q128" s="118"/>
      <c r="R128" s="118"/>
      <c r="S128" s="115"/>
      <c r="T128" s="119"/>
      <c r="U128" s="1"/>
      <c r="V128" s="1"/>
      <c r="W128" s="120"/>
      <c r="X128" s="121"/>
      <c r="Y128" s="1"/>
      <c r="Z128" s="1"/>
      <c r="AA128" s="1"/>
      <c r="AB128" s="1"/>
      <c r="AC128" s="1"/>
    </row>
  </sheetData>
  <mergeCells count="426">
    <mergeCell ref="C86:E86"/>
    <mergeCell ref="F86:H86"/>
    <mergeCell ref="C73:E73"/>
    <mergeCell ref="F73:H73"/>
    <mergeCell ref="C74:E74"/>
    <mergeCell ref="F74:H74"/>
    <mergeCell ref="Y69:Y71"/>
    <mergeCell ref="AB69:AB71"/>
    <mergeCell ref="C71:E71"/>
    <mergeCell ref="F71:H71"/>
    <mergeCell ref="C70:E70"/>
    <mergeCell ref="F70:H70"/>
    <mergeCell ref="I69:I71"/>
    <mergeCell ref="Y83:Y84"/>
    <mergeCell ref="AB83:AB84"/>
    <mergeCell ref="C84:E84"/>
    <mergeCell ref="F84:H84"/>
    <mergeCell ref="C85:E85"/>
    <mergeCell ref="F85:H85"/>
    <mergeCell ref="C82:E82"/>
    <mergeCell ref="F82:H82"/>
    <mergeCell ref="A60:A61"/>
    <mergeCell ref="C60:E60"/>
    <mergeCell ref="F60:H60"/>
    <mergeCell ref="Q60:Q61"/>
    <mergeCell ref="Y60:Y61"/>
    <mergeCell ref="Y23:Y25"/>
    <mergeCell ref="AB23:AB25"/>
    <mergeCell ref="C24:E24"/>
    <mergeCell ref="F24:H24"/>
    <mergeCell ref="C25:E25"/>
    <mergeCell ref="F25:H25"/>
    <mergeCell ref="C41:E41"/>
    <mergeCell ref="F41:H41"/>
    <mergeCell ref="F51:H51"/>
    <mergeCell ref="AB60:AB61"/>
    <mergeCell ref="C61:E61"/>
    <mergeCell ref="F61:H61"/>
    <mergeCell ref="A58:A59"/>
    <mergeCell ref="C58:E58"/>
    <mergeCell ref="F58:H58"/>
    <mergeCell ref="I58:I59"/>
    <mergeCell ref="Q58:Q59"/>
    <mergeCell ref="Y58:Y59"/>
    <mergeCell ref="AB58:AB59"/>
    <mergeCell ref="AB66:AB68"/>
    <mergeCell ref="C68:E68"/>
    <mergeCell ref="F68:H68"/>
    <mergeCell ref="C67:E67"/>
    <mergeCell ref="F67:H67"/>
    <mergeCell ref="I66:I68"/>
    <mergeCell ref="AB62:AB63"/>
    <mergeCell ref="C63:E63"/>
    <mergeCell ref="F63:H63"/>
    <mergeCell ref="A69:A71"/>
    <mergeCell ref="C69:E69"/>
    <mergeCell ref="F69:H69"/>
    <mergeCell ref="Q69:Q71"/>
    <mergeCell ref="A66:A68"/>
    <mergeCell ref="C66:E66"/>
    <mergeCell ref="F66:H66"/>
    <mergeCell ref="Q66:Q68"/>
    <mergeCell ref="Y66:Y68"/>
    <mergeCell ref="A72:A74"/>
    <mergeCell ref="C72:E72"/>
    <mergeCell ref="F72:H72"/>
    <mergeCell ref="Q72:Q74"/>
    <mergeCell ref="Y72:Y74"/>
    <mergeCell ref="AB72:AB74"/>
    <mergeCell ref="C54:E54"/>
    <mergeCell ref="F54:H54"/>
    <mergeCell ref="AB20:AB22"/>
    <mergeCell ref="C28:E28"/>
    <mergeCell ref="F28:H28"/>
    <mergeCell ref="Y20:Y22"/>
    <mergeCell ref="A64:A65"/>
    <mergeCell ref="C64:E64"/>
    <mergeCell ref="F64:H64"/>
    <mergeCell ref="Y64:Y65"/>
    <mergeCell ref="AB64:AB65"/>
    <mergeCell ref="C65:E65"/>
    <mergeCell ref="F65:H65"/>
    <mergeCell ref="A62:A63"/>
    <mergeCell ref="C62:E62"/>
    <mergeCell ref="F62:H62"/>
    <mergeCell ref="Q62:Q63"/>
    <mergeCell ref="Y62:Y63"/>
    <mergeCell ref="AC48:AF48"/>
    <mergeCell ref="AC55:AF55"/>
    <mergeCell ref="AB56:AB57"/>
    <mergeCell ref="C57:E57"/>
    <mergeCell ref="F57:H57"/>
    <mergeCell ref="C49:E49"/>
    <mergeCell ref="F49:H49"/>
    <mergeCell ref="AC49:AF49"/>
    <mergeCell ref="AC46:AF46"/>
    <mergeCell ref="AB47:AB55"/>
    <mergeCell ref="AB45:AB46"/>
    <mergeCell ref="AC51:AF51"/>
    <mergeCell ref="C52:E52"/>
    <mergeCell ref="F52:H52"/>
    <mergeCell ref="AC52:AF52"/>
    <mergeCell ref="C50:E50"/>
    <mergeCell ref="F50:H50"/>
    <mergeCell ref="I50:I52"/>
    <mergeCell ref="Y50:Y52"/>
    <mergeCell ref="C51:E51"/>
    <mergeCell ref="AC57:AF57"/>
    <mergeCell ref="C46:E46"/>
    <mergeCell ref="F46:H46"/>
    <mergeCell ref="AC54:AF54"/>
    <mergeCell ref="AC38:AF38"/>
    <mergeCell ref="C35:E35"/>
    <mergeCell ref="F35:H35"/>
    <mergeCell ref="AC35:AF35"/>
    <mergeCell ref="Y29:Y30"/>
    <mergeCell ref="AB29:AB30"/>
    <mergeCell ref="C30:E30"/>
    <mergeCell ref="F30:H30"/>
    <mergeCell ref="Q26:Q28"/>
    <mergeCell ref="Y26:Y28"/>
    <mergeCell ref="AB26:AB28"/>
    <mergeCell ref="U26:U28"/>
    <mergeCell ref="A110:A113"/>
    <mergeCell ref="C107:E109"/>
    <mergeCell ref="F107:H107"/>
    <mergeCell ref="Y107:Y109"/>
    <mergeCell ref="Z107:Z109"/>
    <mergeCell ref="AA107:AA109"/>
    <mergeCell ref="F108:H108"/>
    <mergeCell ref="F109:H109"/>
    <mergeCell ref="A101:A109"/>
    <mergeCell ref="Z101:Z103"/>
    <mergeCell ref="AA101:AA103"/>
    <mergeCell ref="AB101:AB109"/>
    <mergeCell ref="F102:H102"/>
    <mergeCell ref="F103:H103"/>
    <mergeCell ref="C104:E106"/>
    <mergeCell ref="F104:H104"/>
    <mergeCell ref="C32:E32"/>
    <mergeCell ref="F32:H32"/>
    <mergeCell ref="C37:E37"/>
    <mergeCell ref="F37:H37"/>
    <mergeCell ref="C43:E43"/>
    <mergeCell ref="F43:H43"/>
    <mergeCell ref="Y104:Y106"/>
    <mergeCell ref="AA104:AA106"/>
    <mergeCell ref="F105:H105"/>
    <mergeCell ref="F106:H106"/>
    <mergeCell ref="Z98:Z100"/>
    <mergeCell ref="AA98:AA100"/>
    <mergeCell ref="F99:H99"/>
    <mergeCell ref="F100:H100"/>
    <mergeCell ref="C101:E103"/>
    <mergeCell ref="F101:H101"/>
    <mergeCell ref="Q101:Q109"/>
    <mergeCell ref="Y101:Y103"/>
    <mergeCell ref="AA87:AA91"/>
    <mergeCell ref="B117:C117"/>
    <mergeCell ref="B118:C118"/>
    <mergeCell ref="F118:H118"/>
    <mergeCell ref="AA110:AA113"/>
    <mergeCell ref="AB110:AB113"/>
    <mergeCell ref="F111:H111"/>
    <mergeCell ref="F112:H112"/>
    <mergeCell ref="F113:H113"/>
    <mergeCell ref="C114:E114"/>
    <mergeCell ref="F114:H114"/>
    <mergeCell ref="Q114:Q116"/>
    <mergeCell ref="AB114:AB116"/>
    <mergeCell ref="C115:E115"/>
    <mergeCell ref="C110:E113"/>
    <mergeCell ref="F110:H110"/>
    <mergeCell ref="Q110:Q113"/>
    <mergeCell ref="Y110:Y113"/>
    <mergeCell ref="Z110:Z113"/>
    <mergeCell ref="F115:H115"/>
    <mergeCell ref="C116:E116"/>
    <mergeCell ref="F116:H116"/>
    <mergeCell ref="A92:A100"/>
    <mergeCell ref="AA92:AA94"/>
    <mergeCell ref="AB92:AB100"/>
    <mergeCell ref="F93:H93"/>
    <mergeCell ref="F94:H94"/>
    <mergeCell ref="C95:E97"/>
    <mergeCell ref="F95:H95"/>
    <mergeCell ref="Y95:Y97"/>
    <mergeCell ref="Z95:Z97"/>
    <mergeCell ref="AA95:AA97"/>
    <mergeCell ref="F96:H96"/>
    <mergeCell ref="C92:E94"/>
    <mergeCell ref="F92:H92"/>
    <mergeCell ref="Y92:Y94"/>
    <mergeCell ref="Z92:Z94"/>
    <mergeCell ref="F97:H97"/>
    <mergeCell ref="C98:E100"/>
    <mergeCell ref="F98:H98"/>
    <mergeCell ref="Y98:Y100"/>
    <mergeCell ref="Q92:Q95"/>
    <mergeCell ref="Q96:Q100"/>
    <mergeCell ref="AB87:AB91"/>
    <mergeCell ref="F88:H88"/>
    <mergeCell ref="F89:H89"/>
    <mergeCell ref="F90:H90"/>
    <mergeCell ref="F91:H91"/>
    <mergeCell ref="A87:A91"/>
    <mergeCell ref="C87:E91"/>
    <mergeCell ref="F87:H87"/>
    <mergeCell ref="Q87:Q91"/>
    <mergeCell ref="Y87:Y91"/>
    <mergeCell ref="Z87:Z91"/>
    <mergeCell ref="A83:A84"/>
    <mergeCell ref="C83:E83"/>
    <mergeCell ref="F83:H83"/>
    <mergeCell ref="Q83:Q84"/>
    <mergeCell ref="AB79:AB80"/>
    <mergeCell ref="C80:E80"/>
    <mergeCell ref="F80:H80"/>
    <mergeCell ref="A81:A82"/>
    <mergeCell ref="C81:E81"/>
    <mergeCell ref="F81:H81"/>
    <mergeCell ref="I81:I82"/>
    <mergeCell ref="Q81:Q82"/>
    <mergeCell ref="Y81:Y82"/>
    <mergeCell ref="AB81:AB82"/>
    <mergeCell ref="A79:A80"/>
    <mergeCell ref="C79:E79"/>
    <mergeCell ref="F79:H79"/>
    <mergeCell ref="I79:I80"/>
    <mergeCell ref="Q79:Q80"/>
    <mergeCell ref="Y79:Y80"/>
    <mergeCell ref="A77:A78"/>
    <mergeCell ref="C77:E77"/>
    <mergeCell ref="F77:H77"/>
    <mergeCell ref="Q77:Q78"/>
    <mergeCell ref="Y77:Y78"/>
    <mergeCell ref="AB77:AB78"/>
    <mergeCell ref="C78:E78"/>
    <mergeCell ref="F78:H78"/>
    <mergeCell ref="A75:A76"/>
    <mergeCell ref="C75:E75"/>
    <mergeCell ref="F75:H75"/>
    <mergeCell ref="Q75:Q76"/>
    <mergeCell ref="Y75:Y76"/>
    <mergeCell ref="AB75:AB76"/>
    <mergeCell ref="C76:E76"/>
    <mergeCell ref="F76:H76"/>
    <mergeCell ref="C59:E59"/>
    <mergeCell ref="F59:H59"/>
    <mergeCell ref="A56:A57"/>
    <mergeCell ref="C56:E56"/>
    <mergeCell ref="F56:H56"/>
    <mergeCell ref="I56:I57"/>
    <mergeCell ref="Q56:Q57"/>
    <mergeCell ref="Y56:Y57"/>
    <mergeCell ref="A53:A55"/>
    <mergeCell ref="C53:E53"/>
    <mergeCell ref="F53:H53"/>
    <mergeCell ref="I53:I55"/>
    <mergeCell ref="Y53:Y55"/>
    <mergeCell ref="C55:E55"/>
    <mergeCell ref="F55:H55"/>
    <mergeCell ref="A47:A49"/>
    <mergeCell ref="C47:E47"/>
    <mergeCell ref="F47:H47"/>
    <mergeCell ref="I47:I49"/>
    <mergeCell ref="Q47:Q55"/>
    <mergeCell ref="Y47:Y49"/>
    <mergeCell ref="A45:A46"/>
    <mergeCell ref="C45:E45"/>
    <mergeCell ref="F45:H45"/>
    <mergeCell ref="I45:I46"/>
    <mergeCell ref="Q45:Q46"/>
    <mergeCell ref="Y45:Y46"/>
    <mergeCell ref="C48:E48"/>
    <mergeCell ref="F48:H48"/>
    <mergeCell ref="A50:A52"/>
    <mergeCell ref="AC41:AF41"/>
    <mergeCell ref="A42:A44"/>
    <mergeCell ref="C42:E42"/>
    <mergeCell ref="F42:H42"/>
    <mergeCell ref="I42:I44"/>
    <mergeCell ref="Q42:Q44"/>
    <mergeCell ref="Y42:Y44"/>
    <mergeCell ref="A39:A41"/>
    <mergeCell ref="C39:E39"/>
    <mergeCell ref="F39:H39"/>
    <mergeCell ref="I39:I41"/>
    <mergeCell ref="Q39:Q41"/>
    <mergeCell ref="Y39:Y41"/>
    <mergeCell ref="AC43:AF43"/>
    <mergeCell ref="C44:E44"/>
    <mergeCell ref="F44:H44"/>
    <mergeCell ref="AC44:AF44"/>
    <mergeCell ref="AB36:AB44"/>
    <mergeCell ref="AC37:AF37"/>
    <mergeCell ref="C40:E40"/>
    <mergeCell ref="F40:H40"/>
    <mergeCell ref="AC40:AF40"/>
    <mergeCell ref="C38:E38"/>
    <mergeCell ref="F38:H38"/>
    <mergeCell ref="N13:P13"/>
    <mergeCell ref="A36:A38"/>
    <mergeCell ref="C36:E36"/>
    <mergeCell ref="F36:H36"/>
    <mergeCell ref="I36:I38"/>
    <mergeCell ref="Q36:Q38"/>
    <mergeCell ref="Y36:Y38"/>
    <mergeCell ref="AB31:AB33"/>
    <mergeCell ref="C33:E33"/>
    <mergeCell ref="F33:H33"/>
    <mergeCell ref="A34:A35"/>
    <mergeCell ref="C34:E34"/>
    <mergeCell ref="F34:H34"/>
    <mergeCell ref="I34:I35"/>
    <mergeCell ref="Q34:Q35"/>
    <mergeCell ref="Y34:Y35"/>
    <mergeCell ref="AB34:AB35"/>
    <mergeCell ref="A31:A33"/>
    <mergeCell ref="C31:E31"/>
    <mergeCell ref="F31:H31"/>
    <mergeCell ref="I31:I33"/>
    <mergeCell ref="Q31:Q33"/>
    <mergeCell ref="Y31:Y33"/>
    <mergeCell ref="C27:E27"/>
    <mergeCell ref="A29:A30"/>
    <mergeCell ref="C29:E29"/>
    <mergeCell ref="F29:H29"/>
    <mergeCell ref="I29:I30"/>
    <mergeCell ref="Q29:Q30"/>
    <mergeCell ref="C19:E19"/>
    <mergeCell ref="F19:H19"/>
    <mergeCell ref="A26:A28"/>
    <mergeCell ref="C26:E26"/>
    <mergeCell ref="F26:H26"/>
    <mergeCell ref="I26:I28"/>
    <mergeCell ref="C21:E21"/>
    <mergeCell ref="F21:H21"/>
    <mergeCell ref="C22:E22"/>
    <mergeCell ref="F22:H22"/>
    <mergeCell ref="A20:A22"/>
    <mergeCell ref="C20:E20"/>
    <mergeCell ref="F20:H20"/>
    <mergeCell ref="Q20:Q22"/>
    <mergeCell ref="A23:A25"/>
    <mergeCell ref="C23:E23"/>
    <mergeCell ref="F23:H23"/>
    <mergeCell ref="Q23:Q25"/>
    <mergeCell ref="F27:H27"/>
    <mergeCell ref="AC15:AF15"/>
    <mergeCell ref="C17:E17"/>
    <mergeCell ref="F17:H17"/>
    <mergeCell ref="AC17:AF17"/>
    <mergeCell ref="A18:A19"/>
    <mergeCell ref="C18:E18"/>
    <mergeCell ref="F18:H18"/>
    <mergeCell ref="Q18:Q19"/>
    <mergeCell ref="Y18:Y19"/>
    <mergeCell ref="AB18:AB19"/>
    <mergeCell ref="A15:A17"/>
    <mergeCell ref="C15:E15"/>
    <mergeCell ref="F15:H15"/>
    <mergeCell ref="Q15:Q17"/>
    <mergeCell ref="Y15:Y17"/>
    <mergeCell ref="AB15:AB17"/>
    <mergeCell ref="C16:E16"/>
    <mergeCell ref="F16:H16"/>
    <mergeCell ref="AC16:AF16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U20:U22"/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0" orientation="portrait" r:id="rId1"/>
  <headerFooter alignWithMargins="0"/>
  <rowBreaks count="1" manualBreakCount="1">
    <brk id="91" max="27" man="1"/>
  </rowBreaks>
  <colBreaks count="1" manualBreakCount="1">
    <brk id="2" max="46" man="1"/>
  </colBreaks>
  <ignoredErrors>
    <ignoredError sqref="B20:C20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EE4F-6D80-440F-923D-CB26C802142D}">
  <sheetPr>
    <pageSetUpPr fitToPage="1"/>
  </sheetPr>
  <dimension ref="A1:AF118"/>
  <sheetViews>
    <sheetView view="pageBreakPreview" topLeftCell="A89" zoomScale="75" zoomScaleNormal="100" zoomScaleSheetLayoutView="75" workbookViewId="0">
      <selection activeCell="R97" sqref="R97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294</v>
      </c>
      <c r="C2" s="548"/>
      <c r="D2" s="548"/>
      <c r="E2" s="548"/>
      <c r="F2" s="548"/>
      <c r="G2" s="549"/>
      <c r="H2" s="180" t="s">
        <v>1</v>
      </c>
      <c r="I2" s="550">
        <f>I11</f>
        <v>1457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295</v>
      </c>
      <c r="B5" s="480"/>
      <c r="C5" s="182">
        <v>310</v>
      </c>
      <c r="D5" s="182">
        <v>320</v>
      </c>
      <c r="E5" s="182">
        <v>99</v>
      </c>
      <c r="F5" s="182"/>
      <c r="G5" s="182"/>
      <c r="H5" s="542" t="s">
        <v>24</v>
      </c>
      <c r="I5" s="524">
        <f t="shared" ref="I5:I11" si="0">SUM(C5:G5)</f>
        <v>729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98</v>
      </c>
      <c r="B6" s="523"/>
      <c r="C6" s="182">
        <v>300</v>
      </c>
      <c r="D6" s="182">
        <v>320</v>
      </c>
      <c r="E6" s="182">
        <v>108</v>
      </c>
      <c r="F6" s="182"/>
      <c r="G6" s="182"/>
      <c r="H6" s="537"/>
      <c r="I6" s="524">
        <f t="shared" si="0"/>
        <v>728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46091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610</v>
      </c>
      <c r="D11" s="181">
        <f>SUM(D5:D10)</f>
        <v>640</v>
      </c>
      <c r="E11" s="181">
        <f>SUM(E5:E10)</f>
        <v>207</v>
      </c>
      <c r="F11" s="181">
        <f>SUM(F5:F10)</f>
        <v>0</v>
      </c>
      <c r="G11" s="181">
        <f>SUM(G5:G10)</f>
        <v>0</v>
      </c>
      <c r="H11" s="182"/>
      <c r="I11" s="481">
        <f t="shared" si="0"/>
        <v>1457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46190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622.20000000000005</v>
      </c>
      <c r="D12" s="43">
        <f>D11*1.02</f>
        <v>652.79999999999995</v>
      </c>
      <c r="E12" s="43">
        <f>E11*1.02</f>
        <v>211.14000000000001</v>
      </c>
      <c r="F12" s="43">
        <f>F11*1.02</f>
        <v>0</v>
      </c>
      <c r="G12" s="43">
        <f>G11*1.02</f>
        <v>0</v>
      </c>
      <c r="H12" s="44"/>
      <c r="I12" s="486">
        <f>I11*1.02</f>
        <v>1486.14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729</v>
      </c>
      <c r="C15" s="474" t="str">
        <f t="shared" ref="C15:C29" si="2">$A$5</f>
        <v>DE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1.64</v>
      </c>
      <c r="L15" s="67" t="s">
        <v>7</v>
      </c>
      <c r="M15" s="68">
        <f>K15*B15</f>
        <v>1195.56</v>
      </c>
      <c r="N15" s="69"/>
      <c r="O15" s="70"/>
      <c r="P15" s="67" t="s">
        <v>7</v>
      </c>
      <c r="Q15" s="478">
        <v>46095</v>
      </c>
      <c r="R15" s="293">
        <v>1197</v>
      </c>
      <c r="S15" s="71" t="s">
        <v>7</v>
      </c>
      <c r="T15" s="123">
        <f t="shared" ref="T15:T106" si="3">R15-M15</f>
        <v>1.4400000000000546</v>
      </c>
      <c r="U15" s="72"/>
      <c r="V15" s="72"/>
      <c r="W15" s="73"/>
      <c r="X15" s="74"/>
      <c r="Y15" s="479" t="s">
        <v>138</v>
      </c>
      <c r="Z15" s="63"/>
      <c r="AA15" s="64"/>
      <c r="AB15" s="360" t="s">
        <v>296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728</v>
      </c>
      <c r="C16" s="368" t="str">
        <f>$A$6</f>
        <v>BK</v>
      </c>
      <c r="D16" s="369"/>
      <c r="E16" s="370"/>
      <c r="F16" s="368"/>
      <c r="G16" s="369"/>
      <c r="H16" s="370"/>
      <c r="I16" s="563"/>
      <c r="J16" s="76" t="s">
        <v>6</v>
      </c>
      <c r="K16" s="83">
        <v>1.64</v>
      </c>
      <c r="L16" s="77" t="s">
        <v>7</v>
      </c>
      <c r="M16" s="78">
        <f t="shared" ref="M16:M85" si="4">K16*B16</f>
        <v>1193.9199999999998</v>
      </c>
      <c r="N16" s="79"/>
      <c r="O16" s="128"/>
      <c r="P16" s="77" t="s">
        <v>7</v>
      </c>
      <c r="Q16" s="447"/>
      <c r="R16" s="137">
        <v>1195</v>
      </c>
      <c r="S16" s="75" t="s">
        <v>7</v>
      </c>
      <c r="T16" s="81">
        <f t="shared" si="3"/>
        <v>1.0800000000001546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442"/>
      <c r="J17" s="76" t="s">
        <v>6</v>
      </c>
      <c r="K17" s="83"/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729</v>
      </c>
      <c r="C18" s="461" t="str">
        <f t="shared" si="2"/>
        <v>DE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728</v>
      </c>
      <c r="C19" s="461" t="str">
        <f>$A$6</f>
        <v>BK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82">
        <f t="shared" ref="B20" si="5">$I$5</f>
        <v>729</v>
      </c>
      <c r="C20" s="461" t="str">
        <f t="shared" ref="C20" si="6">$A$5</f>
        <v>DE</v>
      </c>
      <c r="D20" s="461"/>
      <c r="E20" s="461"/>
      <c r="F20" s="461"/>
      <c r="G20" s="461"/>
      <c r="H20" s="461"/>
      <c r="I20" s="441" t="s">
        <v>58</v>
      </c>
      <c r="J20" s="76" t="s">
        <v>6</v>
      </c>
      <c r="K20" s="136">
        <v>0.1</v>
      </c>
      <c r="L20" s="77" t="s">
        <v>7</v>
      </c>
      <c r="M20" s="78">
        <f t="shared" si="4"/>
        <v>72.900000000000006</v>
      </c>
      <c r="N20" s="79"/>
      <c r="O20" s="78"/>
      <c r="P20" s="80" t="s">
        <v>7</v>
      </c>
      <c r="Q20" s="443">
        <v>46101</v>
      </c>
      <c r="R20" s="78">
        <v>73</v>
      </c>
      <c r="S20" s="80" t="s">
        <v>7</v>
      </c>
      <c r="T20" s="81">
        <f t="shared" si="3"/>
        <v>9.9999999999994316E-2</v>
      </c>
      <c r="U20" s="82"/>
      <c r="V20" s="137"/>
      <c r="W20" s="78"/>
      <c r="X20" s="78"/>
      <c r="Y20" s="445" t="s">
        <v>93</v>
      </c>
      <c r="Z20" s="138"/>
      <c r="AA20" s="135"/>
      <c r="AB20" s="586" t="s">
        <v>293</v>
      </c>
      <c r="AC20" s="229"/>
      <c r="AD20" s="230"/>
      <c r="AE20" s="230"/>
      <c r="AF20" s="230"/>
    </row>
    <row r="21" spans="1:32" s="206" customFormat="1" ht="69.95" customHeight="1" x14ac:dyDescent="0.15">
      <c r="A21" s="559"/>
      <c r="B21" s="182">
        <f>$I$6</f>
        <v>728</v>
      </c>
      <c r="C21" s="461" t="str">
        <f>$A$6</f>
        <v>BK</v>
      </c>
      <c r="D21" s="461"/>
      <c r="E21" s="461"/>
      <c r="F21" s="461"/>
      <c r="G21" s="461"/>
      <c r="H21" s="461"/>
      <c r="I21" s="563"/>
      <c r="J21" s="76" t="s">
        <v>6</v>
      </c>
      <c r="K21" s="136">
        <v>0.1</v>
      </c>
      <c r="L21" s="77" t="s">
        <v>7</v>
      </c>
      <c r="M21" s="78">
        <f t="shared" si="4"/>
        <v>72.8</v>
      </c>
      <c r="N21" s="79"/>
      <c r="O21" s="128"/>
      <c r="P21" s="77" t="s">
        <v>7</v>
      </c>
      <c r="Q21" s="447"/>
      <c r="R21" s="137">
        <v>73</v>
      </c>
      <c r="S21" s="75" t="s">
        <v>7</v>
      </c>
      <c r="T21" s="81">
        <f t="shared" si="3"/>
        <v>0.20000000000000284</v>
      </c>
      <c r="U21" s="131"/>
      <c r="V21" s="131"/>
      <c r="W21" s="132"/>
      <c r="X21" s="133"/>
      <c r="Y21" s="557"/>
      <c r="Z21" s="134"/>
      <c r="AA21" s="135"/>
      <c r="AB21" s="587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82">
        <f>$I$7</f>
        <v>0</v>
      </c>
      <c r="C22" s="461">
        <f>$A$7</f>
        <v>0</v>
      </c>
      <c r="D22" s="461"/>
      <c r="E22" s="461"/>
      <c r="F22" s="461"/>
      <c r="G22" s="461"/>
      <c r="H22" s="461"/>
      <c r="I22" s="442"/>
      <c r="J22" s="76" t="s">
        <v>6</v>
      </c>
      <c r="K22" s="136"/>
      <c r="L22" s="77" t="s">
        <v>7</v>
      </c>
      <c r="M22" s="78">
        <f t="shared" si="4"/>
        <v>0</v>
      </c>
      <c r="N22" s="79"/>
      <c r="O22" s="128"/>
      <c r="P22" s="77" t="s">
        <v>7</v>
      </c>
      <c r="Q22" s="444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134"/>
      <c r="AA22" s="135"/>
      <c r="AB22" s="588"/>
      <c r="AC22" s="229"/>
      <c r="AD22" s="230"/>
      <c r="AE22" s="230"/>
      <c r="AF22" s="230"/>
    </row>
    <row r="23" spans="1:32" s="55" customFormat="1" ht="69.95" customHeight="1" x14ac:dyDescent="0.15">
      <c r="A23" s="431" t="s">
        <v>85</v>
      </c>
      <c r="B23" s="182">
        <f t="shared" si="1"/>
        <v>729</v>
      </c>
      <c r="C23" s="461" t="str">
        <f t="shared" si="2"/>
        <v>DE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189.54000000000002</v>
      </c>
      <c r="N23" s="79"/>
      <c r="O23" s="78"/>
      <c r="P23" s="80" t="s">
        <v>7</v>
      </c>
      <c r="Q23" s="443">
        <v>46101</v>
      </c>
      <c r="R23" s="78">
        <v>190</v>
      </c>
      <c r="S23" s="80" t="s">
        <v>7</v>
      </c>
      <c r="T23" s="81">
        <f t="shared" si="3"/>
        <v>0.45999999999997954</v>
      </c>
      <c r="U23" s="82"/>
      <c r="V23" s="137"/>
      <c r="W23" s="78"/>
      <c r="X23" s="78"/>
      <c r="Y23" s="445" t="s">
        <v>93</v>
      </c>
      <c r="Z23" s="138"/>
      <c r="AA23" s="135"/>
      <c r="AB23" s="586" t="s">
        <v>293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728</v>
      </c>
      <c r="C24" s="461" t="str">
        <f>$A$6</f>
        <v>BK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189.28</v>
      </c>
      <c r="N24" s="79"/>
      <c r="O24" s="128"/>
      <c r="P24" s="77" t="s">
        <v>7</v>
      </c>
      <c r="Q24" s="447"/>
      <c r="R24" s="137">
        <v>190</v>
      </c>
      <c r="S24" s="75" t="s">
        <v>7</v>
      </c>
      <c r="T24" s="81">
        <f t="shared" si="3"/>
        <v>0.71999999999999886</v>
      </c>
      <c r="U24" s="131"/>
      <c r="V24" s="131"/>
      <c r="W24" s="132"/>
      <c r="X24" s="133"/>
      <c r="Y24" s="557"/>
      <c r="Z24" s="228"/>
      <c r="AA24" s="228"/>
      <c r="AB24" s="587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/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588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729</v>
      </c>
      <c r="C26" s="465" t="str">
        <f t="shared" si="2"/>
        <v>DE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728</v>
      </c>
      <c r="C27" s="465" t="str">
        <f>$A$6</f>
        <v>BK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0</v>
      </c>
      <c r="C28" s="465">
        <f>$A$7</f>
        <v>0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107</v>
      </c>
      <c r="B29" s="239">
        <f t="shared" si="1"/>
        <v>729</v>
      </c>
      <c r="C29" s="456" t="str">
        <f t="shared" si="2"/>
        <v>DE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0.1</v>
      </c>
      <c r="L29" s="168" t="s">
        <v>7</v>
      </c>
      <c r="M29" s="242">
        <f t="shared" si="4"/>
        <v>72.900000000000006</v>
      </c>
      <c r="N29" s="243"/>
      <c r="O29" s="242"/>
      <c r="P29" s="244" t="s">
        <v>7</v>
      </c>
      <c r="Q29" s="376">
        <v>46101</v>
      </c>
      <c r="R29" s="242">
        <v>73</v>
      </c>
      <c r="S29" s="244" t="s">
        <v>7</v>
      </c>
      <c r="T29" s="245">
        <f t="shared" si="3"/>
        <v>9.9999999999994316E-2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316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728</v>
      </c>
      <c r="C30" s="456" t="str">
        <f>$A$6</f>
        <v>BK</v>
      </c>
      <c r="D30" s="456"/>
      <c r="E30" s="456"/>
      <c r="F30" s="456"/>
      <c r="G30" s="456"/>
      <c r="H30" s="456"/>
      <c r="I30" s="564"/>
      <c r="J30" s="240" t="s">
        <v>6</v>
      </c>
      <c r="K30" s="241">
        <v>0.1</v>
      </c>
      <c r="L30" s="168" t="s">
        <v>7</v>
      </c>
      <c r="M30" s="242">
        <f t="shared" si="4"/>
        <v>72.8</v>
      </c>
      <c r="N30" s="243"/>
      <c r="O30" s="253"/>
      <c r="P30" s="168" t="s">
        <v>7</v>
      </c>
      <c r="Q30" s="377"/>
      <c r="R30" s="247">
        <v>73</v>
      </c>
      <c r="S30" s="255" t="s">
        <v>7</v>
      </c>
      <c r="T30" s="245">
        <f t="shared" si="3"/>
        <v>0.20000000000000284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/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8"/>
      <c r="R31" s="247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108</v>
      </c>
      <c r="B32" s="239">
        <f>$I$5</f>
        <v>729</v>
      </c>
      <c r="C32" s="456" t="str">
        <f>$A$5</f>
        <v>DE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0.21</v>
      </c>
      <c r="L32" s="168" t="s">
        <v>7</v>
      </c>
      <c r="M32" s="242">
        <f>K32*B32</f>
        <v>153.09</v>
      </c>
      <c r="N32" s="243"/>
      <c r="O32" s="242"/>
      <c r="P32" s="244" t="s">
        <v>7</v>
      </c>
      <c r="Q32" s="376">
        <v>46101</v>
      </c>
      <c r="R32" s="242">
        <v>153</v>
      </c>
      <c r="S32" s="244" t="s">
        <v>9</v>
      </c>
      <c r="T32" s="245">
        <f t="shared" si="3"/>
        <v>-9.0000000000003411E-2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728</v>
      </c>
      <c r="C33" s="456" t="str">
        <f>$A$6</f>
        <v>BK</v>
      </c>
      <c r="D33" s="456"/>
      <c r="E33" s="456"/>
      <c r="F33" s="456"/>
      <c r="G33" s="456"/>
      <c r="H33" s="456"/>
      <c r="I33" s="564"/>
      <c r="J33" s="240" t="s">
        <v>6</v>
      </c>
      <c r="K33" s="241">
        <v>0.21</v>
      </c>
      <c r="L33" s="168" t="s">
        <v>7</v>
      </c>
      <c r="M33" s="242">
        <f>K33*B33</f>
        <v>152.88</v>
      </c>
      <c r="N33" s="243"/>
      <c r="O33" s="253"/>
      <c r="P33" s="168" t="s">
        <v>7</v>
      </c>
      <c r="Q33" s="377"/>
      <c r="R33" s="247">
        <v>153</v>
      </c>
      <c r="S33" s="255" t="s">
        <v>9</v>
      </c>
      <c r="T33" s="245">
        <f t="shared" si="3"/>
        <v>0.12000000000000455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/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729</v>
      </c>
      <c r="C35" s="465" t="str">
        <f>$A$5</f>
        <v>DE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728</v>
      </c>
      <c r="C36" s="465" t="str">
        <f>$A$6</f>
        <v>BK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86</v>
      </c>
      <c r="B38" s="239">
        <f>$I$5</f>
        <v>729</v>
      </c>
      <c r="C38" s="456" t="str">
        <f>$A$5</f>
        <v>DE</v>
      </c>
      <c r="D38" s="456"/>
      <c r="E38" s="456"/>
      <c r="F38" s="456"/>
      <c r="G38" s="456"/>
      <c r="H38" s="456"/>
      <c r="I38" s="457" t="s">
        <v>76</v>
      </c>
      <c r="J38" s="240"/>
      <c r="K38" s="308">
        <v>3.9</v>
      </c>
      <c r="L38" s="168" t="s">
        <v>7</v>
      </c>
      <c r="M38" s="242">
        <f t="shared" ref="M38:M43" si="7">K38*B38/50</f>
        <v>56.861999999999995</v>
      </c>
      <c r="N38" s="243"/>
      <c r="O38" s="242"/>
      <c r="P38" s="244" t="s">
        <v>7</v>
      </c>
      <c r="Q38" s="376">
        <v>46101</v>
      </c>
      <c r="R38" s="78">
        <v>57</v>
      </c>
      <c r="S38" s="244" t="s">
        <v>9</v>
      </c>
      <c r="T38" s="245">
        <f t="shared" si="3"/>
        <v>0.13800000000000523</v>
      </c>
      <c r="U38" s="246"/>
      <c r="V38" s="247"/>
      <c r="W38" s="242"/>
      <c r="X38" s="242"/>
      <c r="Y38" s="459" t="s">
        <v>94</v>
      </c>
      <c r="Z38" s="260"/>
      <c r="AA38" s="249"/>
      <c r="AB38" s="586" t="s">
        <v>293</v>
      </c>
    </row>
    <row r="39" spans="1:32" s="261" customFormat="1" ht="69.95" customHeight="1" x14ac:dyDescent="0.15">
      <c r="A39" s="464"/>
      <c r="B39" s="239">
        <f>$I$6</f>
        <v>728</v>
      </c>
      <c r="C39" s="456" t="str">
        <f>$A$6</f>
        <v>BK</v>
      </c>
      <c r="D39" s="456"/>
      <c r="E39" s="456"/>
      <c r="F39" s="456"/>
      <c r="G39" s="456"/>
      <c r="H39" s="456"/>
      <c r="I39" s="564"/>
      <c r="J39" s="240"/>
      <c r="K39" s="308">
        <v>3.9</v>
      </c>
      <c r="L39" s="168" t="s">
        <v>7</v>
      </c>
      <c r="M39" s="242">
        <f t="shared" si="7"/>
        <v>56.783999999999999</v>
      </c>
      <c r="N39" s="243"/>
      <c r="O39" s="253"/>
      <c r="P39" s="168" t="s">
        <v>7</v>
      </c>
      <c r="Q39" s="377"/>
      <c r="R39" s="137">
        <v>57</v>
      </c>
      <c r="S39" s="255" t="s">
        <v>9</v>
      </c>
      <c r="T39" s="245">
        <f t="shared" si="3"/>
        <v>0.21600000000000108</v>
      </c>
      <c r="U39" s="256"/>
      <c r="V39" s="256"/>
      <c r="W39" s="257"/>
      <c r="X39" s="258"/>
      <c r="Y39" s="565"/>
      <c r="Z39" s="259"/>
      <c r="AA39" s="249"/>
      <c r="AB39" s="587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262"/>
      <c r="L40" s="168" t="s">
        <v>7</v>
      </c>
      <c r="M40" s="242">
        <f t="shared" si="7"/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588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729</v>
      </c>
      <c r="C41" s="465" t="str">
        <f>$A$5</f>
        <v>DE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728</v>
      </c>
      <c r="C42" s="465" t="str">
        <f>$A$6</f>
        <v>BK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729</v>
      </c>
      <c r="C44" s="456" t="str">
        <f>$A$5</f>
        <v>DE</v>
      </c>
      <c r="D44" s="456"/>
      <c r="E44" s="456"/>
      <c r="F44" s="456" t="str">
        <f>$A$5</f>
        <v>DE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37.908000000000001</v>
      </c>
      <c r="N44" s="243"/>
      <c r="O44" s="242"/>
      <c r="P44" s="244" t="s">
        <v>10</v>
      </c>
      <c r="Q44" s="443"/>
      <c r="R44" s="242">
        <v>38</v>
      </c>
      <c r="S44" s="244" t="s">
        <v>10</v>
      </c>
      <c r="T44" s="245">
        <f t="shared" si="3"/>
        <v>9.1999999999998749E-2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316</v>
      </c>
    </row>
    <row r="45" spans="1:32" s="176" customFormat="1" ht="69.95" customHeight="1" x14ac:dyDescent="0.15">
      <c r="A45" s="559"/>
      <c r="B45" s="264">
        <f>$I$6</f>
        <v>728</v>
      </c>
      <c r="C45" s="413" t="str">
        <f>$A$6</f>
        <v>BK</v>
      </c>
      <c r="D45" s="414"/>
      <c r="E45" s="415"/>
      <c r="F45" s="413" t="str">
        <f>$A$6</f>
        <v>BK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37.856000000000002</v>
      </c>
      <c r="N45" s="267"/>
      <c r="O45" s="268"/>
      <c r="P45" s="266" t="s">
        <v>10</v>
      </c>
      <c r="Q45" s="447"/>
      <c r="R45" s="269">
        <v>38</v>
      </c>
      <c r="S45" s="252" t="s">
        <v>10</v>
      </c>
      <c r="T45" s="270">
        <f t="shared" si="3"/>
        <v>0.14399999999999835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/>
      <c r="L46" s="266" t="s">
        <v>61</v>
      </c>
      <c r="M46" s="242">
        <f t="shared" si="8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729</v>
      </c>
      <c r="C47" s="456" t="str">
        <f>$A$5</f>
        <v>DE</v>
      </c>
      <c r="D47" s="456"/>
      <c r="E47" s="456"/>
      <c r="F47" s="456" t="str">
        <f>$A$5</f>
        <v>DE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40.094999999999999</v>
      </c>
      <c r="N47" s="243"/>
      <c r="O47" s="242"/>
      <c r="P47" s="244" t="s">
        <v>10</v>
      </c>
      <c r="Q47" s="447"/>
      <c r="R47" s="242">
        <v>41</v>
      </c>
      <c r="S47" s="244" t="s">
        <v>10</v>
      </c>
      <c r="T47" s="245">
        <f t="shared" si="3"/>
        <v>0.90500000000000114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728</v>
      </c>
      <c r="C48" s="413" t="str">
        <f>$A$6</f>
        <v>BK</v>
      </c>
      <c r="D48" s="414"/>
      <c r="E48" s="415"/>
      <c r="F48" s="413" t="str">
        <f>$A$6</f>
        <v>BK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40.04</v>
      </c>
      <c r="N48" s="267"/>
      <c r="O48" s="268"/>
      <c r="P48" s="266" t="s">
        <v>10</v>
      </c>
      <c r="Q48" s="447"/>
      <c r="R48" s="269">
        <v>41</v>
      </c>
      <c r="S48" s="252" t="s">
        <v>10</v>
      </c>
      <c r="T48" s="270">
        <f t="shared" si="3"/>
        <v>0.96000000000000085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>
        <f>$A$7</f>
        <v>0</v>
      </c>
      <c r="G49" s="414"/>
      <c r="H49" s="415"/>
      <c r="I49" s="458"/>
      <c r="J49" s="265"/>
      <c r="K49" s="263"/>
      <c r="L49" s="266" t="s">
        <v>61</v>
      </c>
      <c r="M49" s="242">
        <f t="shared" si="9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208</v>
      </c>
      <c r="B50" s="182">
        <f>$I$5</f>
        <v>729</v>
      </c>
      <c r="C50" s="461" t="str">
        <f>$A$5</f>
        <v>DE</v>
      </c>
      <c r="D50" s="461"/>
      <c r="E50" s="461"/>
      <c r="F50" s="461" t="str">
        <f>$A$5</f>
        <v>DE</v>
      </c>
      <c r="G50" s="461"/>
      <c r="H50" s="461"/>
      <c r="I50" s="441" t="s">
        <v>60</v>
      </c>
      <c r="J50" s="76"/>
      <c r="K50" s="139">
        <v>15</v>
      </c>
      <c r="L50" s="77" t="s">
        <v>61</v>
      </c>
      <c r="M50" s="78">
        <f t="shared" si="9"/>
        <v>2.7337500000000001</v>
      </c>
      <c r="N50" s="79"/>
      <c r="O50" s="78"/>
      <c r="P50" s="80" t="s">
        <v>10</v>
      </c>
      <c r="Q50" s="447"/>
      <c r="R50" s="78">
        <v>3</v>
      </c>
      <c r="S50" s="80" t="s">
        <v>10</v>
      </c>
      <c r="T50" s="81">
        <f t="shared" si="3"/>
        <v>0.26624999999999988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728</v>
      </c>
      <c r="C51" s="395" t="str">
        <f>$A$6</f>
        <v>BK</v>
      </c>
      <c r="D51" s="396"/>
      <c r="E51" s="397"/>
      <c r="F51" s="395" t="str">
        <f>$A$6</f>
        <v>BK</v>
      </c>
      <c r="G51" s="396"/>
      <c r="H51" s="397"/>
      <c r="I51" s="563"/>
      <c r="J51" s="144"/>
      <c r="K51" s="139">
        <v>15</v>
      </c>
      <c r="L51" s="145" t="s">
        <v>61</v>
      </c>
      <c r="M51" s="78">
        <f t="shared" si="9"/>
        <v>2.73</v>
      </c>
      <c r="N51" s="146"/>
      <c r="O51" s="147"/>
      <c r="P51" s="145" t="s">
        <v>10</v>
      </c>
      <c r="Q51" s="447"/>
      <c r="R51" s="161">
        <v>3</v>
      </c>
      <c r="S51" s="148" t="s">
        <v>10</v>
      </c>
      <c r="T51" s="84">
        <f t="shared" si="3"/>
        <v>0.27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 t="str">
        <f>$A$6</f>
        <v>BK</v>
      </c>
      <c r="G52" s="396"/>
      <c r="H52" s="397"/>
      <c r="I52" s="442"/>
      <c r="J52" s="144"/>
      <c r="K52" s="139"/>
      <c r="L52" s="145" t="s">
        <v>61</v>
      </c>
      <c r="M52" s="78">
        <f t="shared" si="9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139</v>
      </c>
      <c r="B53" s="191">
        <f t="shared" ref="B53" si="10">$I$5</f>
        <v>729</v>
      </c>
      <c r="C53" s="422" t="str">
        <f t="shared" ref="C53" si="11">$A$5</f>
        <v>DE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ref="M53:M73" si="12">K53*B53</f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140</v>
      </c>
      <c r="Z53" s="231"/>
      <c r="AA53" s="232"/>
      <c r="AB53" s="439"/>
    </row>
    <row r="54" spans="1:32" s="206" customFormat="1" ht="69.95" customHeight="1" x14ac:dyDescent="0.15">
      <c r="A54" s="559"/>
      <c r="B54" s="204">
        <f>$I$6</f>
        <v>728</v>
      </c>
      <c r="C54" s="453" t="str">
        <f>$A$6</f>
        <v>BK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2"/>
        <v>0</v>
      </c>
      <c r="N54" s="233"/>
      <c r="O54" s="195"/>
      <c r="P54" s="194" t="s">
        <v>65</v>
      </c>
      <c r="Q54" s="561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562"/>
      <c r="Z54" s="201"/>
      <c r="AA54" s="202"/>
      <c r="AB54" s="558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91">
        <f>$I$7</f>
        <v>0</v>
      </c>
      <c r="C55" s="465">
        <f>$A$7</f>
        <v>0</v>
      </c>
      <c r="D55" s="465"/>
      <c r="E55" s="465"/>
      <c r="F55" s="425"/>
      <c r="G55" s="423"/>
      <c r="H55" s="424"/>
      <c r="I55" s="207"/>
      <c r="J55" s="192"/>
      <c r="K55" s="193"/>
      <c r="L55" s="194" t="s">
        <v>65</v>
      </c>
      <c r="M55" s="195">
        <f t="shared" si="12"/>
        <v>0</v>
      </c>
      <c r="N55" s="233"/>
      <c r="O55" s="195"/>
      <c r="P55" s="194" t="s">
        <v>65</v>
      </c>
      <c r="Q55" s="436"/>
      <c r="R55" s="195"/>
      <c r="S55" s="194" t="s">
        <v>65</v>
      </c>
      <c r="T55" s="198">
        <f t="shared" si="3"/>
        <v>0</v>
      </c>
      <c r="U55" s="199"/>
      <c r="V55" s="200"/>
      <c r="W55" s="195"/>
      <c r="X55" s="195"/>
      <c r="Y55" s="438"/>
      <c r="Z55" s="201"/>
      <c r="AA55" s="202"/>
      <c r="AB55" s="440"/>
      <c r="AC55" s="234"/>
      <c r="AD55" s="230"/>
      <c r="AE55" s="230"/>
      <c r="AF55" s="230"/>
    </row>
    <row r="56" spans="1:32" s="55" customFormat="1" ht="69.95" customHeight="1" x14ac:dyDescent="0.15">
      <c r="A56" s="431" t="s">
        <v>100</v>
      </c>
      <c r="B56" s="182">
        <f t="shared" ref="B56:B62" si="13">$I$5</f>
        <v>729</v>
      </c>
      <c r="C56" s="368" t="str">
        <f t="shared" ref="C56:C62" si="14">$A$5</f>
        <v>DE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729</v>
      </c>
      <c r="N56" s="79"/>
      <c r="O56" s="78"/>
      <c r="P56" s="80" t="s">
        <v>63</v>
      </c>
      <c r="Q56" s="443">
        <v>46101</v>
      </c>
      <c r="R56" s="78">
        <v>729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316</v>
      </c>
    </row>
    <row r="57" spans="1:32" s="55" customFormat="1" ht="69.95" customHeight="1" x14ac:dyDescent="0.15">
      <c r="A57" s="559"/>
      <c r="B57" s="186">
        <f>$I$6</f>
        <v>728</v>
      </c>
      <c r="C57" s="395" t="str">
        <f>$A$6</f>
        <v>BK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728</v>
      </c>
      <c r="N57" s="140"/>
      <c r="O57" s="78"/>
      <c r="P57" s="80" t="s">
        <v>63</v>
      </c>
      <c r="Q57" s="447"/>
      <c r="R57" s="78">
        <v>728</v>
      </c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461">
        <f>$A$7</f>
        <v>0</v>
      </c>
      <c r="D58" s="461"/>
      <c r="E58" s="461"/>
      <c r="F58" s="428"/>
      <c r="G58" s="369"/>
      <c r="H58" s="370"/>
      <c r="I58" s="442"/>
      <c r="J58" s="76"/>
      <c r="K58" s="139"/>
      <c r="L58" s="77" t="s">
        <v>63</v>
      </c>
      <c r="M58" s="78">
        <f t="shared" si="12"/>
        <v>0</v>
      </c>
      <c r="N58" s="140"/>
      <c r="O58" s="78"/>
      <c r="P58" s="80" t="s">
        <v>63</v>
      </c>
      <c r="Q58" s="447"/>
      <c r="R58" s="78"/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103</v>
      </c>
      <c r="B59" s="182">
        <f t="shared" ref="B59" si="15">$I$5</f>
        <v>729</v>
      </c>
      <c r="C59" s="368" t="str">
        <f t="shared" ref="C59" si="16">$A$5</f>
        <v>DE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729</v>
      </c>
      <c r="N59" s="79"/>
      <c r="O59" s="78"/>
      <c r="P59" s="80" t="s">
        <v>65</v>
      </c>
      <c r="Q59" s="447"/>
      <c r="R59" s="78">
        <v>729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728</v>
      </c>
      <c r="C60" s="368" t="str">
        <f>$A$6</f>
        <v>BK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728</v>
      </c>
      <c r="N60" s="140"/>
      <c r="O60" s="78"/>
      <c r="P60" s="80" t="s">
        <v>65</v>
      </c>
      <c r="Q60" s="447"/>
      <c r="R60" s="78">
        <v>728</v>
      </c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368">
        <f>$A$7</f>
        <v>0</v>
      </c>
      <c r="D61" s="369"/>
      <c r="E61" s="370"/>
      <c r="F61" s="428"/>
      <c r="G61" s="429"/>
      <c r="H61" s="430"/>
      <c r="I61" s="75"/>
      <c r="J61" s="76"/>
      <c r="K61" s="139"/>
      <c r="L61" s="77" t="s">
        <v>65</v>
      </c>
      <c r="M61" s="78">
        <f t="shared" si="12"/>
        <v>0</v>
      </c>
      <c r="N61" s="140"/>
      <c r="O61" s="78"/>
      <c r="P61" s="80" t="s">
        <v>65</v>
      </c>
      <c r="Q61" s="444"/>
      <c r="R61" s="78"/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90</v>
      </c>
      <c r="B62" s="191">
        <f t="shared" si="13"/>
        <v>729</v>
      </c>
      <c r="C62" s="422" t="str">
        <f t="shared" si="14"/>
        <v>DE</v>
      </c>
      <c r="D62" s="423"/>
      <c r="E62" s="424"/>
      <c r="F62" s="425"/>
      <c r="G62" s="426"/>
      <c r="H62" s="427"/>
      <c r="I62" s="207" t="s">
        <v>79</v>
      </c>
      <c r="J62" s="192"/>
      <c r="K62" s="193"/>
      <c r="L62" s="194" t="s">
        <v>63</v>
      </c>
      <c r="M62" s="195">
        <f t="shared" si="12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</row>
    <row r="63" spans="1:32" s="55" customFormat="1" ht="69.95" customHeight="1" x14ac:dyDescent="0.15">
      <c r="A63" s="559"/>
      <c r="B63" s="204">
        <f>$I$6</f>
        <v>728</v>
      </c>
      <c r="C63" s="422" t="str">
        <f>$A$6</f>
        <v>BK</v>
      </c>
      <c r="D63" s="423"/>
      <c r="E63" s="424"/>
      <c r="F63" s="425"/>
      <c r="G63" s="426"/>
      <c r="H63" s="427"/>
      <c r="I63" s="207" t="s">
        <v>79</v>
      </c>
      <c r="J63" s="192"/>
      <c r="K63" s="193"/>
      <c r="L63" s="194" t="s">
        <v>63</v>
      </c>
      <c r="M63" s="195">
        <f t="shared" si="12"/>
        <v>0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0</v>
      </c>
      <c r="U63" s="199"/>
      <c r="V63" s="200"/>
      <c r="W63" s="195"/>
      <c r="X63" s="195"/>
      <c r="Y63" s="562"/>
      <c r="Z63" s="201"/>
      <c r="AA63" s="202"/>
      <c r="AB63" s="558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91">
        <f>$I$7</f>
        <v>0</v>
      </c>
      <c r="C64" s="465">
        <f>$A$7</f>
        <v>0</v>
      </c>
      <c r="D64" s="465"/>
      <c r="E64" s="465"/>
      <c r="F64" s="425"/>
      <c r="G64" s="426"/>
      <c r="H64" s="427"/>
      <c r="I64" s="207" t="s">
        <v>79</v>
      </c>
      <c r="J64" s="192"/>
      <c r="K64" s="193"/>
      <c r="L64" s="194" t="s">
        <v>63</v>
      </c>
      <c r="M64" s="195">
        <f t="shared" si="12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142"/>
      <c r="AD64" s="179"/>
      <c r="AE64" s="179"/>
      <c r="AF64" s="179"/>
    </row>
    <row r="65" spans="1:32" s="55" customFormat="1" ht="69.95" customHeight="1" x14ac:dyDescent="0.15">
      <c r="A65" s="431" t="s">
        <v>91</v>
      </c>
      <c r="B65" s="182">
        <f t="shared" ref="B65" si="17">$I$5</f>
        <v>729</v>
      </c>
      <c r="C65" s="368" t="str">
        <f t="shared" ref="C65" si="18">$A$5</f>
        <v>DE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729</v>
      </c>
      <c r="N65" s="79"/>
      <c r="O65" s="78"/>
      <c r="P65" s="80" t="s">
        <v>63</v>
      </c>
      <c r="Q65" s="443">
        <v>46101</v>
      </c>
      <c r="R65" s="78">
        <v>729</v>
      </c>
      <c r="S65" s="80" t="s">
        <v>63</v>
      </c>
      <c r="T65" s="84">
        <f t="shared" si="3"/>
        <v>0</v>
      </c>
      <c r="U65" s="82"/>
      <c r="V65" s="82"/>
      <c r="W65" s="83"/>
      <c r="X65" s="81"/>
      <c r="Y65" s="445" t="s">
        <v>64</v>
      </c>
      <c r="Z65" s="86"/>
      <c r="AA65" s="85"/>
      <c r="AB65" s="586" t="s">
        <v>293</v>
      </c>
    </row>
    <row r="66" spans="1:32" s="55" customFormat="1" ht="69.95" customHeight="1" x14ac:dyDescent="0.15">
      <c r="A66" s="559"/>
      <c r="B66" s="186">
        <f>$I$6</f>
        <v>728</v>
      </c>
      <c r="C66" s="368" t="str">
        <f>$A$6</f>
        <v>BK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728</v>
      </c>
      <c r="N66" s="140"/>
      <c r="O66" s="78"/>
      <c r="P66" s="80" t="s">
        <v>63</v>
      </c>
      <c r="Q66" s="447"/>
      <c r="R66" s="78">
        <v>728</v>
      </c>
      <c r="S66" s="80" t="s">
        <v>63</v>
      </c>
      <c r="T66" s="81">
        <f t="shared" si="3"/>
        <v>0</v>
      </c>
      <c r="U66" s="82"/>
      <c r="V66" s="137"/>
      <c r="W66" s="78"/>
      <c r="X66" s="78"/>
      <c r="Y66" s="557"/>
      <c r="Z66" s="141"/>
      <c r="AA66" s="135"/>
      <c r="AB66" s="587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0</v>
      </c>
      <c r="C67" s="456">
        <f>$A$7</f>
        <v>0</v>
      </c>
      <c r="D67" s="456"/>
      <c r="E67" s="456"/>
      <c r="F67" s="428"/>
      <c r="G67" s="429"/>
      <c r="H67" s="430"/>
      <c r="I67" s="442"/>
      <c r="J67" s="76"/>
      <c r="K67" s="139"/>
      <c r="L67" s="77" t="s">
        <v>63</v>
      </c>
      <c r="M67" s="78">
        <f t="shared" si="12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588"/>
      <c r="AC67" s="142"/>
      <c r="AD67" s="179"/>
      <c r="AE67" s="179"/>
      <c r="AF67" s="179"/>
    </row>
    <row r="68" spans="1:32" s="55" customFormat="1" ht="69.95" customHeight="1" x14ac:dyDescent="0.15">
      <c r="A68" s="431" t="s">
        <v>164</v>
      </c>
      <c r="B68" s="191">
        <f t="shared" ref="B68" si="19">$I$5</f>
        <v>729</v>
      </c>
      <c r="C68" s="422" t="str">
        <f t="shared" ref="C68" si="20">$A$5</f>
        <v>DE</v>
      </c>
      <c r="D68" s="423"/>
      <c r="E68" s="424"/>
      <c r="F68" s="425"/>
      <c r="G68" s="426"/>
      <c r="H68" s="427"/>
      <c r="I68" s="433" t="s">
        <v>102</v>
      </c>
      <c r="J68" s="192"/>
      <c r="K68" s="209">
        <v>0.56000000000000005</v>
      </c>
      <c r="L68" s="194" t="s">
        <v>129</v>
      </c>
      <c r="M68" s="195">
        <f t="shared" si="12"/>
        <v>408.24000000000007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3"/>
        <v>-408.24000000000007</v>
      </c>
      <c r="U68" s="199"/>
      <c r="V68" s="199"/>
      <c r="W68" s="208"/>
      <c r="X68" s="198"/>
      <c r="Y68" s="437" t="s">
        <v>130</v>
      </c>
      <c r="Z68" s="231"/>
      <c r="AA68" s="232"/>
      <c r="AB68" s="439"/>
    </row>
    <row r="69" spans="1:32" s="55" customFormat="1" ht="69.95" customHeight="1" x14ac:dyDescent="0.15">
      <c r="A69" s="559"/>
      <c r="B69" s="204">
        <f>$I$6</f>
        <v>728</v>
      </c>
      <c r="C69" s="422" t="str">
        <f>$A$6</f>
        <v>BK</v>
      </c>
      <c r="D69" s="423"/>
      <c r="E69" s="424"/>
      <c r="F69" s="425"/>
      <c r="G69" s="426"/>
      <c r="H69" s="427"/>
      <c r="I69" s="560"/>
      <c r="J69" s="192"/>
      <c r="K69" s="209">
        <v>0.56000000000000005</v>
      </c>
      <c r="L69" s="194" t="s">
        <v>129</v>
      </c>
      <c r="M69" s="195">
        <f t="shared" si="12"/>
        <v>407.68000000000006</v>
      </c>
      <c r="N69" s="233"/>
      <c r="O69" s="195"/>
      <c r="P69" s="197" t="s">
        <v>63</v>
      </c>
      <c r="Q69" s="561"/>
      <c r="R69" s="195"/>
      <c r="S69" s="197" t="s">
        <v>63</v>
      </c>
      <c r="T69" s="198">
        <f t="shared" si="3"/>
        <v>-407.68000000000006</v>
      </c>
      <c r="U69" s="199"/>
      <c r="V69" s="200"/>
      <c r="W69" s="195"/>
      <c r="X69" s="195"/>
      <c r="Y69" s="562"/>
      <c r="Z69" s="201"/>
      <c r="AA69" s="202"/>
      <c r="AB69" s="558"/>
      <c r="AC69" s="142"/>
      <c r="AD69" s="179"/>
      <c r="AE69" s="179"/>
      <c r="AF69" s="179"/>
    </row>
    <row r="70" spans="1:32" s="55" customFormat="1" ht="69.95" customHeight="1" x14ac:dyDescent="0.15">
      <c r="A70" s="432"/>
      <c r="B70" s="191">
        <f>$I$7</f>
        <v>0</v>
      </c>
      <c r="C70" s="465">
        <f>$A$7</f>
        <v>0</v>
      </c>
      <c r="D70" s="465"/>
      <c r="E70" s="465"/>
      <c r="F70" s="425"/>
      <c r="G70" s="426"/>
      <c r="H70" s="427"/>
      <c r="I70" s="434"/>
      <c r="J70" s="192"/>
      <c r="K70" s="209"/>
      <c r="L70" s="194" t="s">
        <v>129</v>
      </c>
      <c r="M70" s="195">
        <f t="shared" si="12"/>
        <v>0</v>
      </c>
      <c r="N70" s="233"/>
      <c r="O70" s="195"/>
      <c r="P70" s="197" t="s">
        <v>63</v>
      </c>
      <c r="Q70" s="436"/>
      <c r="R70" s="195"/>
      <c r="S70" s="197" t="s">
        <v>63</v>
      </c>
      <c r="T70" s="198">
        <f t="shared" si="3"/>
        <v>0</v>
      </c>
      <c r="U70" s="199"/>
      <c r="V70" s="200"/>
      <c r="W70" s="195"/>
      <c r="X70" s="195"/>
      <c r="Y70" s="438"/>
      <c r="Z70" s="201"/>
      <c r="AA70" s="202"/>
      <c r="AB70" s="440"/>
      <c r="AC70" s="142"/>
      <c r="AD70" s="179"/>
      <c r="AE70" s="179"/>
      <c r="AF70" s="179"/>
    </row>
    <row r="71" spans="1:32" s="55" customFormat="1" ht="69.95" customHeight="1" x14ac:dyDescent="0.15">
      <c r="A71" s="431" t="s">
        <v>141</v>
      </c>
      <c r="B71" s="191">
        <f t="shared" ref="B71" si="21">$I$5</f>
        <v>729</v>
      </c>
      <c r="C71" s="422" t="str">
        <f t="shared" ref="C71" si="22">$A$5</f>
        <v>DE</v>
      </c>
      <c r="D71" s="423"/>
      <c r="E71" s="424"/>
      <c r="F71" s="425"/>
      <c r="G71" s="426"/>
      <c r="H71" s="427"/>
      <c r="I71" s="433" t="s">
        <v>204</v>
      </c>
      <c r="J71" s="192"/>
      <c r="K71" s="209"/>
      <c r="L71" s="194" t="s">
        <v>129</v>
      </c>
      <c r="M71" s="195">
        <f t="shared" si="12"/>
        <v>0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0</v>
      </c>
      <c r="U71" s="199"/>
      <c r="V71" s="199"/>
      <c r="W71" s="208"/>
      <c r="X71" s="198"/>
      <c r="Y71" s="437" t="s">
        <v>130</v>
      </c>
      <c r="Z71" s="231"/>
      <c r="AA71" s="232"/>
      <c r="AB71" s="439"/>
    </row>
    <row r="72" spans="1:32" s="55" customFormat="1" ht="69.95" customHeight="1" x14ac:dyDescent="0.15">
      <c r="A72" s="559"/>
      <c r="B72" s="204">
        <f>$I$6</f>
        <v>728</v>
      </c>
      <c r="C72" s="422" t="str">
        <f>$A$6</f>
        <v>BK</v>
      </c>
      <c r="D72" s="423"/>
      <c r="E72" s="424"/>
      <c r="F72" s="425"/>
      <c r="G72" s="426"/>
      <c r="H72" s="427"/>
      <c r="I72" s="560"/>
      <c r="J72" s="192"/>
      <c r="K72" s="209"/>
      <c r="L72" s="194" t="s">
        <v>129</v>
      </c>
      <c r="M72" s="195">
        <f t="shared" si="12"/>
        <v>0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0</v>
      </c>
      <c r="U72" s="199"/>
      <c r="V72" s="200"/>
      <c r="W72" s="195"/>
      <c r="X72" s="195"/>
      <c r="Y72" s="562"/>
      <c r="Z72" s="201"/>
      <c r="AA72" s="202"/>
      <c r="AB72" s="558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91">
        <f>$I$7</f>
        <v>0</v>
      </c>
      <c r="C73" s="465">
        <f>$A$7</f>
        <v>0</v>
      </c>
      <c r="D73" s="465"/>
      <c r="E73" s="465"/>
      <c r="F73" s="425"/>
      <c r="G73" s="426"/>
      <c r="H73" s="427"/>
      <c r="I73" s="434"/>
      <c r="J73" s="192"/>
      <c r="K73" s="209"/>
      <c r="L73" s="194" t="s">
        <v>129</v>
      </c>
      <c r="M73" s="195">
        <f t="shared" si="12"/>
        <v>0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0</v>
      </c>
      <c r="U73" s="199"/>
      <c r="V73" s="200"/>
      <c r="W73" s="195"/>
      <c r="X73" s="195"/>
      <c r="Y73" s="438"/>
      <c r="Z73" s="201"/>
      <c r="AA73" s="202"/>
      <c r="AB73" s="440"/>
      <c r="AC73" s="142"/>
      <c r="AD73" s="179"/>
      <c r="AE73" s="179"/>
      <c r="AF73" s="179"/>
    </row>
    <row r="74" spans="1:32" s="206" customFormat="1" ht="69.95" customHeight="1" x14ac:dyDescent="0.15">
      <c r="A74" s="431" t="s">
        <v>120</v>
      </c>
      <c r="B74" s="191">
        <f t="shared" ref="B74" si="23">$I$5</f>
        <v>729</v>
      </c>
      <c r="C74" s="422" t="str">
        <f t="shared" ref="C74" si="24">$A$5</f>
        <v>DE</v>
      </c>
      <c r="D74" s="423"/>
      <c r="E74" s="424"/>
      <c r="F74" s="425"/>
      <c r="G74" s="426"/>
      <c r="H74" s="427"/>
      <c r="I74" s="433" t="s">
        <v>75</v>
      </c>
      <c r="J74" s="192"/>
      <c r="K74" s="193"/>
      <c r="L74" s="194" t="s">
        <v>63</v>
      </c>
      <c r="M74" s="195">
        <f t="shared" si="4"/>
        <v>0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0</v>
      </c>
      <c r="U74" s="199"/>
      <c r="V74" s="199"/>
      <c r="W74" s="208"/>
      <c r="X74" s="198"/>
      <c r="Y74" s="437" t="s">
        <v>64</v>
      </c>
      <c r="Z74" s="231"/>
      <c r="AA74" s="232"/>
      <c r="AB74" s="439"/>
    </row>
    <row r="75" spans="1:32" s="206" customFormat="1" ht="69.95" customHeight="1" x14ac:dyDescent="0.15">
      <c r="A75" s="559"/>
      <c r="B75" s="204">
        <f>$I$6</f>
        <v>728</v>
      </c>
      <c r="C75" s="422" t="str">
        <f>$A$6</f>
        <v>BK</v>
      </c>
      <c r="D75" s="423"/>
      <c r="E75" s="424"/>
      <c r="F75" s="425"/>
      <c r="G75" s="426"/>
      <c r="H75" s="427"/>
      <c r="I75" s="560"/>
      <c r="J75" s="192"/>
      <c r="K75" s="193"/>
      <c r="L75" s="194" t="s">
        <v>63</v>
      </c>
      <c r="M75" s="195">
        <f t="shared" si="4"/>
        <v>0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0</v>
      </c>
      <c r="U75" s="199"/>
      <c r="V75" s="200"/>
      <c r="W75" s="195"/>
      <c r="X75" s="195"/>
      <c r="Y75" s="562"/>
      <c r="Z75" s="201"/>
      <c r="AA75" s="202"/>
      <c r="AB75" s="558"/>
      <c r="AC75" s="234"/>
      <c r="AD75" s="230"/>
      <c r="AE75" s="230"/>
      <c r="AF75" s="230"/>
    </row>
    <row r="76" spans="1:32" s="206" customFormat="1" ht="69.95" customHeight="1" x14ac:dyDescent="0.15">
      <c r="A76" s="432"/>
      <c r="B76" s="191">
        <f>$I$7</f>
        <v>0</v>
      </c>
      <c r="C76" s="465">
        <f>$A$7</f>
        <v>0</v>
      </c>
      <c r="D76" s="465"/>
      <c r="E76" s="465"/>
      <c r="F76" s="425"/>
      <c r="G76" s="426"/>
      <c r="H76" s="427"/>
      <c r="I76" s="434"/>
      <c r="J76" s="192"/>
      <c r="K76" s="193"/>
      <c r="L76" s="194" t="s">
        <v>63</v>
      </c>
      <c r="M76" s="195">
        <f t="shared" si="4"/>
        <v>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0</v>
      </c>
      <c r="U76" s="199"/>
      <c r="V76" s="200"/>
      <c r="W76" s="195"/>
      <c r="X76" s="195"/>
      <c r="Y76" s="438"/>
      <c r="Z76" s="201"/>
      <c r="AA76" s="202"/>
      <c r="AB76" s="440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610</v>
      </c>
      <c r="C77" s="407" t="e">
        <f>#REF!</f>
        <v>#REF!</v>
      </c>
      <c r="D77" s="408"/>
      <c r="E77" s="409"/>
      <c r="F77" s="371"/>
      <c r="G77" s="372"/>
      <c r="H77" s="373"/>
      <c r="I77" s="276"/>
      <c r="J77" s="255"/>
      <c r="K77" s="263">
        <v>1</v>
      </c>
      <c r="L77" s="168" t="s">
        <v>63</v>
      </c>
      <c r="M77" s="169">
        <f t="shared" si="4"/>
        <v>610</v>
      </c>
      <c r="N77" s="171"/>
      <c r="O77" s="277"/>
      <c r="P77" s="169" t="s">
        <v>63</v>
      </c>
      <c r="Q77" s="376">
        <v>46101</v>
      </c>
      <c r="R77" s="277">
        <v>610</v>
      </c>
      <c r="S77" s="169" t="s">
        <v>63</v>
      </c>
      <c r="T77" s="278">
        <f t="shared" si="3"/>
        <v>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316</v>
      </c>
    </row>
    <row r="78" spans="1:32" s="176" customFormat="1" ht="54.95" customHeight="1" x14ac:dyDescent="0.15">
      <c r="A78" s="387"/>
      <c r="B78" s="164">
        <f>D11</f>
        <v>640</v>
      </c>
      <c r="C78" s="410"/>
      <c r="D78" s="411"/>
      <c r="E78" s="412"/>
      <c r="F78" s="371"/>
      <c r="G78" s="372"/>
      <c r="H78" s="373"/>
      <c r="I78" s="276"/>
      <c r="J78" s="255"/>
      <c r="K78" s="167">
        <v>1</v>
      </c>
      <c r="L78" s="168" t="s">
        <v>63</v>
      </c>
      <c r="M78" s="169">
        <f t="shared" si="4"/>
        <v>640</v>
      </c>
      <c r="N78" s="171"/>
      <c r="O78" s="277"/>
      <c r="P78" s="169" t="s">
        <v>63</v>
      </c>
      <c r="Q78" s="377"/>
      <c r="R78" s="277">
        <v>640</v>
      </c>
      <c r="S78" s="169" t="s">
        <v>63</v>
      </c>
      <c r="T78" s="278">
        <f t="shared" si="3"/>
        <v>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207</v>
      </c>
      <c r="C79" s="410"/>
      <c r="D79" s="411"/>
      <c r="E79" s="412"/>
      <c r="F79" s="371"/>
      <c r="G79" s="372"/>
      <c r="H79" s="373"/>
      <c r="I79" s="276"/>
      <c r="J79" s="255"/>
      <c r="K79" s="167">
        <v>1</v>
      </c>
      <c r="L79" s="168" t="s">
        <v>63</v>
      </c>
      <c r="M79" s="169">
        <f t="shared" si="4"/>
        <v>207</v>
      </c>
      <c r="N79" s="171"/>
      <c r="O79" s="277"/>
      <c r="P79" s="169" t="s">
        <v>63</v>
      </c>
      <c r="Q79" s="377"/>
      <c r="R79" s="277">
        <v>207</v>
      </c>
      <c r="S79" s="169" t="s">
        <v>63</v>
      </c>
      <c r="T79" s="278">
        <f t="shared" si="3"/>
        <v>0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/>
      <c r="G80" s="372"/>
      <c r="H80" s="373"/>
      <c r="I80" s="276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/>
      <c r="G81" s="372"/>
      <c r="H81" s="373"/>
      <c r="I81" s="27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68</v>
      </c>
      <c r="B82" s="164">
        <f>C5+C8</f>
        <v>310</v>
      </c>
      <c r="C82" s="456" t="str">
        <f>A5</f>
        <v>DE</v>
      </c>
      <c r="D82" s="456"/>
      <c r="E82" s="456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310</v>
      </c>
      <c r="N82" s="171"/>
      <c r="O82" s="277"/>
      <c r="P82" s="169" t="s">
        <v>63</v>
      </c>
      <c r="Q82" s="376">
        <v>46101</v>
      </c>
      <c r="R82" s="277">
        <v>310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316</v>
      </c>
    </row>
    <row r="83" spans="1:28" s="176" customFormat="1" ht="54.95" customHeight="1" x14ac:dyDescent="0.15">
      <c r="A83" s="387"/>
      <c r="B83" s="164">
        <f>D5+D8</f>
        <v>320</v>
      </c>
      <c r="C83" s="456"/>
      <c r="D83" s="456"/>
      <c r="E83" s="456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320</v>
      </c>
      <c r="N83" s="171"/>
      <c r="O83" s="277"/>
      <c r="P83" s="169" t="s">
        <v>63</v>
      </c>
      <c r="Q83" s="377"/>
      <c r="R83" s="277">
        <v>320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99</v>
      </c>
      <c r="C84" s="456"/>
      <c r="D84" s="456"/>
      <c r="E84" s="456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99</v>
      </c>
      <c r="N84" s="171"/>
      <c r="O84" s="277"/>
      <c r="P84" s="169" t="s">
        <v>63</v>
      </c>
      <c r="Q84" s="377"/>
      <c r="R84" s="277">
        <v>99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300</v>
      </c>
      <c r="C85" s="456" t="str">
        <f>A6</f>
        <v>BK</v>
      </c>
      <c r="D85" s="456"/>
      <c r="E85" s="456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300</v>
      </c>
      <c r="N85" s="171"/>
      <c r="O85" s="277"/>
      <c r="P85" s="169" t="s">
        <v>63</v>
      </c>
      <c r="Q85" s="377"/>
      <c r="R85" s="168">
        <v>300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320</v>
      </c>
      <c r="C86" s="456"/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ref="M86:M106" si="25">K86*B86</f>
        <v>320</v>
      </c>
      <c r="N86" s="171"/>
      <c r="O86" s="277"/>
      <c r="P86" s="169" t="s">
        <v>63</v>
      </c>
      <c r="Q86" s="377"/>
      <c r="R86" s="168">
        <v>320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108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25"/>
        <v>108</v>
      </c>
      <c r="N87" s="171"/>
      <c r="O87" s="277"/>
      <c r="P87" s="169" t="s">
        <v>63</v>
      </c>
      <c r="Q87" s="377"/>
      <c r="R87" s="277">
        <v>108</v>
      </c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0</v>
      </c>
      <c r="C88" s="456">
        <f>A7</f>
        <v>0</v>
      </c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25"/>
        <v>0</v>
      </c>
      <c r="N88" s="171"/>
      <c r="O88" s="277"/>
      <c r="P88" s="169" t="s">
        <v>63</v>
      </c>
      <c r="Q88" s="377"/>
      <c r="R88" s="277"/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0</v>
      </c>
      <c r="C89" s="456"/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25"/>
        <v>0</v>
      </c>
      <c r="N89" s="171"/>
      <c r="O89" s="277"/>
      <c r="P89" s="169" t="s">
        <v>63</v>
      </c>
      <c r="Q89" s="377"/>
      <c r="R89" s="277"/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25"/>
        <v>0</v>
      </c>
      <c r="N90" s="171"/>
      <c r="O90" s="277"/>
      <c r="P90" s="169" t="s">
        <v>63</v>
      </c>
      <c r="Q90" s="378"/>
      <c r="R90" s="168"/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310</v>
      </c>
      <c r="C91" s="456" t="str">
        <f>A5</f>
        <v>DE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310</v>
      </c>
      <c r="N91" s="171"/>
      <c r="O91" s="277"/>
      <c r="P91" s="169" t="s">
        <v>63</v>
      </c>
      <c r="Q91" s="376">
        <v>46154</v>
      </c>
      <c r="R91" s="277">
        <v>310</v>
      </c>
      <c r="S91" s="169" t="s">
        <v>63</v>
      </c>
      <c r="T91" s="278">
        <f t="shared" si="3"/>
        <v>0</v>
      </c>
      <c r="U91" s="281"/>
      <c r="V91" s="282"/>
      <c r="W91" s="278"/>
      <c r="X91" s="278"/>
      <c r="Y91" s="374" t="s">
        <v>67</v>
      </c>
      <c r="Z91" s="374"/>
      <c r="AA91" s="374"/>
      <c r="AB91" s="404" t="s">
        <v>334</v>
      </c>
    </row>
    <row r="92" spans="1:28" s="176" customFormat="1" ht="54.95" customHeight="1" x14ac:dyDescent="0.15">
      <c r="A92" s="387"/>
      <c r="B92" s="164">
        <f>D5</f>
        <v>320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320</v>
      </c>
      <c r="N92" s="171"/>
      <c r="O92" s="277"/>
      <c r="P92" s="169" t="s">
        <v>63</v>
      </c>
      <c r="Q92" s="377"/>
      <c r="R92" s="277">
        <v>320</v>
      </c>
      <c r="S92" s="169" t="s">
        <v>63</v>
      </c>
      <c r="T92" s="278">
        <f t="shared" si="3"/>
        <v>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99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99</v>
      </c>
      <c r="N93" s="171"/>
      <c r="O93" s="277"/>
      <c r="P93" s="169" t="s">
        <v>63</v>
      </c>
      <c r="Q93" s="377"/>
      <c r="R93" s="277">
        <v>99</v>
      </c>
      <c r="S93" s="169" t="s">
        <v>63</v>
      </c>
      <c r="T93" s="278">
        <f t="shared" si="3"/>
        <v>0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300</v>
      </c>
      <c r="C94" s="456" t="str">
        <f>A6</f>
        <v>BK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300</v>
      </c>
      <c r="N94" s="171"/>
      <c r="O94" s="277"/>
      <c r="P94" s="169" t="s">
        <v>63</v>
      </c>
      <c r="Q94" s="377"/>
      <c r="R94" s="168">
        <v>300</v>
      </c>
      <c r="S94" s="169" t="s">
        <v>63</v>
      </c>
      <c r="T94" s="278">
        <f t="shared" si="3"/>
        <v>0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320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320</v>
      </c>
      <c r="N95" s="171"/>
      <c r="O95" s="277"/>
      <c r="P95" s="169" t="s">
        <v>63</v>
      </c>
      <c r="Q95" s="377"/>
      <c r="R95" s="168">
        <v>320</v>
      </c>
      <c r="S95" s="169" t="s">
        <v>63</v>
      </c>
      <c r="T95" s="278">
        <f t="shared" si="3"/>
        <v>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108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108</v>
      </c>
      <c r="N96" s="171"/>
      <c r="O96" s="277"/>
      <c r="P96" s="169" t="s">
        <v>63</v>
      </c>
      <c r="Q96" s="377"/>
      <c r="R96" s="277">
        <v>108</v>
      </c>
      <c r="S96" s="169" t="s">
        <v>63</v>
      </c>
      <c r="T96" s="278">
        <f t="shared" si="3"/>
        <v>0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0</v>
      </c>
      <c r="C97" s="456">
        <f>A7</f>
        <v>0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0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610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610</v>
      </c>
      <c r="N100" s="89"/>
      <c r="O100" s="153"/>
      <c r="P100" s="88" t="s">
        <v>63</v>
      </c>
      <c r="Q100" s="398">
        <v>46101</v>
      </c>
      <c r="R100" s="93">
        <v>610</v>
      </c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316</v>
      </c>
    </row>
    <row r="101" spans="1:28" s="55" customFormat="1" ht="54.95" customHeight="1" x14ac:dyDescent="0.15">
      <c r="A101" s="387"/>
      <c r="B101" s="87">
        <f>D11</f>
        <v>640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640</v>
      </c>
      <c r="N101" s="89"/>
      <c r="O101" s="153"/>
      <c r="P101" s="88" t="s">
        <v>63</v>
      </c>
      <c r="Q101" s="399"/>
      <c r="R101" s="93">
        <v>640</v>
      </c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207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207</v>
      </c>
      <c r="N102" s="89"/>
      <c r="O102" s="153"/>
      <c r="P102" s="88" t="s">
        <v>63</v>
      </c>
      <c r="Q102" s="399"/>
      <c r="R102" s="93">
        <v>207</v>
      </c>
      <c r="S102" s="88" t="s">
        <v>63</v>
      </c>
      <c r="T102" s="154">
        <f t="shared" si="3"/>
        <v>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1457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1457</v>
      </c>
      <c r="N104" s="170"/>
      <c r="O104" s="170"/>
      <c r="P104" s="169" t="s">
        <v>63</v>
      </c>
      <c r="Q104" s="363">
        <v>46101</v>
      </c>
      <c r="R104" s="165">
        <v>1457</v>
      </c>
      <c r="S104" s="169" t="s">
        <v>63</v>
      </c>
      <c r="T104" s="154">
        <f t="shared" si="3"/>
        <v>0</v>
      </c>
      <c r="U104" s="170"/>
      <c r="V104" s="172"/>
      <c r="W104" s="172"/>
      <c r="X104" s="172"/>
      <c r="Y104" s="374" t="s">
        <v>72</v>
      </c>
      <c r="Z104" s="380"/>
      <c r="AA104" s="383"/>
      <c r="AB104" s="586" t="s">
        <v>293</v>
      </c>
    </row>
    <row r="105" spans="1:28" s="55" customFormat="1" ht="54.95" customHeight="1" x14ac:dyDescent="0.15">
      <c r="A105" s="163" t="s">
        <v>81</v>
      </c>
      <c r="B105" s="87">
        <f>I11</f>
        <v>1457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1457</v>
      </c>
      <c r="N105" s="91"/>
      <c r="O105" s="91"/>
      <c r="P105" s="169" t="s">
        <v>63</v>
      </c>
      <c r="Q105" s="364"/>
      <c r="R105" s="165">
        <v>1457</v>
      </c>
      <c r="S105" s="169" t="s">
        <v>63</v>
      </c>
      <c r="T105" s="154">
        <f t="shared" si="3"/>
        <v>0</v>
      </c>
      <c r="U105" s="91"/>
      <c r="V105" s="91"/>
      <c r="W105" s="91"/>
      <c r="X105" s="91"/>
      <c r="Y105" s="375"/>
      <c r="Z105" s="381"/>
      <c r="AA105" s="384"/>
      <c r="AB105" s="587"/>
    </row>
    <row r="106" spans="1:28" s="55" customFormat="1" ht="54.95" customHeight="1" x14ac:dyDescent="0.15">
      <c r="A106" s="284" t="s">
        <v>160</v>
      </c>
      <c r="B106" s="87">
        <f>I11</f>
        <v>1457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1457</v>
      </c>
      <c r="N106" s="91"/>
      <c r="O106" s="91"/>
      <c r="P106" s="89" t="s">
        <v>63</v>
      </c>
      <c r="Q106" s="365"/>
      <c r="R106" s="93">
        <v>1500</v>
      </c>
      <c r="S106" s="89" t="s">
        <v>63</v>
      </c>
      <c r="T106" s="154">
        <f t="shared" si="3"/>
        <v>43</v>
      </c>
      <c r="U106" s="91"/>
      <c r="V106" s="91"/>
      <c r="W106" s="91"/>
      <c r="X106" s="91"/>
      <c r="Y106" s="379"/>
      <c r="Z106" s="382"/>
      <c r="AA106" s="385"/>
      <c r="AB106" s="588"/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5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5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11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"/>
      <c r="AC118" s="1"/>
    </row>
  </sheetData>
  <mergeCells count="369">
    <mergeCell ref="B108:C108"/>
    <mergeCell ref="F108:H108"/>
    <mergeCell ref="I15:I17"/>
    <mergeCell ref="AB104:AB106"/>
    <mergeCell ref="C105:E105"/>
    <mergeCell ref="F105:H105"/>
    <mergeCell ref="C106:E106"/>
    <mergeCell ref="F106:H106"/>
    <mergeCell ref="B107:C107"/>
    <mergeCell ref="C104:E104"/>
    <mergeCell ref="F104:H104"/>
    <mergeCell ref="Q104:Q106"/>
    <mergeCell ref="Y104:Y106"/>
    <mergeCell ref="Z104:Z106"/>
    <mergeCell ref="AA104:AA106"/>
    <mergeCell ref="Z100:Z103"/>
    <mergeCell ref="AA100:AA103"/>
    <mergeCell ref="AB100:AB103"/>
    <mergeCell ref="F101:H101"/>
    <mergeCell ref="F102:H102"/>
    <mergeCell ref="F103:H103"/>
    <mergeCell ref="AA96:AA99"/>
    <mergeCell ref="C97:E99"/>
    <mergeCell ref="F97:H97"/>
    <mergeCell ref="F98:H98"/>
    <mergeCell ref="F99:H99"/>
    <mergeCell ref="A100:A103"/>
    <mergeCell ref="C100:E103"/>
    <mergeCell ref="F100:H100"/>
    <mergeCell ref="Q100:Q103"/>
    <mergeCell ref="Y100:Y103"/>
    <mergeCell ref="AA91:AA95"/>
    <mergeCell ref="AB91:AB99"/>
    <mergeCell ref="F92:H92"/>
    <mergeCell ref="F93:H93"/>
    <mergeCell ref="C94:E96"/>
    <mergeCell ref="F94:H94"/>
    <mergeCell ref="F95:H95"/>
    <mergeCell ref="F96:H96"/>
    <mergeCell ref="Y96:Y99"/>
    <mergeCell ref="Z96:Z99"/>
    <mergeCell ref="A91:A99"/>
    <mergeCell ref="C91:E93"/>
    <mergeCell ref="F91:H91"/>
    <mergeCell ref="Q91:Q99"/>
    <mergeCell ref="Y91:Y95"/>
    <mergeCell ref="Z91:Z95"/>
    <mergeCell ref="AB82:AB90"/>
    <mergeCell ref="F83:H83"/>
    <mergeCell ref="F84:H84"/>
    <mergeCell ref="C85:E87"/>
    <mergeCell ref="F85:H85"/>
    <mergeCell ref="F86:H86"/>
    <mergeCell ref="F87:H87"/>
    <mergeCell ref="C88:E90"/>
    <mergeCell ref="F88:H88"/>
    <mergeCell ref="A82:A90"/>
    <mergeCell ref="C82:E84"/>
    <mergeCell ref="F82:H82"/>
    <mergeCell ref="Q82:Q90"/>
    <mergeCell ref="Y82:Y90"/>
    <mergeCell ref="Z82:Z90"/>
    <mergeCell ref="F89:H89"/>
    <mergeCell ref="F90:H90"/>
    <mergeCell ref="AA77:AA81"/>
    <mergeCell ref="AA82:AA90"/>
    <mergeCell ref="AB77:AB81"/>
    <mergeCell ref="F78:H78"/>
    <mergeCell ref="F79:H79"/>
    <mergeCell ref="F80:H80"/>
    <mergeCell ref="F81:H81"/>
    <mergeCell ref="A77:A81"/>
    <mergeCell ref="C77:E81"/>
    <mergeCell ref="F77:H77"/>
    <mergeCell ref="Q77:Q81"/>
    <mergeCell ref="Y77:Y81"/>
    <mergeCell ref="Z77:Z81"/>
    <mergeCell ref="Y74:Y76"/>
    <mergeCell ref="AB74:AB76"/>
    <mergeCell ref="C75:E75"/>
    <mergeCell ref="F75:H75"/>
    <mergeCell ref="C76:E76"/>
    <mergeCell ref="F76:H76"/>
    <mergeCell ref="AB71:AB73"/>
    <mergeCell ref="C72:E72"/>
    <mergeCell ref="F72:H72"/>
    <mergeCell ref="C73:E73"/>
    <mergeCell ref="F73:H73"/>
    <mergeCell ref="Y71:Y73"/>
    <mergeCell ref="A74:A76"/>
    <mergeCell ref="C74:E74"/>
    <mergeCell ref="F74:H74"/>
    <mergeCell ref="I74:I76"/>
    <mergeCell ref="Q74:Q76"/>
    <mergeCell ref="A71:A73"/>
    <mergeCell ref="C71:E71"/>
    <mergeCell ref="F71:H71"/>
    <mergeCell ref="I71:I73"/>
    <mergeCell ref="Q71:Q73"/>
    <mergeCell ref="Y68:Y70"/>
    <mergeCell ref="AB68:AB70"/>
    <mergeCell ref="C69:E69"/>
    <mergeCell ref="F69:H69"/>
    <mergeCell ref="C70:E70"/>
    <mergeCell ref="F70:H70"/>
    <mergeCell ref="AB65:AB67"/>
    <mergeCell ref="C66:E66"/>
    <mergeCell ref="F66:H66"/>
    <mergeCell ref="C67:E67"/>
    <mergeCell ref="F67:H67"/>
    <mergeCell ref="Y65:Y67"/>
    <mergeCell ref="A68:A70"/>
    <mergeCell ref="C68:E68"/>
    <mergeCell ref="F68:H68"/>
    <mergeCell ref="I68:I70"/>
    <mergeCell ref="Q68:Q70"/>
    <mergeCell ref="A65:A67"/>
    <mergeCell ref="C65:E65"/>
    <mergeCell ref="F65:H65"/>
    <mergeCell ref="I65:I67"/>
    <mergeCell ref="Q65:Q67"/>
    <mergeCell ref="A62:A64"/>
    <mergeCell ref="C62:E62"/>
    <mergeCell ref="F62:H62"/>
    <mergeCell ref="Q62:Q64"/>
    <mergeCell ref="Y62:Y64"/>
    <mergeCell ref="AB62:AB64"/>
    <mergeCell ref="C63:E63"/>
    <mergeCell ref="F63:H63"/>
    <mergeCell ref="C64:E64"/>
    <mergeCell ref="F64:H64"/>
    <mergeCell ref="A59:A61"/>
    <mergeCell ref="C59:E59"/>
    <mergeCell ref="F59:H59"/>
    <mergeCell ref="Y59:Y61"/>
    <mergeCell ref="C60:E60"/>
    <mergeCell ref="F60:H60"/>
    <mergeCell ref="C61:E61"/>
    <mergeCell ref="F61:H61"/>
    <mergeCell ref="Y56:Y58"/>
    <mergeCell ref="A56:A58"/>
    <mergeCell ref="AB56:AB61"/>
    <mergeCell ref="C57:E57"/>
    <mergeCell ref="F57:H57"/>
    <mergeCell ref="C58:E58"/>
    <mergeCell ref="F58:H58"/>
    <mergeCell ref="AB53:AB55"/>
    <mergeCell ref="C54:E54"/>
    <mergeCell ref="F54:H54"/>
    <mergeCell ref="C55:E55"/>
    <mergeCell ref="F55:H55"/>
    <mergeCell ref="C56:E56"/>
    <mergeCell ref="F56:H56"/>
    <mergeCell ref="I56:I58"/>
    <mergeCell ref="Q56:Q61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C49:E49"/>
    <mergeCell ref="F49:H49"/>
    <mergeCell ref="A50:A52"/>
    <mergeCell ref="C50:E50"/>
    <mergeCell ref="F50:H50"/>
    <mergeCell ref="I50:I52"/>
    <mergeCell ref="Y50:Y52"/>
    <mergeCell ref="C51:E51"/>
    <mergeCell ref="A44:A46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F51:H51"/>
    <mergeCell ref="AC51:AF51"/>
    <mergeCell ref="C52:E52"/>
    <mergeCell ref="F52:H52"/>
    <mergeCell ref="AC52:AF52"/>
    <mergeCell ref="AC48:AF48"/>
    <mergeCell ref="AC49:AF49"/>
    <mergeCell ref="C44:E44"/>
    <mergeCell ref="F44:H44"/>
    <mergeCell ref="I44:I46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Q15:Q17"/>
    <mergeCell ref="Y15:Y17"/>
    <mergeCell ref="AB15:AB17"/>
    <mergeCell ref="A18:A19"/>
    <mergeCell ref="C18:E18"/>
    <mergeCell ref="F18:H18"/>
    <mergeCell ref="Q18:Q19"/>
    <mergeCell ref="Y18:Y19"/>
    <mergeCell ref="AB18:AB19"/>
    <mergeCell ref="C19:E19"/>
    <mergeCell ref="F19:H19"/>
    <mergeCell ref="A13:A14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D582-9087-4AA8-9EFC-FFDE8F1C2BFD}">
  <sheetPr>
    <pageSetUpPr fitToPage="1"/>
  </sheetPr>
  <dimension ref="A1:AF121"/>
  <sheetViews>
    <sheetView view="pageBreakPreview" zoomScale="75" zoomScaleNormal="100" zoomScaleSheetLayoutView="75" workbookViewId="0">
      <selection activeCell="M8" sqref="M8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297</v>
      </c>
      <c r="C2" s="548"/>
      <c r="D2" s="548"/>
      <c r="E2" s="548"/>
      <c r="F2" s="548"/>
      <c r="G2" s="549"/>
      <c r="H2" s="180" t="s">
        <v>1</v>
      </c>
      <c r="I2" s="550">
        <f>I11</f>
        <v>1245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295</v>
      </c>
      <c r="B5" s="480"/>
      <c r="C5" s="182">
        <v>270</v>
      </c>
      <c r="D5" s="182">
        <v>277</v>
      </c>
      <c r="E5" s="182">
        <v>75</v>
      </c>
      <c r="F5" s="182"/>
      <c r="G5" s="182"/>
      <c r="H5" s="542" t="s">
        <v>24</v>
      </c>
      <c r="I5" s="524">
        <f t="shared" ref="I5:I11" si="0">SUM(C5:G5)</f>
        <v>622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98</v>
      </c>
      <c r="B6" s="523"/>
      <c r="C6" s="182">
        <v>263</v>
      </c>
      <c r="D6" s="182">
        <v>280</v>
      </c>
      <c r="E6" s="182">
        <v>80</v>
      </c>
      <c r="F6" s="182"/>
      <c r="G6" s="182"/>
      <c r="H6" s="537"/>
      <c r="I6" s="524">
        <f t="shared" si="0"/>
        <v>623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 t="s">
        <v>311</v>
      </c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46091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533</v>
      </c>
      <c r="D11" s="181">
        <f>SUM(D5:D10)</f>
        <v>557</v>
      </c>
      <c r="E11" s="181">
        <f>SUM(E5:E10)</f>
        <v>155</v>
      </c>
      <c r="F11" s="181">
        <f>SUM(F5:F10)</f>
        <v>0</v>
      </c>
      <c r="G11" s="181">
        <f>SUM(G5:G10)</f>
        <v>0</v>
      </c>
      <c r="H11" s="182"/>
      <c r="I11" s="481">
        <f t="shared" si="0"/>
        <v>1245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46190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543.66</v>
      </c>
      <c r="D12" s="43">
        <f>D11*1.02</f>
        <v>568.14</v>
      </c>
      <c r="E12" s="43">
        <f>E11*1.02</f>
        <v>158.1</v>
      </c>
      <c r="F12" s="43">
        <f>F11*1.02</f>
        <v>0</v>
      </c>
      <c r="G12" s="43">
        <f>G11*1.02</f>
        <v>0</v>
      </c>
      <c r="H12" s="44"/>
      <c r="I12" s="486">
        <f>I11*1.02</f>
        <v>1269.9000000000001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622</v>
      </c>
      <c r="C15" s="474" t="str">
        <f t="shared" ref="C15:C29" si="2">$A$5</f>
        <v>DE</v>
      </c>
      <c r="D15" s="475"/>
      <c r="E15" s="476"/>
      <c r="F15" s="474"/>
      <c r="G15" s="475"/>
      <c r="H15" s="476"/>
      <c r="I15" s="477" t="s">
        <v>229</v>
      </c>
      <c r="J15" s="65" t="s">
        <v>6</v>
      </c>
      <c r="K15" s="66">
        <v>1.7</v>
      </c>
      <c r="L15" s="67" t="s">
        <v>7</v>
      </c>
      <c r="M15" s="68">
        <f>K15*B15</f>
        <v>1057.3999999999999</v>
      </c>
      <c r="N15" s="69"/>
      <c r="O15" s="70"/>
      <c r="P15" s="67" t="s">
        <v>7</v>
      </c>
      <c r="Q15" s="478">
        <v>46101</v>
      </c>
      <c r="R15" s="293">
        <v>1058</v>
      </c>
      <c r="S15" s="71" t="s">
        <v>7</v>
      </c>
      <c r="T15" s="123">
        <f t="shared" ref="T15:T109" si="3">R15-M15</f>
        <v>0.60000000000013642</v>
      </c>
      <c r="U15" s="72"/>
      <c r="V15" s="72"/>
      <c r="W15" s="73"/>
      <c r="X15" s="74"/>
      <c r="Y15" s="479" t="s">
        <v>163</v>
      </c>
      <c r="Z15" s="63"/>
      <c r="AA15" s="64"/>
      <c r="AB15" s="360" t="s">
        <v>316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623</v>
      </c>
      <c r="C16" s="368" t="str">
        <f>$A$6</f>
        <v>BK</v>
      </c>
      <c r="D16" s="369"/>
      <c r="E16" s="370"/>
      <c r="F16" s="368"/>
      <c r="G16" s="369"/>
      <c r="H16" s="370"/>
      <c r="I16" s="563"/>
      <c r="J16" s="76" t="s">
        <v>6</v>
      </c>
      <c r="K16" s="83">
        <v>1.7</v>
      </c>
      <c r="L16" s="77" t="s">
        <v>7</v>
      </c>
      <c r="M16" s="78">
        <f t="shared" ref="M16:M88" si="4">K16*B16</f>
        <v>1059.0999999999999</v>
      </c>
      <c r="N16" s="79"/>
      <c r="O16" s="128"/>
      <c r="P16" s="77" t="s">
        <v>7</v>
      </c>
      <c r="Q16" s="447"/>
      <c r="R16" s="137">
        <v>1060</v>
      </c>
      <c r="S16" s="75" t="s">
        <v>7</v>
      </c>
      <c r="T16" s="81">
        <f t="shared" si="3"/>
        <v>0.90000000000009095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442"/>
      <c r="J17" s="76" t="s">
        <v>6</v>
      </c>
      <c r="K17" s="83"/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622</v>
      </c>
      <c r="C18" s="461" t="str">
        <f t="shared" si="2"/>
        <v>DE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623</v>
      </c>
      <c r="C19" s="461" t="str">
        <f>$A$6</f>
        <v>BK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622</v>
      </c>
      <c r="C20" s="465" t="str">
        <f t="shared" ref="C20" si="6">$A$5</f>
        <v>DE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>
        <v>0.1</v>
      </c>
      <c r="L20" s="194" t="s">
        <v>7</v>
      </c>
      <c r="M20" s="195">
        <f t="shared" si="4"/>
        <v>62.2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-62.2</v>
      </c>
      <c r="U20" s="199"/>
      <c r="V20" s="200"/>
      <c r="W20" s="195"/>
      <c r="X20" s="195"/>
      <c r="Y20" s="437" t="s">
        <v>93</v>
      </c>
      <c r="Z20" s="235"/>
      <c r="AA20" s="202"/>
      <c r="AB20" s="439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623</v>
      </c>
      <c r="C21" s="465" t="str">
        <f>$A$6</f>
        <v>BK</v>
      </c>
      <c r="D21" s="465"/>
      <c r="E21" s="465"/>
      <c r="F21" s="465"/>
      <c r="G21" s="465"/>
      <c r="H21" s="465"/>
      <c r="I21" s="560"/>
      <c r="J21" s="192" t="s">
        <v>6</v>
      </c>
      <c r="K21" s="209">
        <v>0.1</v>
      </c>
      <c r="L21" s="194" t="s">
        <v>7</v>
      </c>
      <c r="M21" s="195">
        <f t="shared" si="4"/>
        <v>62.300000000000004</v>
      </c>
      <c r="N21" s="196"/>
      <c r="O21" s="210"/>
      <c r="P21" s="194" t="s">
        <v>7</v>
      </c>
      <c r="Q21" s="561"/>
      <c r="R21" s="236"/>
      <c r="S21" s="207" t="s">
        <v>7</v>
      </c>
      <c r="T21" s="198">
        <f t="shared" si="3"/>
        <v>-62.300000000000004</v>
      </c>
      <c r="U21" s="211"/>
      <c r="V21" s="211"/>
      <c r="W21" s="212"/>
      <c r="X21" s="213"/>
      <c r="Y21" s="562"/>
      <c r="Z21" s="214"/>
      <c r="AA21" s="202"/>
      <c r="AB21" s="55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0</v>
      </c>
      <c r="C22" s="465">
        <f>$A$7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440"/>
      <c r="AC22" s="229"/>
      <c r="AD22" s="230"/>
      <c r="AE22" s="230"/>
      <c r="AF22" s="230"/>
    </row>
    <row r="23" spans="1:32" s="55" customFormat="1" ht="69.95" customHeight="1" x14ac:dyDescent="0.15">
      <c r="A23" s="431" t="s">
        <v>85</v>
      </c>
      <c r="B23" s="182">
        <f t="shared" si="1"/>
        <v>622</v>
      </c>
      <c r="C23" s="461" t="str">
        <f t="shared" si="2"/>
        <v>DE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161.72</v>
      </c>
      <c r="N23" s="79"/>
      <c r="O23" s="78"/>
      <c r="P23" s="80" t="s">
        <v>7</v>
      </c>
      <c r="Q23" s="443">
        <v>46101</v>
      </c>
      <c r="R23" s="78">
        <v>167</v>
      </c>
      <c r="S23" s="80" t="s">
        <v>7</v>
      </c>
      <c r="T23" s="81">
        <f t="shared" si="3"/>
        <v>5.2800000000000011</v>
      </c>
      <c r="U23" s="82"/>
      <c r="V23" s="137"/>
      <c r="W23" s="78"/>
      <c r="X23" s="78"/>
      <c r="Y23" s="445" t="s">
        <v>93</v>
      </c>
      <c r="Z23" s="138"/>
      <c r="AA23" s="135"/>
      <c r="AB23" s="360" t="s">
        <v>293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623</v>
      </c>
      <c r="C24" s="461" t="str">
        <f>$A$6</f>
        <v>BK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161.98000000000002</v>
      </c>
      <c r="N24" s="79"/>
      <c r="O24" s="128"/>
      <c r="P24" s="77" t="s">
        <v>7</v>
      </c>
      <c r="Q24" s="447"/>
      <c r="R24" s="137">
        <v>162</v>
      </c>
      <c r="S24" s="75" t="s">
        <v>7</v>
      </c>
      <c r="T24" s="81">
        <f t="shared" si="3"/>
        <v>1.999999999998181E-2</v>
      </c>
      <c r="U24" s="131"/>
      <c r="V24" s="131"/>
      <c r="W24" s="132"/>
      <c r="X24" s="133"/>
      <c r="Y24" s="557"/>
      <c r="Z24" s="228"/>
      <c r="AA24" s="228"/>
      <c r="AB24" s="361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/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362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622</v>
      </c>
      <c r="C26" s="465" t="str">
        <f t="shared" si="2"/>
        <v>DE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623</v>
      </c>
      <c r="C27" s="465" t="str">
        <f>$A$6</f>
        <v>BK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0</v>
      </c>
      <c r="C28" s="465">
        <f>$A$7</f>
        <v>0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107</v>
      </c>
      <c r="B29" s="239">
        <f t="shared" si="1"/>
        <v>622</v>
      </c>
      <c r="C29" s="456" t="str">
        <f t="shared" si="2"/>
        <v>DE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0.1</v>
      </c>
      <c r="L29" s="168" t="s">
        <v>7</v>
      </c>
      <c r="M29" s="242">
        <f t="shared" si="4"/>
        <v>62.2</v>
      </c>
      <c r="N29" s="243"/>
      <c r="O29" s="242"/>
      <c r="P29" s="244" t="s">
        <v>7</v>
      </c>
      <c r="Q29" s="376">
        <v>46101</v>
      </c>
      <c r="R29" s="242">
        <v>64</v>
      </c>
      <c r="S29" s="244" t="s">
        <v>7</v>
      </c>
      <c r="T29" s="245">
        <f t="shared" si="3"/>
        <v>1.7999999999999972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316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623</v>
      </c>
      <c r="C30" s="456" t="str">
        <f>$A$6</f>
        <v>BK</v>
      </c>
      <c r="D30" s="456"/>
      <c r="E30" s="456"/>
      <c r="F30" s="456"/>
      <c r="G30" s="456"/>
      <c r="H30" s="456"/>
      <c r="I30" s="564"/>
      <c r="J30" s="240" t="s">
        <v>6</v>
      </c>
      <c r="K30" s="241">
        <v>0.1</v>
      </c>
      <c r="L30" s="168" t="s">
        <v>7</v>
      </c>
      <c r="M30" s="242">
        <f t="shared" si="4"/>
        <v>62.300000000000004</v>
      </c>
      <c r="N30" s="243"/>
      <c r="O30" s="253"/>
      <c r="P30" s="168" t="s">
        <v>7</v>
      </c>
      <c r="Q30" s="377"/>
      <c r="R30" s="247">
        <v>62</v>
      </c>
      <c r="S30" s="255" t="s">
        <v>7</v>
      </c>
      <c r="T30" s="245">
        <f t="shared" si="3"/>
        <v>-0.30000000000000426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/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7"/>
      <c r="R31" s="247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108</v>
      </c>
      <c r="B32" s="239">
        <f>$I$5</f>
        <v>622</v>
      </c>
      <c r="C32" s="456" t="str">
        <f>$A$5</f>
        <v>DE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0.19</v>
      </c>
      <c r="L32" s="168" t="s">
        <v>7</v>
      </c>
      <c r="M32" s="242">
        <f>K32*B32</f>
        <v>118.18</v>
      </c>
      <c r="N32" s="243"/>
      <c r="O32" s="242"/>
      <c r="P32" s="244" t="s">
        <v>7</v>
      </c>
      <c r="Q32" s="377"/>
      <c r="R32" s="242">
        <v>122</v>
      </c>
      <c r="S32" s="244" t="s">
        <v>9</v>
      </c>
      <c r="T32" s="245">
        <f t="shared" si="3"/>
        <v>3.8199999999999932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623</v>
      </c>
      <c r="C33" s="456" t="str">
        <f>$A$6</f>
        <v>BK</v>
      </c>
      <c r="D33" s="456"/>
      <c r="E33" s="456"/>
      <c r="F33" s="456"/>
      <c r="G33" s="456"/>
      <c r="H33" s="456"/>
      <c r="I33" s="564"/>
      <c r="J33" s="240" t="s">
        <v>6</v>
      </c>
      <c r="K33" s="241">
        <v>0.19</v>
      </c>
      <c r="L33" s="168" t="s">
        <v>7</v>
      </c>
      <c r="M33" s="242">
        <f>K33*B33</f>
        <v>118.37</v>
      </c>
      <c r="N33" s="243"/>
      <c r="O33" s="253"/>
      <c r="P33" s="168" t="s">
        <v>7</v>
      </c>
      <c r="Q33" s="377"/>
      <c r="R33" s="247">
        <v>118</v>
      </c>
      <c r="S33" s="255" t="s">
        <v>9</v>
      </c>
      <c r="T33" s="245">
        <f t="shared" si="3"/>
        <v>-0.37000000000000455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/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622</v>
      </c>
      <c r="C35" s="465" t="str">
        <f>$A$5</f>
        <v>DE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623</v>
      </c>
      <c r="C36" s="465" t="str">
        <f>$A$6</f>
        <v>BK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86</v>
      </c>
      <c r="B38" s="239">
        <f>$I$5</f>
        <v>622</v>
      </c>
      <c r="C38" s="456" t="str">
        <f>$A$5</f>
        <v>DE</v>
      </c>
      <c r="D38" s="456"/>
      <c r="E38" s="456"/>
      <c r="F38" s="456"/>
      <c r="G38" s="456"/>
      <c r="H38" s="456"/>
      <c r="I38" s="457" t="s">
        <v>76</v>
      </c>
      <c r="J38" s="240"/>
      <c r="K38" s="308">
        <v>3.5</v>
      </c>
      <c r="L38" s="168" t="s">
        <v>7</v>
      </c>
      <c r="M38" s="242">
        <f t="shared" ref="M38:M43" si="7">K38*B38/50</f>
        <v>43.54</v>
      </c>
      <c r="N38" s="243"/>
      <c r="O38" s="242"/>
      <c r="P38" s="244" t="s">
        <v>7</v>
      </c>
      <c r="Q38" s="376">
        <v>46101</v>
      </c>
      <c r="R38" s="78">
        <v>45</v>
      </c>
      <c r="S38" s="244" t="s">
        <v>9</v>
      </c>
      <c r="T38" s="245">
        <f t="shared" si="3"/>
        <v>1.4600000000000009</v>
      </c>
      <c r="U38" s="246"/>
      <c r="V38" s="247"/>
      <c r="W38" s="242"/>
      <c r="X38" s="242"/>
      <c r="Y38" s="459" t="s">
        <v>94</v>
      </c>
      <c r="Z38" s="260"/>
      <c r="AA38" s="249"/>
      <c r="AB38" s="448" t="s">
        <v>316</v>
      </c>
    </row>
    <row r="39" spans="1:32" s="261" customFormat="1" ht="69.95" customHeight="1" x14ac:dyDescent="0.15">
      <c r="A39" s="464"/>
      <c r="B39" s="239">
        <f>$I$6</f>
        <v>623</v>
      </c>
      <c r="C39" s="456" t="str">
        <f>$A$6</f>
        <v>BK</v>
      </c>
      <c r="D39" s="456"/>
      <c r="E39" s="456"/>
      <c r="F39" s="456"/>
      <c r="G39" s="456"/>
      <c r="H39" s="456"/>
      <c r="I39" s="564"/>
      <c r="J39" s="240"/>
      <c r="K39" s="308">
        <v>3.5</v>
      </c>
      <c r="L39" s="168" t="s">
        <v>7</v>
      </c>
      <c r="M39" s="242">
        <f t="shared" si="7"/>
        <v>43.61</v>
      </c>
      <c r="N39" s="243"/>
      <c r="O39" s="253"/>
      <c r="P39" s="168" t="s">
        <v>7</v>
      </c>
      <c r="Q39" s="377"/>
      <c r="R39" s="137">
        <v>44</v>
      </c>
      <c r="S39" s="255" t="s">
        <v>9</v>
      </c>
      <c r="T39" s="245">
        <f t="shared" si="3"/>
        <v>0.39000000000000057</v>
      </c>
      <c r="U39" s="256"/>
      <c r="V39" s="256"/>
      <c r="W39" s="257"/>
      <c r="X39" s="258"/>
      <c r="Y39" s="565"/>
      <c r="Z39" s="259"/>
      <c r="AA39" s="249"/>
      <c r="AB39" s="449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262"/>
      <c r="L40" s="168" t="s">
        <v>7</v>
      </c>
      <c r="M40" s="242">
        <f t="shared" si="7"/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450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622</v>
      </c>
      <c r="C41" s="465" t="str">
        <f>$A$5</f>
        <v>DE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623</v>
      </c>
      <c r="C42" s="465" t="str">
        <f>$A$6</f>
        <v>BK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622</v>
      </c>
      <c r="C44" s="456" t="str">
        <f>$A$5</f>
        <v>DE</v>
      </c>
      <c r="D44" s="456"/>
      <c r="E44" s="456"/>
      <c r="F44" s="456" t="str">
        <f>$A$5</f>
        <v>DE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32.344000000000001</v>
      </c>
      <c r="N44" s="243"/>
      <c r="O44" s="242"/>
      <c r="P44" s="244" t="s">
        <v>10</v>
      </c>
      <c r="Q44" s="443">
        <v>46101</v>
      </c>
      <c r="R44" s="242">
        <v>34</v>
      </c>
      <c r="S44" s="244" t="s">
        <v>10</v>
      </c>
      <c r="T44" s="245">
        <f t="shared" si="3"/>
        <v>1.6559999999999988</v>
      </c>
      <c r="U44" s="246"/>
      <c r="V44" s="247"/>
      <c r="W44" s="242"/>
      <c r="X44" s="242"/>
      <c r="Y44" s="459" t="s">
        <v>94</v>
      </c>
      <c r="Z44" s="260"/>
      <c r="AA44" s="249"/>
      <c r="AB44" s="586" t="s">
        <v>317</v>
      </c>
    </row>
    <row r="45" spans="1:32" s="176" customFormat="1" ht="69.95" customHeight="1" x14ac:dyDescent="0.15">
      <c r="A45" s="559"/>
      <c r="B45" s="264">
        <f>$I$6</f>
        <v>623</v>
      </c>
      <c r="C45" s="413" t="str">
        <f>$A$6</f>
        <v>BK</v>
      </c>
      <c r="D45" s="414"/>
      <c r="E45" s="415"/>
      <c r="F45" s="413" t="str">
        <f>$A$6</f>
        <v>BK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32.396000000000001</v>
      </c>
      <c r="N45" s="267"/>
      <c r="O45" s="268"/>
      <c r="P45" s="266" t="s">
        <v>10</v>
      </c>
      <c r="Q45" s="447"/>
      <c r="R45" s="269">
        <v>33</v>
      </c>
      <c r="S45" s="252" t="s">
        <v>10</v>
      </c>
      <c r="T45" s="270">
        <f t="shared" si="3"/>
        <v>0.6039999999999992</v>
      </c>
      <c r="U45" s="271"/>
      <c r="V45" s="271"/>
      <c r="W45" s="272"/>
      <c r="X45" s="273"/>
      <c r="Y45" s="565"/>
      <c r="Z45" s="274"/>
      <c r="AA45" s="275"/>
      <c r="AB45" s="587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/>
      <c r="L46" s="266" t="s">
        <v>61</v>
      </c>
      <c r="M46" s="242">
        <f t="shared" si="8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587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622</v>
      </c>
      <c r="C47" s="456" t="str">
        <f>$A$5</f>
        <v>DE</v>
      </c>
      <c r="D47" s="456"/>
      <c r="E47" s="456"/>
      <c r="F47" s="456" t="str">
        <f>$A$5</f>
        <v>DE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34.21</v>
      </c>
      <c r="N47" s="243"/>
      <c r="O47" s="242"/>
      <c r="P47" s="244" t="s">
        <v>10</v>
      </c>
      <c r="Q47" s="447"/>
      <c r="R47" s="242">
        <v>36</v>
      </c>
      <c r="S47" s="244" t="s">
        <v>10</v>
      </c>
      <c r="T47" s="245">
        <f t="shared" si="3"/>
        <v>1.7899999999999991</v>
      </c>
      <c r="U47" s="246"/>
      <c r="V47" s="247"/>
      <c r="W47" s="242"/>
      <c r="X47" s="242"/>
      <c r="Y47" s="459" t="s">
        <v>94</v>
      </c>
      <c r="Z47" s="260"/>
      <c r="AA47" s="249"/>
      <c r="AB47" s="587"/>
    </row>
    <row r="48" spans="1:32" s="176" customFormat="1" ht="69.95" customHeight="1" x14ac:dyDescent="0.15">
      <c r="A48" s="559"/>
      <c r="B48" s="264">
        <f>$I$6</f>
        <v>623</v>
      </c>
      <c r="C48" s="413" t="str">
        <f>$A$6</f>
        <v>BK</v>
      </c>
      <c r="D48" s="414"/>
      <c r="E48" s="415"/>
      <c r="F48" s="413" t="str">
        <f>$A$6</f>
        <v>BK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34.265000000000001</v>
      </c>
      <c r="N48" s="267"/>
      <c r="O48" s="268"/>
      <c r="P48" s="266" t="s">
        <v>10</v>
      </c>
      <c r="Q48" s="447"/>
      <c r="R48" s="269">
        <v>35</v>
      </c>
      <c r="S48" s="252" t="s">
        <v>10</v>
      </c>
      <c r="T48" s="270">
        <f t="shared" si="3"/>
        <v>0.73499999999999943</v>
      </c>
      <c r="U48" s="271"/>
      <c r="V48" s="271"/>
      <c r="W48" s="272"/>
      <c r="X48" s="273"/>
      <c r="Y48" s="565"/>
      <c r="Z48" s="274"/>
      <c r="AA48" s="275"/>
      <c r="AB48" s="587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>
        <f>$A$7</f>
        <v>0</v>
      </c>
      <c r="G49" s="414"/>
      <c r="H49" s="415"/>
      <c r="I49" s="458"/>
      <c r="J49" s="265"/>
      <c r="K49" s="263"/>
      <c r="L49" s="266" t="s">
        <v>61</v>
      </c>
      <c r="M49" s="242">
        <f t="shared" si="9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587"/>
      <c r="AC49" s="451"/>
      <c r="AD49" s="452"/>
      <c r="AE49" s="452"/>
      <c r="AF49" s="452"/>
    </row>
    <row r="50" spans="1:32" s="261" customFormat="1" ht="69.95" customHeight="1" x14ac:dyDescent="0.15">
      <c r="A50" s="431" t="s">
        <v>208</v>
      </c>
      <c r="B50" s="182">
        <f>$I$5</f>
        <v>622</v>
      </c>
      <c r="C50" s="461" t="str">
        <f>$A$5</f>
        <v>DE</v>
      </c>
      <c r="D50" s="461"/>
      <c r="E50" s="461"/>
      <c r="F50" s="461" t="str">
        <f>$A$5</f>
        <v>DE</v>
      </c>
      <c r="G50" s="461"/>
      <c r="H50" s="461"/>
      <c r="I50" s="441" t="s">
        <v>60</v>
      </c>
      <c r="J50" s="76"/>
      <c r="K50" s="139">
        <v>15</v>
      </c>
      <c r="L50" s="77" t="s">
        <v>61</v>
      </c>
      <c r="M50" s="78">
        <f t="shared" si="9"/>
        <v>2.3325</v>
      </c>
      <c r="N50" s="79"/>
      <c r="O50" s="78"/>
      <c r="P50" s="80" t="s">
        <v>10</v>
      </c>
      <c r="Q50" s="447"/>
      <c r="R50" s="78">
        <v>3</v>
      </c>
      <c r="S50" s="80" t="s">
        <v>10</v>
      </c>
      <c r="T50" s="81">
        <f t="shared" si="3"/>
        <v>0.66749999999999998</v>
      </c>
      <c r="U50" s="82"/>
      <c r="V50" s="137"/>
      <c r="W50" s="78"/>
      <c r="X50" s="78"/>
      <c r="Y50" s="445" t="s">
        <v>94</v>
      </c>
      <c r="Z50" s="141"/>
      <c r="AA50" s="135"/>
      <c r="AB50" s="587"/>
    </row>
    <row r="51" spans="1:32" s="176" customFormat="1" ht="69.95" customHeight="1" x14ac:dyDescent="0.15">
      <c r="A51" s="559"/>
      <c r="B51" s="186">
        <f>$I$6</f>
        <v>623</v>
      </c>
      <c r="C51" s="395" t="str">
        <f>$A$6</f>
        <v>BK</v>
      </c>
      <c r="D51" s="396"/>
      <c r="E51" s="397"/>
      <c r="F51" s="395" t="str">
        <f>$A$6</f>
        <v>BK</v>
      </c>
      <c r="G51" s="396"/>
      <c r="H51" s="397"/>
      <c r="I51" s="563"/>
      <c r="J51" s="144"/>
      <c r="K51" s="139">
        <v>15</v>
      </c>
      <c r="L51" s="145" t="s">
        <v>61</v>
      </c>
      <c r="M51" s="78">
        <f t="shared" si="9"/>
        <v>2.3362500000000002</v>
      </c>
      <c r="N51" s="146"/>
      <c r="O51" s="147"/>
      <c r="P51" s="145" t="s">
        <v>10</v>
      </c>
      <c r="Q51" s="447"/>
      <c r="R51" s="161">
        <v>3</v>
      </c>
      <c r="S51" s="148" t="s">
        <v>10</v>
      </c>
      <c r="T51" s="84">
        <f t="shared" si="3"/>
        <v>0.66374999999999984</v>
      </c>
      <c r="U51" s="149"/>
      <c r="V51" s="149"/>
      <c r="W51" s="150"/>
      <c r="X51" s="151"/>
      <c r="Y51" s="557"/>
      <c r="Z51" s="216"/>
      <c r="AA51" s="217"/>
      <c r="AB51" s="587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 t="str">
        <f>$A$6</f>
        <v>BK</v>
      </c>
      <c r="G52" s="396"/>
      <c r="H52" s="397"/>
      <c r="I52" s="442"/>
      <c r="J52" s="144"/>
      <c r="K52" s="139"/>
      <c r="L52" s="145" t="s">
        <v>61</v>
      </c>
      <c r="M52" s="78">
        <f t="shared" si="9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588"/>
      <c r="AC52" s="451"/>
      <c r="AD52" s="452"/>
      <c r="AE52" s="452"/>
      <c r="AF52" s="452"/>
    </row>
    <row r="53" spans="1:32" s="206" customFormat="1" ht="69.95" customHeight="1" x14ac:dyDescent="0.15">
      <c r="A53" s="431" t="s">
        <v>139</v>
      </c>
      <c r="B53" s="191">
        <f t="shared" ref="B53" si="10">$I$5</f>
        <v>622</v>
      </c>
      <c r="C53" s="422" t="str">
        <f t="shared" ref="C53" si="11">$A$5</f>
        <v>DE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ref="M53:M76" si="12">K53*B53</f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140</v>
      </c>
      <c r="Z53" s="231"/>
      <c r="AA53" s="232"/>
      <c r="AB53" s="439"/>
    </row>
    <row r="54" spans="1:32" s="206" customFormat="1" ht="69.95" customHeight="1" x14ac:dyDescent="0.15">
      <c r="A54" s="559"/>
      <c r="B54" s="204">
        <f>$I$6</f>
        <v>623</v>
      </c>
      <c r="C54" s="453" t="str">
        <f>$A$6</f>
        <v>BK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2"/>
        <v>0</v>
      </c>
      <c r="N54" s="233"/>
      <c r="O54" s="195"/>
      <c r="P54" s="194" t="s">
        <v>65</v>
      </c>
      <c r="Q54" s="561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562"/>
      <c r="Z54" s="201"/>
      <c r="AA54" s="202"/>
      <c r="AB54" s="558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91">
        <f>$I$7</f>
        <v>0</v>
      </c>
      <c r="C55" s="465">
        <f>$A$7</f>
        <v>0</v>
      </c>
      <c r="D55" s="465"/>
      <c r="E55" s="465"/>
      <c r="F55" s="425"/>
      <c r="G55" s="423"/>
      <c r="H55" s="424"/>
      <c r="I55" s="207"/>
      <c r="J55" s="192"/>
      <c r="K55" s="193"/>
      <c r="L55" s="194" t="s">
        <v>65</v>
      </c>
      <c r="M55" s="195">
        <f t="shared" si="12"/>
        <v>0</v>
      </c>
      <c r="N55" s="233"/>
      <c r="O55" s="195"/>
      <c r="P55" s="194" t="s">
        <v>65</v>
      </c>
      <c r="Q55" s="436"/>
      <c r="R55" s="195"/>
      <c r="S55" s="194" t="s">
        <v>65</v>
      </c>
      <c r="T55" s="198">
        <f t="shared" si="3"/>
        <v>0</v>
      </c>
      <c r="U55" s="199"/>
      <c r="V55" s="200"/>
      <c r="W55" s="195"/>
      <c r="X55" s="195"/>
      <c r="Y55" s="438"/>
      <c r="Z55" s="201"/>
      <c r="AA55" s="202"/>
      <c r="AB55" s="440"/>
      <c r="AC55" s="234"/>
      <c r="AD55" s="230"/>
      <c r="AE55" s="230"/>
      <c r="AF55" s="230"/>
    </row>
    <row r="56" spans="1:32" s="55" customFormat="1" ht="69.95" customHeight="1" x14ac:dyDescent="0.15">
      <c r="A56" s="431" t="s">
        <v>100</v>
      </c>
      <c r="B56" s="182">
        <f t="shared" ref="B56:B62" si="13">$I$5</f>
        <v>622</v>
      </c>
      <c r="C56" s="368" t="str">
        <f t="shared" ref="C56:C62" si="14">$A$5</f>
        <v>DE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622</v>
      </c>
      <c r="N56" s="79"/>
      <c r="O56" s="78"/>
      <c r="P56" s="80" t="s">
        <v>63</v>
      </c>
      <c r="Q56" s="443">
        <v>46101</v>
      </c>
      <c r="R56" s="78">
        <v>641</v>
      </c>
      <c r="S56" s="80" t="s">
        <v>63</v>
      </c>
      <c r="T56" s="84">
        <f t="shared" si="3"/>
        <v>19</v>
      </c>
      <c r="U56" s="82"/>
      <c r="V56" s="82"/>
      <c r="W56" s="83"/>
      <c r="X56" s="81"/>
      <c r="Y56" s="445" t="s">
        <v>94</v>
      </c>
      <c r="Z56" s="86"/>
      <c r="AA56" s="85"/>
      <c r="AB56" s="360" t="s">
        <v>316</v>
      </c>
    </row>
    <row r="57" spans="1:32" s="55" customFormat="1" ht="69.95" customHeight="1" x14ac:dyDescent="0.15">
      <c r="A57" s="559"/>
      <c r="B57" s="186">
        <f>$I$6</f>
        <v>623</v>
      </c>
      <c r="C57" s="395" t="str">
        <f>$A$6</f>
        <v>BK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623</v>
      </c>
      <c r="N57" s="140"/>
      <c r="O57" s="78"/>
      <c r="P57" s="80" t="s">
        <v>63</v>
      </c>
      <c r="Q57" s="447"/>
      <c r="R57" s="78">
        <v>623</v>
      </c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461">
        <f>$A$7</f>
        <v>0</v>
      </c>
      <c r="D58" s="461"/>
      <c r="E58" s="461"/>
      <c r="F58" s="428"/>
      <c r="G58" s="369"/>
      <c r="H58" s="370"/>
      <c r="I58" s="442"/>
      <c r="J58" s="76"/>
      <c r="K58" s="139"/>
      <c r="L58" s="77" t="s">
        <v>63</v>
      </c>
      <c r="M58" s="78">
        <f t="shared" si="12"/>
        <v>0</v>
      </c>
      <c r="N58" s="140"/>
      <c r="O58" s="78"/>
      <c r="P58" s="80" t="s">
        <v>63</v>
      </c>
      <c r="Q58" s="447"/>
      <c r="R58" s="78"/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103</v>
      </c>
      <c r="B59" s="182">
        <f t="shared" ref="B59" si="15">$I$5</f>
        <v>622</v>
      </c>
      <c r="C59" s="368" t="str">
        <f t="shared" ref="C59" si="16">$A$5</f>
        <v>DE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622</v>
      </c>
      <c r="N59" s="79"/>
      <c r="O59" s="78"/>
      <c r="P59" s="80" t="s">
        <v>65</v>
      </c>
      <c r="Q59" s="447"/>
      <c r="R59" s="78">
        <v>641</v>
      </c>
      <c r="S59" s="80" t="s">
        <v>65</v>
      </c>
      <c r="T59" s="84">
        <f t="shared" si="3"/>
        <v>19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623</v>
      </c>
      <c r="C60" s="368" t="str">
        <f>$A$6</f>
        <v>BK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623</v>
      </c>
      <c r="N60" s="140"/>
      <c r="O60" s="78"/>
      <c r="P60" s="80" t="s">
        <v>65</v>
      </c>
      <c r="Q60" s="447"/>
      <c r="R60" s="78">
        <v>623</v>
      </c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368">
        <f>$A$7</f>
        <v>0</v>
      </c>
      <c r="D61" s="369"/>
      <c r="E61" s="370"/>
      <c r="F61" s="428"/>
      <c r="G61" s="429"/>
      <c r="H61" s="430"/>
      <c r="I61" s="75"/>
      <c r="J61" s="76"/>
      <c r="K61" s="139"/>
      <c r="L61" s="77" t="s">
        <v>65</v>
      </c>
      <c r="M61" s="78">
        <f t="shared" si="12"/>
        <v>0</v>
      </c>
      <c r="N61" s="140"/>
      <c r="O61" s="78"/>
      <c r="P61" s="80" t="s">
        <v>65</v>
      </c>
      <c r="Q61" s="444"/>
      <c r="R61" s="78"/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90</v>
      </c>
      <c r="B62" s="191">
        <f t="shared" si="13"/>
        <v>622</v>
      </c>
      <c r="C62" s="422" t="str">
        <f t="shared" si="14"/>
        <v>DE</v>
      </c>
      <c r="D62" s="423"/>
      <c r="E62" s="424"/>
      <c r="F62" s="425"/>
      <c r="G62" s="426"/>
      <c r="H62" s="427"/>
      <c r="I62" s="207" t="s">
        <v>79</v>
      </c>
      <c r="J62" s="192"/>
      <c r="K62" s="193"/>
      <c r="L62" s="194" t="s">
        <v>63</v>
      </c>
      <c r="M62" s="195">
        <f t="shared" si="12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</row>
    <row r="63" spans="1:32" s="55" customFormat="1" ht="69.95" customHeight="1" x14ac:dyDescent="0.15">
      <c r="A63" s="559"/>
      <c r="B63" s="204">
        <f>$I$6</f>
        <v>623</v>
      </c>
      <c r="C63" s="422" t="str">
        <f>$A$6</f>
        <v>BK</v>
      </c>
      <c r="D63" s="423"/>
      <c r="E63" s="424"/>
      <c r="F63" s="425"/>
      <c r="G63" s="426"/>
      <c r="H63" s="427"/>
      <c r="I63" s="207" t="s">
        <v>79</v>
      </c>
      <c r="J63" s="192"/>
      <c r="K63" s="193"/>
      <c r="L63" s="194" t="s">
        <v>63</v>
      </c>
      <c r="M63" s="195">
        <f t="shared" si="12"/>
        <v>0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0</v>
      </c>
      <c r="U63" s="199"/>
      <c r="V63" s="200"/>
      <c r="W63" s="195"/>
      <c r="X63" s="195"/>
      <c r="Y63" s="562"/>
      <c r="Z63" s="201"/>
      <c r="AA63" s="202"/>
      <c r="AB63" s="558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91">
        <f>$I$7</f>
        <v>0</v>
      </c>
      <c r="C64" s="465">
        <f>$A$7</f>
        <v>0</v>
      </c>
      <c r="D64" s="465"/>
      <c r="E64" s="465"/>
      <c r="F64" s="425"/>
      <c r="G64" s="426"/>
      <c r="H64" s="427"/>
      <c r="I64" s="207" t="s">
        <v>79</v>
      </c>
      <c r="J64" s="192"/>
      <c r="K64" s="193"/>
      <c r="L64" s="194" t="s">
        <v>63</v>
      </c>
      <c r="M64" s="195">
        <f t="shared" si="12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142"/>
      <c r="AD64" s="179"/>
      <c r="AE64" s="179"/>
      <c r="AF64" s="179"/>
    </row>
    <row r="65" spans="1:32" s="55" customFormat="1" ht="69.95" customHeight="1" x14ac:dyDescent="0.15">
      <c r="A65" s="431" t="s">
        <v>91</v>
      </c>
      <c r="B65" s="182">
        <f t="shared" ref="B65" si="17">$I$5</f>
        <v>622</v>
      </c>
      <c r="C65" s="368" t="str">
        <f t="shared" ref="C65" si="18">$A$5</f>
        <v>DE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622</v>
      </c>
      <c r="N65" s="79"/>
      <c r="O65" s="78"/>
      <c r="P65" s="80" t="s">
        <v>63</v>
      </c>
      <c r="Q65" s="443">
        <v>46101</v>
      </c>
      <c r="R65" s="78">
        <v>641</v>
      </c>
      <c r="S65" s="80" t="s">
        <v>63</v>
      </c>
      <c r="T65" s="84">
        <f t="shared" si="3"/>
        <v>19</v>
      </c>
      <c r="U65" s="82"/>
      <c r="V65" s="82"/>
      <c r="W65" s="83"/>
      <c r="X65" s="81"/>
      <c r="Y65" s="445" t="s">
        <v>64</v>
      </c>
      <c r="Z65" s="86"/>
      <c r="AA65" s="85"/>
      <c r="AB65" s="360" t="s">
        <v>316</v>
      </c>
    </row>
    <row r="66" spans="1:32" s="55" customFormat="1" ht="69.95" customHeight="1" x14ac:dyDescent="0.15">
      <c r="A66" s="559"/>
      <c r="B66" s="186">
        <f>$I$6</f>
        <v>623</v>
      </c>
      <c r="C66" s="368" t="str">
        <f>$A$6</f>
        <v>BK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623</v>
      </c>
      <c r="N66" s="140"/>
      <c r="O66" s="78"/>
      <c r="P66" s="80" t="s">
        <v>63</v>
      </c>
      <c r="Q66" s="447"/>
      <c r="R66" s="78">
        <v>623</v>
      </c>
      <c r="S66" s="80" t="s">
        <v>63</v>
      </c>
      <c r="T66" s="81">
        <f t="shared" si="3"/>
        <v>0</v>
      </c>
      <c r="U66" s="82"/>
      <c r="V66" s="137"/>
      <c r="W66" s="78"/>
      <c r="X66" s="78"/>
      <c r="Y66" s="557"/>
      <c r="Z66" s="141"/>
      <c r="AA66" s="135"/>
      <c r="AB66" s="361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0</v>
      </c>
      <c r="C67" s="456">
        <f>$A$7</f>
        <v>0</v>
      </c>
      <c r="D67" s="456"/>
      <c r="E67" s="456"/>
      <c r="F67" s="428"/>
      <c r="G67" s="429"/>
      <c r="H67" s="430"/>
      <c r="I67" s="442"/>
      <c r="J67" s="76"/>
      <c r="K67" s="139"/>
      <c r="L67" s="77" t="s">
        <v>63</v>
      </c>
      <c r="M67" s="78">
        <f t="shared" si="12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362"/>
      <c r="AC67" s="142"/>
      <c r="AD67" s="179"/>
      <c r="AE67" s="179"/>
      <c r="AF67" s="179"/>
    </row>
    <row r="68" spans="1:32" s="55" customFormat="1" ht="69.95" customHeight="1" x14ac:dyDescent="0.15">
      <c r="A68" s="431" t="s">
        <v>299</v>
      </c>
      <c r="B68" s="182">
        <f t="shared" ref="B68" si="19">$I$5</f>
        <v>622</v>
      </c>
      <c r="C68" s="368" t="str">
        <f t="shared" ref="C68" si="20">$A$5</f>
        <v>DE</v>
      </c>
      <c r="D68" s="369"/>
      <c r="E68" s="370"/>
      <c r="F68" s="428"/>
      <c r="G68" s="429"/>
      <c r="H68" s="430"/>
      <c r="I68" s="441" t="s">
        <v>298</v>
      </c>
      <c r="J68" s="76"/>
      <c r="K68" s="139">
        <v>1</v>
      </c>
      <c r="L68" s="77" t="s">
        <v>63</v>
      </c>
      <c r="M68" s="78">
        <f t="shared" ref="M68:M70" si="21">K68*B68</f>
        <v>622</v>
      </c>
      <c r="N68" s="79"/>
      <c r="O68" s="78"/>
      <c r="P68" s="80" t="s">
        <v>63</v>
      </c>
      <c r="Q68" s="443">
        <v>46101</v>
      </c>
      <c r="R68" s="78">
        <v>641</v>
      </c>
      <c r="S68" s="80" t="s">
        <v>63</v>
      </c>
      <c r="T68" s="84">
        <f t="shared" ref="T68:T70" si="22">R68-M68</f>
        <v>19</v>
      </c>
      <c r="U68" s="82"/>
      <c r="V68" s="82"/>
      <c r="W68" s="83"/>
      <c r="X68" s="81"/>
      <c r="Y68" s="445" t="s">
        <v>64</v>
      </c>
      <c r="Z68" s="86"/>
      <c r="AA68" s="85"/>
      <c r="AB68" s="360" t="s">
        <v>316</v>
      </c>
    </row>
    <row r="69" spans="1:32" s="55" customFormat="1" ht="69.95" customHeight="1" x14ac:dyDescent="0.15">
      <c r="A69" s="559"/>
      <c r="B69" s="186">
        <f>$I$6</f>
        <v>623</v>
      </c>
      <c r="C69" s="368" t="str">
        <f>$A$6</f>
        <v>BK</v>
      </c>
      <c r="D69" s="369"/>
      <c r="E69" s="370"/>
      <c r="F69" s="428"/>
      <c r="G69" s="429"/>
      <c r="H69" s="430"/>
      <c r="I69" s="563"/>
      <c r="J69" s="76"/>
      <c r="K69" s="139">
        <v>1</v>
      </c>
      <c r="L69" s="77" t="s">
        <v>63</v>
      </c>
      <c r="M69" s="78">
        <f t="shared" si="21"/>
        <v>623</v>
      </c>
      <c r="N69" s="140"/>
      <c r="O69" s="78"/>
      <c r="P69" s="80" t="s">
        <v>63</v>
      </c>
      <c r="Q69" s="447"/>
      <c r="R69" s="78">
        <v>623</v>
      </c>
      <c r="S69" s="80" t="s">
        <v>63</v>
      </c>
      <c r="T69" s="81">
        <f t="shared" si="22"/>
        <v>0</v>
      </c>
      <c r="U69" s="82"/>
      <c r="V69" s="137"/>
      <c r="W69" s="78"/>
      <c r="X69" s="78"/>
      <c r="Y69" s="557"/>
      <c r="Z69" s="141"/>
      <c r="AA69" s="135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432"/>
      <c r="B70" s="239">
        <f>$I$7</f>
        <v>0</v>
      </c>
      <c r="C70" s="456">
        <f>$A$7</f>
        <v>0</v>
      </c>
      <c r="D70" s="456"/>
      <c r="E70" s="456"/>
      <c r="F70" s="428"/>
      <c r="G70" s="429"/>
      <c r="H70" s="430"/>
      <c r="I70" s="442"/>
      <c r="J70" s="76"/>
      <c r="K70" s="139"/>
      <c r="L70" s="77" t="s">
        <v>63</v>
      </c>
      <c r="M70" s="78">
        <f t="shared" si="21"/>
        <v>0</v>
      </c>
      <c r="N70" s="140"/>
      <c r="O70" s="78"/>
      <c r="P70" s="80" t="s">
        <v>63</v>
      </c>
      <c r="Q70" s="444"/>
      <c r="R70" s="78"/>
      <c r="S70" s="80" t="s">
        <v>63</v>
      </c>
      <c r="T70" s="81">
        <f t="shared" si="22"/>
        <v>0</v>
      </c>
      <c r="U70" s="82"/>
      <c r="V70" s="137"/>
      <c r="W70" s="78"/>
      <c r="X70" s="78"/>
      <c r="Y70" s="446"/>
      <c r="Z70" s="141"/>
      <c r="AA70" s="135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431" t="s">
        <v>164</v>
      </c>
      <c r="B71" s="191">
        <f t="shared" ref="B71" si="23">$I$5</f>
        <v>622</v>
      </c>
      <c r="C71" s="422" t="str">
        <f t="shared" ref="C71" si="24">$A$5</f>
        <v>DE</v>
      </c>
      <c r="D71" s="423"/>
      <c r="E71" s="424"/>
      <c r="F71" s="425"/>
      <c r="G71" s="426"/>
      <c r="H71" s="427"/>
      <c r="I71" s="433" t="s">
        <v>102</v>
      </c>
      <c r="J71" s="192"/>
      <c r="K71" s="209">
        <v>0.56000000000000005</v>
      </c>
      <c r="L71" s="194" t="s">
        <v>129</v>
      </c>
      <c r="M71" s="195">
        <f t="shared" si="12"/>
        <v>348.32000000000005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-348.32000000000005</v>
      </c>
      <c r="U71" s="199"/>
      <c r="V71" s="199"/>
      <c r="W71" s="208"/>
      <c r="X71" s="198"/>
      <c r="Y71" s="437" t="s">
        <v>130</v>
      </c>
      <c r="Z71" s="231"/>
      <c r="AA71" s="232"/>
      <c r="AB71" s="439"/>
    </row>
    <row r="72" spans="1:32" s="55" customFormat="1" ht="69.95" customHeight="1" x14ac:dyDescent="0.15">
      <c r="A72" s="559"/>
      <c r="B72" s="204">
        <f>$I$6</f>
        <v>623</v>
      </c>
      <c r="C72" s="422" t="str">
        <f>$A$6</f>
        <v>BK</v>
      </c>
      <c r="D72" s="423"/>
      <c r="E72" s="424"/>
      <c r="F72" s="425"/>
      <c r="G72" s="426"/>
      <c r="H72" s="427"/>
      <c r="I72" s="560"/>
      <c r="J72" s="192"/>
      <c r="K72" s="209">
        <v>0.56000000000000005</v>
      </c>
      <c r="L72" s="194" t="s">
        <v>129</v>
      </c>
      <c r="M72" s="195">
        <f t="shared" si="12"/>
        <v>348.88000000000005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-348.88000000000005</v>
      </c>
      <c r="U72" s="199"/>
      <c r="V72" s="200"/>
      <c r="W72" s="195"/>
      <c r="X72" s="195"/>
      <c r="Y72" s="562"/>
      <c r="Z72" s="201"/>
      <c r="AA72" s="202"/>
      <c r="AB72" s="558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91">
        <f>$I$7</f>
        <v>0</v>
      </c>
      <c r="C73" s="465">
        <f>$A$7</f>
        <v>0</v>
      </c>
      <c r="D73" s="465"/>
      <c r="E73" s="465"/>
      <c r="F73" s="425"/>
      <c r="G73" s="426"/>
      <c r="H73" s="427"/>
      <c r="I73" s="434"/>
      <c r="J73" s="192"/>
      <c r="K73" s="209"/>
      <c r="L73" s="194" t="s">
        <v>129</v>
      </c>
      <c r="M73" s="195">
        <f t="shared" si="12"/>
        <v>0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0</v>
      </c>
      <c r="U73" s="199"/>
      <c r="V73" s="200"/>
      <c r="W73" s="195"/>
      <c r="X73" s="195"/>
      <c r="Y73" s="438"/>
      <c r="Z73" s="201"/>
      <c r="AA73" s="202"/>
      <c r="AB73" s="440"/>
      <c r="AC73" s="142"/>
      <c r="AD73" s="179"/>
      <c r="AE73" s="179"/>
      <c r="AF73" s="179"/>
    </row>
    <row r="74" spans="1:32" s="55" customFormat="1" ht="69.95" customHeight="1" x14ac:dyDescent="0.15">
      <c r="A74" s="431" t="s">
        <v>141</v>
      </c>
      <c r="B74" s="191">
        <f t="shared" ref="B74" si="25">$I$5</f>
        <v>622</v>
      </c>
      <c r="C74" s="422" t="str">
        <f t="shared" ref="C74" si="26">$A$5</f>
        <v>DE</v>
      </c>
      <c r="D74" s="423"/>
      <c r="E74" s="424"/>
      <c r="F74" s="425"/>
      <c r="G74" s="426"/>
      <c r="H74" s="427"/>
      <c r="I74" s="433" t="s">
        <v>204</v>
      </c>
      <c r="J74" s="192"/>
      <c r="K74" s="209"/>
      <c r="L74" s="194" t="s">
        <v>129</v>
      </c>
      <c r="M74" s="195">
        <f t="shared" si="12"/>
        <v>0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0</v>
      </c>
      <c r="U74" s="199"/>
      <c r="V74" s="199"/>
      <c r="W74" s="208"/>
      <c r="X74" s="198"/>
      <c r="Y74" s="437" t="s">
        <v>130</v>
      </c>
      <c r="Z74" s="231"/>
      <c r="AA74" s="232"/>
      <c r="AB74" s="439"/>
    </row>
    <row r="75" spans="1:32" s="55" customFormat="1" ht="69.95" customHeight="1" x14ac:dyDescent="0.15">
      <c r="A75" s="559"/>
      <c r="B75" s="204">
        <f>$I$6</f>
        <v>623</v>
      </c>
      <c r="C75" s="422" t="str">
        <f>$A$6</f>
        <v>BK</v>
      </c>
      <c r="D75" s="423"/>
      <c r="E75" s="424"/>
      <c r="F75" s="425"/>
      <c r="G75" s="426"/>
      <c r="H75" s="427"/>
      <c r="I75" s="560"/>
      <c r="J75" s="192"/>
      <c r="K75" s="209"/>
      <c r="L75" s="194" t="s">
        <v>129</v>
      </c>
      <c r="M75" s="195">
        <f t="shared" si="12"/>
        <v>0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0</v>
      </c>
      <c r="U75" s="199"/>
      <c r="V75" s="200"/>
      <c r="W75" s="195"/>
      <c r="X75" s="195"/>
      <c r="Y75" s="562"/>
      <c r="Z75" s="201"/>
      <c r="AA75" s="202"/>
      <c r="AB75" s="558"/>
      <c r="AC75" s="142"/>
      <c r="AD75" s="179"/>
      <c r="AE75" s="179"/>
      <c r="AF75" s="179"/>
    </row>
    <row r="76" spans="1:32" s="55" customFormat="1" ht="69.95" customHeight="1" x14ac:dyDescent="0.15">
      <c r="A76" s="432"/>
      <c r="B76" s="191">
        <f>$I$7</f>
        <v>0</v>
      </c>
      <c r="C76" s="465">
        <f>$A$7</f>
        <v>0</v>
      </c>
      <c r="D76" s="465"/>
      <c r="E76" s="465"/>
      <c r="F76" s="425"/>
      <c r="G76" s="426"/>
      <c r="H76" s="427"/>
      <c r="I76" s="434"/>
      <c r="J76" s="192"/>
      <c r="K76" s="209"/>
      <c r="L76" s="194" t="s">
        <v>129</v>
      </c>
      <c r="M76" s="195">
        <f t="shared" si="12"/>
        <v>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0</v>
      </c>
      <c r="U76" s="199"/>
      <c r="V76" s="200"/>
      <c r="W76" s="195"/>
      <c r="X76" s="195"/>
      <c r="Y76" s="438"/>
      <c r="Z76" s="201"/>
      <c r="AA76" s="202"/>
      <c r="AB76" s="440"/>
      <c r="AC76" s="142"/>
      <c r="AD76" s="179"/>
      <c r="AE76" s="179"/>
      <c r="AF76" s="179"/>
    </row>
    <row r="77" spans="1:32" s="206" customFormat="1" ht="69.95" customHeight="1" x14ac:dyDescent="0.15">
      <c r="A77" s="431" t="s">
        <v>120</v>
      </c>
      <c r="B77" s="191">
        <f t="shared" ref="B77" si="27">$I$5</f>
        <v>622</v>
      </c>
      <c r="C77" s="422" t="str">
        <f t="shared" ref="C77" si="28">$A$5</f>
        <v>DE</v>
      </c>
      <c r="D77" s="423"/>
      <c r="E77" s="424"/>
      <c r="F77" s="425"/>
      <c r="G77" s="426"/>
      <c r="H77" s="427"/>
      <c r="I77" s="433" t="s">
        <v>75</v>
      </c>
      <c r="J77" s="192"/>
      <c r="K77" s="193"/>
      <c r="L77" s="194" t="s">
        <v>63</v>
      </c>
      <c r="M77" s="195">
        <f t="shared" si="4"/>
        <v>0</v>
      </c>
      <c r="N77" s="196"/>
      <c r="O77" s="195"/>
      <c r="P77" s="197" t="s">
        <v>63</v>
      </c>
      <c r="Q77" s="435"/>
      <c r="R77" s="195"/>
      <c r="S77" s="197" t="s">
        <v>63</v>
      </c>
      <c r="T77" s="205">
        <f t="shared" si="3"/>
        <v>0</v>
      </c>
      <c r="U77" s="199"/>
      <c r="V77" s="199"/>
      <c r="W77" s="208"/>
      <c r="X77" s="198"/>
      <c r="Y77" s="437" t="s">
        <v>64</v>
      </c>
      <c r="Z77" s="231"/>
      <c r="AA77" s="232"/>
      <c r="AB77" s="439"/>
    </row>
    <row r="78" spans="1:32" s="206" customFormat="1" ht="69.95" customHeight="1" x14ac:dyDescent="0.15">
      <c r="A78" s="559"/>
      <c r="B78" s="204">
        <f>$I$6</f>
        <v>623</v>
      </c>
      <c r="C78" s="422" t="str">
        <f>$A$6</f>
        <v>BK</v>
      </c>
      <c r="D78" s="423"/>
      <c r="E78" s="424"/>
      <c r="F78" s="425"/>
      <c r="G78" s="426"/>
      <c r="H78" s="427"/>
      <c r="I78" s="560"/>
      <c r="J78" s="192"/>
      <c r="K78" s="193"/>
      <c r="L78" s="194" t="s">
        <v>63</v>
      </c>
      <c r="M78" s="195">
        <f t="shared" si="4"/>
        <v>0</v>
      </c>
      <c r="N78" s="233"/>
      <c r="O78" s="195"/>
      <c r="P78" s="197" t="s">
        <v>63</v>
      </c>
      <c r="Q78" s="561"/>
      <c r="R78" s="195"/>
      <c r="S78" s="197" t="s">
        <v>63</v>
      </c>
      <c r="T78" s="198">
        <f t="shared" si="3"/>
        <v>0</v>
      </c>
      <c r="U78" s="199"/>
      <c r="V78" s="200"/>
      <c r="W78" s="195"/>
      <c r="X78" s="195"/>
      <c r="Y78" s="562"/>
      <c r="Z78" s="201"/>
      <c r="AA78" s="202"/>
      <c r="AB78" s="558"/>
      <c r="AC78" s="234"/>
      <c r="AD78" s="230"/>
      <c r="AE78" s="230"/>
      <c r="AF78" s="230"/>
    </row>
    <row r="79" spans="1:32" s="206" customFormat="1" ht="69.95" customHeight="1" x14ac:dyDescent="0.15">
      <c r="A79" s="432"/>
      <c r="B79" s="191">
        <f>$I$7</f>
        <v>0</v>
      </c>
      <c r="C79" s="465">
        <f>$A$7</f>
        <v>0</v>
      </c>
      <c r="D79" s="465"/>
      <c r="E79" s="465"/>
      <c r="F79" s="425"/>
      <c r="G79" s="426"/>
      <c r="H79" s="427"/>
      <c r="I79" s="434"/>
      <c r="J79" s="192"/>
      <c r="K79" s="193"/>
      <c r="L79" s="194" t="s">
        <v>63</v>
      </c>
      <c r="M79" s="195">
        <f t="shared" si="4"/>
        <v>0</v>
      </c>
      <c r="N79" s="233"/>
      <c r="O79" s="195"/>
      <c r="P79" s="197" t="s">
        <v>63</v>
      </c>
      <c r="Q79" s="436"/>
      <c r="R79" s="195"/>
      <c r="S79" s="197" t="s">
        <v>63</v>
      </c>
      <c r="T79" s="198">
        <f t="shared" si="3"/>
        <v>0</v>
      </c>
      <c r="U79" s="199"/>
      <c r="V79" s="200"/>
      <c r="W79" s="195"/>
      <c r="X79" s="195"/>
      <c r="Y79" s="438"/>
      <c r="Z79" s="201"/>
      <c r="AA79" s="202"/>
      <c r="AB79" s="440"/>
      <c r="AC79" s="234"/>
      <c r="AD79" s="230"/>
      <c r="AE79" s="230"/>
      <c r="AF79" s="230"/>
    </row>
    <row r="80" spans="1:32" s="176" customFormat="1" ht="54.95" customHeight="1" x14ac:dyDescent="0.15">
      <c r="A80" s="386" t="s">
        <v>66</v>
      </c>
      <c r="B80" s="164">
        <f>C11</f>
        <v>533</v>
      </c>
      <c r="C80" s="407" t="e">
        <f>#REF!</f>
        <v>#REF!</v>
      </c>
      <c r="D80" s="408"/>
      <c r="E80" s="409"/>
      <c r="F80" s="371"/>
      <c r="G80" s="372"/>
      <c r="H80" s="373"/>
      <c r="I80" s="276"/>
      <c r="J80" s="255"/>
      <c r="K80" s="263">
        <v>1</v>
      </c>
      <c r="L80" s="168" t="s">
        <v>63</v>
      </c>
      <c r="M80" s="169">
        <f t="shared" si="4"/>
        <v>533</v>
      </c>
      <c r="N80" s="171"/>
      <c r="O80" s="277"/>
      <c r="P80" s="169" t="s">
        <v>63</v>
      </c>
      <c r="Q80" s="376">
        <v>46101</v>
      </c>
      <c r="R80" s="277">
        <v>533</v>
      </c>
      <c r="S80" s="169" t="s">
        <v>63</v>
      </c>
      <c r="T80" s="278">
        <f t="shared" si="3"/>
        <v>0</v>
      </c>
      <c r="U80" s="279"/>
      <c r="V80" s="280"/>
      <c r="W80" s="278"/>
      <c r="X80" s="278"/>
      <c r="Y80" s="374" t="s">
        <v>72</v>
      </c>
      <c r="Z80" s="374"/>
      <c r="AA80" s="374"/>
      <c r="AB80" s="404" t="s">
        <v>316</v>
      </c>
    </row>
    <row r="81" spans="1:28" s="176" customFormat="1" ht="54.95" customHeight="1" x14ac:dyDescent="0.15">
      <c r="A81" s="387"/>
      <c r="B81" s="164">
        <f>D11</f>
        <v>557</v>
      </c>
      <c r="C81" s="410"/>
      <c r="D81" s="411"/>
      <c r="E81" s="412"/>
      <c r="F81" s="371"/>
      <c r="G81" s="372"/>
      <c r="H81" s="373"/>
      <c r="I81" s="276"/>
      <c r="J81" s="255"/>
      <c r="K81" s="167">
        <v>1</v>
      </c>
      <c r="L81" s="168" t="s">
        <v>63</v>
      </c>
      <c r="M81" s="169">
        <f t="shared" si="4"/>
        <v>557</v>
      </c>
      <c r="N81" s="171"/>
      <c r="O81" s="277"/>
      <c r="P81" s="169" t="s">
        <v>63</v>
      </c>
      <c r="Q81" s="377"/>
      <c r="R81" s="277">
        <v>557</v>
      </c>
      <c r="S81" s="169" t="s">
        <v>63</v>
      </c>
      <c r="T81" s="278">
        <f t="shared" si="3"/>
        <v>0</v>
      </c>
      <c r="U81" s="279"/>
      <c r="V81" s="280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387"/>
      <c r="B82" s="164">
        <f>E11</f>
        <v>155</v>
      </c>
      <c r="C82" s="410"/>
      <c r="D82" s="411"/>
      <c r="E82" s="412"/>
      <c r="F82" s="371"/>
      <c r="G82" s="372"/>
      <c r="H82" s="373"/>
      <c r="I82" s="276"/>
      <c r="J82" s="255"/>
      <c r="K82" s="167">
        <v>1</v>
      </c>
      <c r="L82" s="168" t="s">
        <v>63</v>
      </c>
      <c r="M82" s="169">
        <f t="shared" si="4"/>
        <v>155</v>
      </c>
      <c r="N82" s="171"/>
      <c r="O82" s="277"/>
      <c r="P82" s="169" t="s">
        <v>63</v>
      </c>
      <c r="Q82" s="377"/>
      <c r="R82" s="277">
        <v>155</v>
      </c>
      <c r="S82" s="169" t="s">
        <v>63</v>
      </c>
      <c r="T82" s="278">
        <f t="shared" si="3"/>
        <v>0</v>
      </c>
      <c r="U82" s="279"/>
      <c r="V82" s="280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387"/>
      <c r="B83" s="164">
        <f>F11</f>
        <v>0</v>
      </c>
      <c r="C83" s="410"/>
      <c r="D83" s="411"/>
      <c r="E83" s="412"/>
      <c r="F83" s="371"/>
      <c r="G83" s="372"/>
      <c r="H83" s="373"/>
      <c r="I83" s="276"/>
      <c r="J83" s="255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7"/>
      <c r="R83" s="277"/>
      <c r="S83" s="169" t="s">
        <v>63</v>
      </c>
      <c r="T83" s="278">
        <f t="shared" si="3"/>
        <v>0</v>
      </c>
      <c r="U83" s="279"/>
      <c r="V83" s="280"/>
      <c r="W83" s="278"/>
      <c r="X83" s="278"/>
      <c r="Y83" s="375"/>
      <c r="Z83" s="375"/>
      <c r="AA83" s="375"/>
      <c r="AB83" s="405"/>
    </row>
    <row r="84" spans="1:28" s="176" customFormat="1" ht="54.95" customHeight="1" x14ac:dyDescent="0.15">
      <c r="A84" s="388"/>
      <c r="B84" s="164">
        <f>G11</f>
        <v>0</v>
      </c>
      <c r="C84" s="413"/>
      <c r="D84" s="414"/>
      <c r="E84" s="415"/>
      <c r="F84" s="371"/>
      <c r="G84" s="372"/>
      <c r="H84" s="373"/>
      <c r="I84" s="276"/>
      <c r="J84" s="255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8"/>
      <c r="R84" s="277"/>
      <c r="S84" s="169" t="s">
        <v>63</v>
      </c>
      <c r="T84" s="278">
        <f t="shared" si="3"/>
        <v>0</v>
      </c>
      <c r="U84" s="279"/>
      <c r="V84" s="280"/>
      <c r="W84" s="278"/>
      <c r="X84" s="278"/>
      <c r="Y84" s="379"/>
      <c r="Z84" s="379"/>
      <c r="AA84" s="379"/>
      <c r="AB84" s="406"/>
    </row>
    <row r="85" spans="1:28" s="176" customFormat="1" ht="54.95" customHeight="1" x14ac:dyDescent="0.15">
      <c r="A85" s="386" t="s">
        <v>68</v>
      </c>
      <c r="B85" s="164">
        <f>C5+C8</f>
        <v>270</v>
      </c>
      <c r="C85" s="456" t="str">
        <f>A5</f>
        <v>DE</v>
      </c>
      <c r="D85" s="456"/>
      <c r="E85" s="456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270</v>
      </c>
      <c r="N85" s="171"/>
      <c r="O85" s="277"/>
      <c r="P85" s="169" t="s">
        <v>63</v>
      </c>
      <c r="Q85" s="376">
        <v>46101</v>
      </c>
      <c r="R85" s="277">
        <v>270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4" t="s">
        <v>72</v>
      </c>
      <c r="Z85" s="374"/>
      <c r="AA85" s="374"/>
      <c r="AB85" s="586" t="s">
        <v>317</v>
      </c>
    </row>
    <row r="86" spans="1:28" s="176" customFormat="1" ht="54.95" customHeight="1" x14ac:dyDescent="0.15">
      <c r="A86" s="387"/>
      <c r="B86" s="164">
        <f>D5+D8</f>
        <v>277</v>
      </c>
      <c r="C86" s="456"/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277</v>
      </c>
      <c r="N86" s="171"/>
      <c r="O86" s="277"/>
      <c r="P86" s="169" t="s">
        <v>63</v>
      </c>
      <c r="Q86" s="377"/>
      <c r="R86" s="277">
        <v>277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E5+E8</f>
        <v>75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75</v>
      </c>
      <c r="N87" s="171"/>
      <c r="O87" s="277"/>
      <c r="P87" s="169" t="s">
        <v>63</v>
      </c>
      <c r="Q87" s="377"/>
      <c r="R87" s="277">
        <v>75</v>
      </c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C6+C9</f>
        <v>263</v>
      </c>
      <c r="C88" s="456" t="str">
        <f>A6</f>
        <v>BK</v>
      </c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263</v>
      </c>
      <c r="N88" s="171"/>
      <c r="O88" s="277"/>
      <c r="P88" s="169" t="s">
        <v>63</v>
      </c>
      <c r="Q88" s="377"/>
      <c r="R88" s="168">
        <v>263</v>
      </c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D6+D9</f>
        <v>280</v>
      </c>
      <c r="C89" s="456"/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ref="M89:M109" si="29">K89*B89</f>
        <v>280</v>
      </c>
      <c r="N89" s="171"/>
      <c r="O89" s="277"/>
      <c r="P89" s="169" t="s">
        <v>63</v>
      </c>
      <c r="Q89" s="377"/>
      <c r="R89" s="168">
        <v>280</v>
      </c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7"/>
      <c r="B90" s="164">
        <f>E6+E9</f>
        <v>80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29"/>
        <v>80</v>
      </c>
      <c r="N90" s="171"/>
      <c r="O90" s="277"/>
      <c r="P90" s="169" t="s">
        <v>63</v>
      </c>
      <c r="Q90" s="377"/>
      <c r="R90" s="277">
        <v>80</v>
      </c>
      <c r="S90" s="169" t="s">
        <v>63</v>
      </c>
      <c r="T90" s="278">
        <f>R90-M90</f>
        <v>0</v>
      </c>
      <c r="U90" s="281"/>
      <c r="V90" s="282"/>
      <c r="W90" s="278"/>
      <c r="X90" s="278"/>
      <c r="Y90" s="375"/>
      <c r="Z90" s="375"/>
      <c r="AA90" s="375"/>
      <c r="AB90" s="587"/>
    </row>
    <row r="91" spans="1:28" s="176" customFormat="1" ht="54.95" customHeight="1" x14ac:dyDescent="0.15">
      <c r="A91" s="387"/>
      <c r="B91" s="164">
        <f>C7+C10</f>
        <v>0</v>
      </c>
      <c r="C91" s="456">
        <f>A7</f>
        <v>0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9"/>
        <v>0</v>
      </c>
      <c r="N91" s="171"/>
      <c r="O91" s="277"/>
      <c r="P91" s="169" t="s">
        <v>63</v>
      </c>
      <c r="Q91" s="377"/>
      <c r="R91" s="277"/>
      <c r="S91" s="169" t="s">
        <v>63</v>
      </c>
      <c r="T91" s="278">
        <f>R91-M91</f>
        <v>0</v>
      </c>
      <c r="U91" s="281"/>
      <c r="V91" s="282"/>
      <c r="W91" s="278"/>
      <c r="X91" s="278"/>
      <c r="Y91" s="375"/>
      <c r="Z91" s="375"/>
      <c r="AA91" s="375"/>
      <c r="AB91" s="587"/>
    </row>
    <row r="92" spans="1:28" s="176" customFormat="1" ht="54.95" customHeight="1" x14ac:dyDescent="0.15">
      <c r="A92" s="387"/>
      <c r="B92" s="164">
        <f>D7+D10</f>
        <v>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9"/>
        <v>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>R92-M92</f>
        <v>0</v>
      </c>
      <c r="U92" s="281"/>
      <c r="V92" s="282"/>
      <c r="W92" s="278"/>
      <c r="X92" s="278"/>
      <c r="Y92" s="375"/>
      <c r="Z92" s="375"/>
      <c r="AA92" s="375"/>
      <c r="AB92" s="587"/>
    </row>
    <row r="93" spans="1:28" s="176" customFormat="1" ht="54.95" customHeight="1" x14ac:dyDescent="0.15">
      <c r="A93" s="388"/>
      <c r="B93" s="164">
        <f>E7+E10</f>
        <v>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9"/>
        <v>0</v>
      </c>
      <c r="N93" s="171"/>
      <c r="O93" s="277"/>
      <c r="P93" s="169" t="s">
        <v>63</v>
      </c>
      <c r="Q93" s="378"/>
      <c r="R93" s="168"/>
      <c r="S93" s="169" t="s">
        <v>63</v>
      </c>
      <c r="T93" s="278">
        <f>R93-M93</f>
        <v>0</v>
      </c>
      <c r="U93" s="281"/>
      <c r="V93" s="282"/>
      <c r="W93" s="278"/>
      <c r="X93" s="278"/>
      <c r="Y93" s="379"/>
      <c r="Z93" s="379"/>
      <c r="AA93" s="379"/>
      <c r="AB93" s="588"/>
    </row>
    <row r="94" spans="1:28" s="176" customFormat="1" ht="54.95" customHeight="1" x14ac:dyDescent="0.15">
      <c r="A94" s="386" t="s">
        <v>158</v>
      </c>
      <c r="B94" s="164">
        <f>C5</f>
        <v>270</v>
      </c>
      <c r="C94" s="456" t="str">
        <f>A5</f>
        <v>DE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9"/>
        <v>270</v>
      </c>
      <c r="N94" s="171"/>
      <c r="O94" s="277"/>
      <c r="P94" s="169" t="s">
        <v>63</v>
      </c>
      <c r="Q94" s="376">
        <v>46154</v>
      </c>
      <c r="R94" s="277">
        <v>270</v>
      </c>
      <c r="S94" s="169" t="s">
        <v>63</v>
      </c>
      <c r="T94" s="278">
        <f t="shared" si="3"/>
        <v>0</v>
      </c>
      <c r="U94" s="281"/>
      <c r="V94" s="282"/>
      <c r="W94" s="278"/>
      <c r="X94" s="278"/>
      <c r="Y94" s="374" t="s">
        <v>67</v>
      </c>
      <c r="Z94" s="374"/>
      <c r="AA94" s="374"/>
      <c r="AB94" s="404" t="s">
        <v>335</v>
      </c>
    </row>
    <row r="95" spans="1:28" s="176" customFormat="1" ht="54.95" customHeight="1" x14ac:dyDescent="0.15">
      <c r="A95" s="387"/>
      <c r="B95" s="164">
        <f>D5</f>
        <v>277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9"/>
        <v>277</v>
      </c>
      <c r="N95" s="171"/>
      <c r="O95" s="277"/>
      <c r="P95" s="169" t="s">
        <v>63</v>
      </c>
      <c r="Q95" s="377"/>
      <c r="R95" s="277">
        <v>277</v>
      </c>
      <c r="S95" s="169" t="s">
        <v>63</v>
      </c>
      <c r="T95" s="278">
        <f t="shared" si="3"/>
        <v>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E5</f>
        <v>75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9"/>
        <v>75</v>
      </c>
      <c r="N96" s="171"/>
      <c r="O96" s="277"/>
      <c r="P96" s="169" t="s">
        <v>63</v>
      </c>
      <c r="Q96" s="377"/>
      <c r="R96" s="277">
        <v>75</v>
      </c>
      <c r="S96" s="169" t="s">
        <v>63</v>
      </c>
      <c r="T96" s="278">
        <f t="shared" si="3"/>
        <v>0</v>
      </c>
      <c r="U96" s="281"/>
      <c r="V96" s="282"/>
      <c r="W96" s="278"/>
      <c r="X96" s="278"/>
      <c r="Y96" s="375"/>
      <c r="Z96" s="375"/>
      <c r="AA96" s="375"/>
      <c r="AB96" s="405"/>
    </row>
    <row r="97" spans="1:28" s="176" customFormat="1" ht="54.95" customHeight="1" x14ac:dyDescent="0.15">
      <c r="A97" s="387"/>
      <c r="B97" s="164">
        <f>C6</f>
        <v>263</v>
      </c>
      <c r="C97" s="456" t="str">
        <f>A6</f>
        <v>BK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9"/>
        <v>263</v>
      </c>
      <c r="N97" s="171"/>
      <c r="O97" s="277"/>
      <c r="P97" s="169" t="s">
        <v>63</v>
      </c>
      <c r="Q97" s="377"/>
      <c r="R97" s="168">
        <v>263</v>
      </c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D6</f>
        <v>280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9"/>
        <v>280</v>
      </c>
      <c r="N98" s="171"/>
      <c r="O98" s="277"/>
      <c r="P98" s="169" t="s">
        <v>63</v>
      </c>
      <c r="Q98" s="377"/>
      <c r="R98" s="168">
        <v>280</v>
      </c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E6</f>
        <v>80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9"/>
        <v>80</v>
      </c>
      <c r="N99" s="171"/>
      <c r="O99" s="277"/>
      <c r="P99" s="169" t="s">
        <v>63</v>
      </c>
      <c r="Q99" s="377"/>
      <c r="R99" s="277">
        <v>80</v>
      </c>
      <c r="S99" s="169" t="s">
        <v>63</v>
      </c>
      <c r="T99" s="278">
        <f t="shared" si="3"/>
        <v>0</v>
      </c>
      <c r="U99" s="281"/>
      <c r="V99" s="282"/>
      <c r="W99" s="278"/>
      <c r="X99" s="278"/>
      <c r="Y99" s="374" t="s">
        <v>67</v>
      </c>
      <c r="Z99" s="374"/>
      <c r="AA99" s="374"/>
      <c r="AB99" s="405"/>
    </row>
    <row r="100" spans="1:28" s="176" customFormat="1" ht="54.95" customHeight="1" x14ac:dyDescent="0.15">
      <c r="A100" s="387"/>
      <c r="B100" s="164">
        <f>C7</f>
        <v>0</v>
      </c>
      <c r="C100" s="456">
        <f>A7</f>
        <v>0</v>
      </c>
      <c r="D100" s="456"/>
      <c r="E100" s="456"/>
      <c r="F100" s="371"/>
      <c r="G100" s="372"/>
      <c r="H100" s="373"/>
      <c r="I100" s="276"/>
      <c r="J100" s="276"/>
      <c r="K100" s="167">
        <v>1</v>
      </c>
      <c r="L100" s="168" t="s">
        <v>63</v>
      </c>
      <c r="M100" s="169">
        <f t="shared" si="29"/>
        <v>0</v>
      </c>
      <c r="N100" s="171"/>
      <c r="O100" s="277"/>
      <c r="P100" s="169" t="s">
        <v>63</v>
      </c>
      <c r="Q100" s="377"/>
      <c r="R100" s="277"/>
      <c r="S100" s="169" t="s">
        <v>63</v>
      </c>
      <c r="T100" s="278">
        <f t="shared" si="3"/>
        <v>0</v>
      </c>
      <c r="U100" s="281"/>
      <c r="V100" s="282"/>
      <c r="W100" s="278"/>
      <c r="X100" s="278"/>
      <c r="Y100" s="375"/>
      <c r="Z100" s="375"/>
      <c r="AA100" s="375"/>
      <c r="AB100" s="405"/>
    </row>
    <row r="101" spans="1:28" s="176" customFormat="1" ht="54.95" customHeight="1" x14ac:dyDescent="0.15">
      <c r="A101" s="387"/>
      <c r="B101" s="164">
        <f>D7</f>
        <v>0</v>
      </c>
      <c r="C101" s="456"/>
      <c r="D101" s="456"/>
      <c r="E101" s="456"/>
      <c r="F101" s="371"/>
      <c r="G101" s="372"/>
      <c r="H101" s="373"/>
      <c r="I101" s="276"/>
      <c r="J101" s="276"/>
      <c r="K101" s="167">
        <v>1</v>
      </c>
      <c r="L101" s="168" t="s">
        <v>63</v>
      </c>
      <c r="M101" s="169">
        <f t="shared" si="29"/>
        <v>0</v>
      </c>
      <c r="N101" s="171"/>
      <c r="O101" s="277"/>
      <c r="P101" s="169" t="s">
        <v>63</v>
      </c>
      <c r="Q101" s="377"/>
      <c r="R101" s="277"/>
      <c r="S101" s="169" t="s">
        <v>63</v>
      </c>
      <c r="T101" s="278">
        <f t="shared" si="3"/>
        <v>0</v>
      </c>
      <c r="U101" s="281"/>
      <c r="V101" s="282"/>
      <c r="W101" s="278"/>
      <c r="X101" s="278"/>
      <c r="Y101" s="375"/>
      <c r="Z101" s="375"/>
      <c r="AA101" s="375"/>
      <c r="AB101" s="405"/>
    </row>
    <row r="102" spans="1:28" s="176" customFormat="1" ht="54.95" customHeight="1" x14ac:dyDescent="0.15">
      <c r="A102" s="387"/>
      <c r="B102" s="164">
        <f>E7</f>
        <v>0</v>
      </c>
      <c r="C102" s="456"/>
      <c r="D102" s="456"/>
      <c r="E102" s="456"/>
      <c r="F102" s="371"/>
      <c r="G102" s="372"/>
      <c r="H102" s="373"/>
      <c r="I102" s="276"/>
      <c r="J102" s="276"/>
      <c r="K102" s="167">
        <v>1</v>
      </c>
      <c r="L102" s="168" t="s">
        <v>63</v>
      </c>
      <c r="M102" s="169">
        <f t="shared" si="29"/>
        <v>0</v>
      </c>
      <c r="N102" s="171"/>
      <c r="O102" s="277"/>
      <c r="P102" s="169" t="s">
        <v>63</v>
      </c>
      <c r="Q102" s="378"/>
      <c r="R102" s="168"/>
      <c r="S102" s="169" t="s">
        <v>63</v>
      </c>
      <c r="T102" s="278">
        <f t="shared" si="3"/>
        <v>0</v>
      </c>
      <c r="U102" s="281"/>
      <c r="V102" s="282"/>
      <c r="W102" s="278"/>
      <c r="X102" s="278"/>
      <c r="Y102" s="375"/>
      <c r="Z102" s="375"/>
      <c r="AA102" s="375"/>
      <c r="AB102" s="405"/>
    </row>
    <row r="103" spans="1:28" s="55" customFormat="1" ht="54.95" customHeight="1" x14ac:dyDescent="0.15">
      <c r="A103" s="386" t="s">
        <v>159</v>
      </c>
      <c r="B103" s="87">
        <f>C11</f>
        <v>533</v>
      </c>
      <c r="C103" s="389" t="s">
        <v>71</v>
      </c>
      <c r="D103" s="390"/>
      <c r="E103" s="391"/>
      <c r="F103" s="368"/>
      <c r="G103" s="369"/>
      <c r="H103" s="370"/>
      <c r="I103" s="152"/>
      <c r="J103" s="90"/>
      <c r="K103" s="156">
        <v>1</v>
      </c>
      <c r="L103" s="77" t="s">
        <v>63</v>
      </c>
      <c r="M103" s="88">
        <f t="shared" si="29"/>
        <v>533</v>
      </c>
      <c r="N103" s="89"/>
      <c r="O103" s="153"/>
      <c r="P103" s="88" t="s">
        <v>63</v>
      </c>
      <c r="Q103" s="398">
        <v>46101</v>
      </c>
      <c r="R103" s="93">
        <v>533</v>
      </c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1" t="s">
        <v>94</v>
      </c>
      <c r="Z103" s="416"/>
      <c r="AA103" s="416"/>
      <c r="AB103" s="419"/>
    </row>
    <row r="104" spans="1:28" s="55" customFormat="1" ht="54.95" customHeight="1" x14ac:dyDescent="0.15">
      <c r="A104" s="387"/>
      <c r="B104" s="87">
        <f>D11</f>
        <v>557</v>
      </c>
      <c r="C104" s="392"/>
      <c r="D104" s="393"/>
      <c r="E104" s="394"/>
      <c r="F104" s="368"/>
      <c r="G104" s="369"/>
      <c r="H104" s="370"/>
      <c r="I104" s="152"/>
      <c r="J104" s="90"/>
      <c r="K104" s="156">
        <v>1</v>
      </c>
      <c r="L104" s="77" t="s">
        <v>63</v>
      </c>
      <c r="M104" s="88">
        <f t="shared" si="29"/>
        <v>557</v>
      </c>
      <c r="N104" s="89"/>
      <c r="O104" s="153"/>
      <c r="P104" s="88" t="s">
        <v>63</v>
      </c>
      <c r="Q104" s="399"/>
      <c r="R104" s="93">
        <v>557</v>
      </c>
      <c r="S104" s="88" t="s">
        <v>63</v>
      </c>
      <c r="T104" s="154">
        <f t="shared" si="3"/>
        <v>0</v>
      </c>
      <c r="U104" s="91"/>
      <c r="V104" s="159"/>
      <c r="W104" s="159"/>
      <c r="X104" s="159"/>
      <c r="Y104" s="402"/>
      <c r="Z104" s="417"/>
      <c r="AA104" s="417"/>
      <c r="AB104" s="420"/>
    </row>
    <row r="105" spans="1:28" s="55" customFormat="1" ht="54.95" customHeight="1" x14ac:dyDescent="0.15">
      <c r="A105" s="387"/>
      <c r="B105" s="87">
        <f>E11</f>
        <v>155</v>
      </c>
      <c r="C105" s="392"/>
      <c r="D105" s="393"/>
      <c r="E105" s="394"/>
      <c r="F105" s="368"/>
      <c r="G105" s="369"/>
      <c r="H105" s="370"/>
      <c r="I105" s="152"/>
      <c r="J105" s="90"/>
      <c r="K105" s="156">
        <v>1</v>
      </c>
      <c r="L105" s="77" t="s">
        <v>63</v>
      </c>
      <c r="M105" s="88">
        <f t="shared" si="29"/>
        <v>155</v>
      </c>
      <c r="N105" s="89"/>
      <c r="O105" s="153"/>
      <c r="P105" s="88" t="s">
        <v>63</v>
      </c>
      <c r="Q105" s="399"/>
      <c r="R105" s="93">
        <v>155</v>
      </c>
      <c r="S105" s="88" t="s">
        <v>63</v>
      </c>
      <c r="T105" s="154">
        <f t="shared" si="3"/>
        <v>0</v>
      </c>
      <c r="U105" s="91"/>
      <c r="V105" s="159"/>
      <c r="W105" s="159"/>
      <c r="X105" s="159"/>
      <c r="Y105" s="402"/>
      <c r="Z105" s="417"/>
      <c r="AA105" s="417"/>
      <c r="AB105" s="420"/>
    </row>
    <row r="106" spans="1:28" s="55" customFormat="1" ht="54.95" customHeight="1" x14ac:dyDescent="0.15">
      <c r="A106" s="388"/>
      <c r="B106" s="87">
        <f>F11</f>
        <v>0</v>
      </c>
      <c r="C106" s="395"/>
      <c r="D106" s="396"/>
      <c r="E106" s="397"/>
      <c r="F106" s="368"/>
      <c r="G106" s="369"/>
      <c r="H106" s="370"/>
      <c r="I106" s="152"/>
      <c r="J106" s="90"/>
      <c r="K106" s="156"/>
      <c r="L106" s="77" t="s">
        <v>63</v>
      </c>
      <c r="M106" s="88">
        <f t="shared" si="29"/>
        <v>0</v>
      </c>
      <c r="N106" s="89"/>
      <c r="O106" s="153"/>
      <c r="P106" s="88" t="s">
        <v>63</v>
      </c>
      <c r="Q106" s="400"/>
      <c r="R106" s="162"/>
      <c r="S106" s="88" t="s">
        <v>63</v>
      </c>
      <c r="T106" s="154">
        <f t="shared" si="3"/>
        <v>0</v>
      </c>
      <c r="U106" s="91"/>
      <c r="V106" s="159"/>
      <c r="W106" s="159"/>
      <c r="X106" s="159"/>
      <c r="Y106" s="403"/>
      <c r="Z106" s="418"/>
      <c r="AA106" s="418"/>
      <c r="AB106" s="421"/>
    </row>
    <row r="107" spans="1:28" s="176" customFormat="1" ht="54.95" customHeight="1" x14ac:dyDescent="0.15">
      <c r="A107" s="163" t="s">
        <v>73</v>
      </c>
      <c r="B107" s="164">
        <f>I11</f>
        <v>1245</v>
      </c>
      <c r="C107" s="371" t="s">
        <v>71</v>
      </c>
      <c r="D107" s="372"/>
      <c r="E107" s="373"/>
      <c r="F107" s="371"/>
      <c r="G107" s="372"/>
      <c r="H107" s="373"/>
      <c r="I107" s="165"/>
      <c r="J107" s="166"/>
      <c r="K107" s="167">
        <v>1</v>
      </c>
      <c r="L107" s="168" t="s">
        <v>63</v>
      </c>
      <c r="M107" s="88">
        <f t="shared" si="29"/>
        <v>1245</v>
      </c>
      <c r="N107" s="170"/>
      <c r="O107" s="170"/>
      <c r="P107" s="169" t="s">
        <v>63</v>
      </c>
      <c r="Q107" s="363">
        <v>46101</v>
      </c>
      <c r="R107" s="165">
        <v>1245</v>
      </c>
      <c r="S107" s="169" t="s">
        <v>63</v>
      </c>
      <c r="T107" s="154">
        <f t="shared" si="3"/>
        <v>0</v>
      </c>
      <c r="U107" s="170"/>
      <c r="V107" s="172"/>
      <c r="W107" s="172"/>
      <c r="X107" s="172"/>
      <c r="Y107" s="374" t="s">
        <v>72</v>
      </c>
      <c r="Z107" s="380"/>
      <c r="AA107" s="383"/>
      <c r="AB107" s="586" t="s">
        <v>293</v>
      </c>
    </row>
    <row r="108" spans="1:28" s="55" customFormat="1" ht="54.95" customHeight="1" x14ac:dyDescent="0.15">
      <c r="A108" s="163" t="s">
        <v>81</v>
      </c>
      <c r="B108" s="87">
        <f>I11</f>
        <v>1245</v>
      </c>
      <c r="C108" s="368" t="s">
        <v>71</v>
      </c>
      <c r="D108" s="369"/>
      <c r="E108" s="370"/>
      <c r="F108" s="368"/>
      <c r="G108" s="369"/>
      <c r="H108" s="370"/>
      <c r="I108" s="93"/>
      <c r="J108" s="90"/>
      <c r="K108" s="156">
        <v>1</v>
      </c>
      <c r="L108" s="77" t="s">
        <v>63</v>
      </c>
      <c r="M108" s="88">
        <f>K108*B108</f>
        <v>1245</v>
      </c>
      <c r="N108" s="91"/>
      <c r="O108" s="91"/>
      <c r="P108" s="169" t="s">
        <v>63</v>
      </c>
      <c r="Q108" s="364"/>
      <c r="R108" s="165">
        <v>1245</v>
      </c>
      <c r="S108" s="169" t="s">
        <v>63</v>
      </c>
      <c r="T108" s="154">
        <f t="shared" si="3"/>
        <v>0</v>
      </c>
      <c r="U108" s="91"/>
      <c r="V108" s="91"/>
      <c r="W108" s="91"/>
      <c r="X108" s="91"/>
      <c r="Y108" s="375"/>
      <c r="Z108" s="381"/>
      <c r="AA108" s="384"/>
      <c r="AB108" s="587"/>
    </row>
    <row r="109" spans="1:28" s="55" customFormat="1" ht="54.95" customHeight="1" x14ac:dyDescent="0.15">
      <c r="A109" s="284" t="s">
        <v>160</v>
      </c>
      <c r="B109" s="87">
        <f>I11</f>
        <v>1245</v>
      </c>
      <c r="C109" s="368" t="s">
        <v>71</v>
      </c>
      <c r="D109" s="369"/>
      <c r="E109" s="370"/>
      <c r="F109" s="368"/>
      <c r="G109" s="369"/>
      <c r="H109" s="370"/>
      <c r="I109" s="93" t="s">
        <v>199</v>
      </c>
      <c r="J109" s="93"/>
      <c r="K109" s="156">
        <v>1</v>
      </c>
      <c r="L109" s="77" t="s">
        <v>63</v>
      </c>
      <c r="M109" s="88">
        <f t="shared" si="29"/>
        <v>1245</v>
      </c>
      <c r="N109" s="91"/>
      <c r="O109" s="91"/>
      <c r="P109" s="89" t="s">
        <v>63</v>
      </c>
      <c r="Q109" s="365"/>
      <c r="R109" s="93">
        <v>1300</v>
      </c>
      <c r="S109" s="89" t="s">
        <v>63</v>
      </c>
      <c r="T109" s="154">
        <f t="shared" si="3"/>
        <v>55</v>
      </c>
      <c r="U109" s="91"/>
      <c r="V109" s="91"/>
      <c r="W109" s="91"/>
      <c r="X109" s="91"/>
      <c r="Y109" s="379"/>
      <c r="Z109" s="382"/>
      <c r="AA109" s="385"/>
      <c r="AB109" s="588"/>
    </row>
    <row r="110" spans="1:28" x14ac:dyDescent="0.15">
      <c r="A110" s="285"/>
      <c r="B110" s="366"/>
      <c r="C110" s="366"/>
      <c r="D110" s="177"/>
      <c r="E110" s="177"/>
      <c r="F110" s="100"/>
      <c r="G110" s="100"/>
      <c r="H110" s="100"/>
      <c r="I110" s="177"/>
      <c r="J110" s="177"/>
      <c r="K110" s="101"/>
      <c r="L110" s="102"/>
      <c r="M110" s="103"/>
      <c r="N110" s="104"/>
      <c r="O110" s="104"/>
      <c r="P110" s="177"/>
      <c r="Q110" s="105"/>
      <c r="R110" s="105"/>
      <c r="S110" s="106"/>
      <c r="T110" s="107"/>
      <c r="U110" s="108"/>
      <c r="V110" s="108"/>
      <c r="W110" s="109"/>
      <c r="X110" s="107"/>
      <c r="Y110" s="110"/>
      <c r="Z110" s="111"/>
      <c r="AA110" s="111"/>
    </row>
    <row r="111" spans="1:28" x14ac:dyDescent="0.15">
      <c r="A111" s="285"/>
      <c r="B111" s="366"/>
      <c r="C111" s="366"/>
      <c r="D111" s="177"/>
      <c r="E111" s="177"/>
      <c r="F111" s="367"/>
      <c r="G111" s="367"/>
      <c r="H111" s="367"/>
      <c r="I111" s="177"/>
      <c r="J111" s="177"/>
      <c r="K111" s="101"/>
      <c r="L111" s="102"/>
      <c r="M111" s="103"/>
      <c r="N111" s="104"/>
      <c r="O111" s="104"/>
      <c r="P111" s="177"/>
      <c r="Q111" s="105"/>
      <c r="R111" s="105"/>
      <c r="S111" s="106"/>
      <c r="T111" s="107"/>
      <c r="U111" s="108"/>
      <c r="V111" s="108"/>
      <c r="W111" s="109"/>
      <c r="X111" s="107"/>
      <c r="Y111" s="112"/>
      <c r="Z111" s="111"/>
      <c r="AA111" s="111"/>
    </row>
    <row r="112" spans="1:28" x14ac:dyDescent="0.15">
      <c r="J112" s="177"/>
    </row>
    <row r="113" spans="1:29" x14ac:dyDescent="0.15">
      <c r="J113" s="177"/>
    </row>
    <row r="120" spans="1:29" s="114" customFormat="1" x14ac:dyDescent="0.15">
      <c r="A120" s="286"/>
      <c r="B120" s="113"/>
      <c r="C120" s="1"/>
      <c r="D120" s="1"/>
      <c r="E120" s="1"/>
      <c r="F120" s="1"/>
      <c r="G120" s="1"/>
      <c r="H120" s="1"/>
      <c r="I120" s="1"/>
      <c r="J120" s="1"/>
      <c r="L120" s="115"/>
      <c r="M120" s="116"/>
      <c r="N120" s="117"/>
      <c r="O120" s="117"/>
      <c r="P120" s="1"/>
      <c r="Q120" s="118"/>
      <c r="R120" s="118"/>
      <c r="S120" s="115"/>
      <c r="T120" s="119"/>
      <c r="U120" s="1"/>
      <c r="V120" s="1"/>
      <c r="W120" s="120"/>
      <c r="X120" s="121"/>
      <c r="Y120" s="1"/>
      <c r="Z120" s="1"/>
      <c r="AA120" s="1"/>
      <c r="AB120" s="1"/>
      <c r="AC120" s="1"/>
    </row>
    <row r="121" spans="1:29" s="114" customFormat="1" x14ac:dyDescent="0.15">
      <c r="A121" s="286"/>
      <c r="B121" s="113"/>
      <c r="C121" s="1"/>
      <c r="D121" s="1"/>
      <c r="E121" s="1"/>
      <c r="F121" s="1"/>
      <c r="G121" s="1"/>
      <c r="H121" s="1"/>
      <c r="I121" s="1"/>
      <c r="J121" s="1"/>
      <c r="L121" s="115"/>
      <c r="M121" s="116"/>
      <c r="N121" s="117"/>
      <c r="O121" s="117"/>
      <c r="P121" s="1"/>
      <c r="Q121" s="118"/>
      <c r="R121" s="118"/>
      <c r="S121" s="115"/>
      <c r="T121" s="119"/>
      <c r="U121" s="1"/>
      <c r="V121" s="1"/>
      <c r="W121" s="120"/>
      <c r="X121" s="121"/>
      <c r="Y121" s="1"/>
      <c r="Z121" s="1"/>
      <c r="AA121" s="1"/>
      <c r="AB121" s="1"/>
      <c r="AC121" s="1"/>
    </row>
  </sheetData>
  <mergeCells count="379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I15:I17"/>
    <mergeCell ref="Q15:Q17"/>
    <mergeCell ref="Y15:Y17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B15:AB17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9:A31"/>
    <mergeCell ref="C29:E29"/>
    <mergeCell ref="F29:H29"/>
    <mergeCell ref="I29:I31"/>
    <mergeCell ref="A26:A28"/>
    <mergeCell ref="C26:E26"/>
    <mergeCell ref="F26:H26"/>
    <mergeCell ref="I26:I28"/>
    <mergeCell ref="Q26:Q28"/>
    <mergeCell ref="Q29:Q34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Y32:Y34"/>
    <mergeCell ref="C33:E33"/>
    <mergeCell ref="F33:H33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F51:H51"/>
    <mergeCell ref="AC51:AF51"/>
    <mergeCell ref="C52:E52"/>
    <mergeCell ref="F52:H52"/>
    <mergeCell ref="AC52:AF52"/>
    <mergeCell ref="AC48:AF48"/>
    <mergeCell ref="AC49:AF49"/>
    <mergeCell ref="C44:E44"/>
    <mergeCell ref="F44:H44"/>
    <mergeCell ref="I44:I46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C49:E49"/>
    <mergeCell ref="F49:H49"/>
    <mergeCell ref="A50:A52"/>
    <mergeCell ref="C50:E50"/>
    <mergeCell ref="F50:H50"/>
    <mergeCell ref="I50:I52"/>
    <mergeCell ref="Y50:Y52"/>
    <mergeCell ref="C51:E51"/>
    <mergeCell ref="A44:A46"/>
    <mergeCell ref="AB56:AB61"/>
    <mergeCell ref="C57:E57"/>
    <mergeCell ref="F57:H57"/>
    <mergeCell ref="C58:E58"/>
    <mergeCell ref="F58:H58"/>
    <mergeCell ref="AB53:AB55"/>
    <mergeCell ref="C54:E54"/>
    <mergeCell ref="F54:H54"/>
    <mergeCell ref="C55:E55"/>
    <mergeCell ref="F55:H55"/>
    <mergeCell ref="C56:E56"/>
    <mergeCell ref="F56:H56"/>
    <mergeCell ref="I56:I58"/>
    <mergeCell ref="Q56:Q61"/>
    <mergeCell ref="A59:A61"/>
    <mergeCell ref="C59:E59"/>
    <mergeCell ref="F59:H59"/>
    <mergeCell ref="Y59:Y61"/>
    <mergeCell ref="C60:E60"/>
    <mergeCell ref="F60:H60"/>
    <mergeCell ref="C61:E61"/>
    <mergeCell ref="F61:H61"/>
    <mergeCell ref="Y56:Y58"/>
    <mergeCell ref="A56:A58"/>
    <mergeCell ref="A62:A64"/>
    <mergeCell ref="C62:E62"/>
    <mergeCell ref="F62:H62"/>
    <mergeCell ref="Q62:Q64"/>
    <mergeCell ref="Y62:Y64"/>
    <mergeCell ref="AB62:AB64"/>
    <mergeCell ref="C63:E63"/>
    <mergeCell ref="F63:H63"/>
    <mergeCell ref="C64:E64"/>
    <mergeCell ref="F64:H64"/>
    <mergeCell ref="A71:A73"/>
    <mergeCell ref="C71:E71"/>
    <mergeCell ref="F71:H71"/>
    <mergeCell ref="I71:I73"/>
    <mergeCell ref="Q71:Q73"/>
    <mergeCell ref="A65:A67"/>
    <mergeCell ref="C65:E65"/>
    <mergeCell ref="F65:H65"/>
    <mergeCell ref="I65:I67"/>
    <mergeCell ref="Q65:Q67"/>
    <mergeCell ref="A68:A70"/>
    <mergeCell ref="C73:E73"/>
    <mergeCell ref="F73:H73"/>
    <mergeCell ref="AB65:AB67"/>
    <mergeCell ref="C66:E66"/>
    <mergeCell ref="F66:H66"/>
    <mergeCell ref="C67:E67"/>
    <mergeCell ref="F67:H67"/>
    <mergeCell ref="Y65:Y67"/>
    <mergeCell ref="C68:E68"/>
    <mergeCell ref="F68:H68"/>
    <mergeCell ref="I68:I70"/>
    <mergeCell ref="Q68:Q70"/>
    <mergeCell ref="Y68:Y70"/>
    <mergeCell ref="AB68:AB70"/>
    <mergeCell ref="C69:E69"/>
    <mergeCell ref="F69:H69"/>
    <mergeCell ref="C70:E70"/>
    <mergeCell ref="F70:H70"/>
    <mergeCell ref="A77:A79"/>
    <mergeCell ref="C77:E77"/>
    <mergeCell ref="F77:H77"/>
    <mergeCell ref="I77:I79"/>
    <mergeCell ref="Q77:Q79"/>
    <mergeCell ref="A74:A76"/>
    <mergeCell ref="C74:E74"/>
    <mergeCell ref="F74:H74"/>
    <mergeCell ref="I74:I76"/>
    <mergeCell ref="Q74:Q76"/>
    <mergeCell ref="C78:E78"/>
    <mergeCell ref="F78:H78"/>
    <mergeCell ref="C79:E79"/>
    <mergeCell ref="F79:H79"/>
    <mergeCell ref="A85:A93"/>
    <mergeCell ref="C85:E87"/>
    <mergeCell ref="F85:H85"/>
    <mergeCell ref="Q85:Q93"/>
    <mergeCell ref="Y85:Y93"/>
    <mergeCell ref="Z85:Z93"/>
    <mergeCell ref="F92:H92"/>
    <mergeCell ref="F93:H93"/>
    <mergeCell ref="AA80:AA84"/>
    <mergeCell ref="F81:H81"/>
    <mergeCell ref="F82:H82"/>
    <mergeCell ref="F83:H83"/>
    <mergeCell ref="F84:H84"/>
    <mergeCell ref="A80:A84"/>
    <mergeCell ref="C80:E84"/>
    <mergeCell ref="F80:H80"/>
    <mergeCell ref="Q80:Q84"/>
    <mergeCell ref="Y80:Y84"/>
    <mergeCell ref="Z80:Z84"/>
    <mergeCell ref="F106:H106"/>
    <mergeCell ref="AA99:AA102"/>
    <mergeCell ref="C100:E102"/>
    <mergeCell ref="A103:A106"/>
    <mergeCell ref="C103:E106"/>
    <mergeCell ref="F103:H103"/>
    <mergeCell ref="Q103:Q106"/>
    <mergeCell ref="Y103:Y106"/>
    <mergeCell ref="A94:A102"/>
    <mergeCell ref="C94:E96"/>
    <mergeCell ref="F94:H94"/>
    <mergeCell ref="Q94:Q102"/>
    <mergeCell ref="Y94:Y98"/>
    <mergeCell ref="F95:H95"/>
    <mergeCell ref="F96:H96"/>
    <mergeCell ref="C97:E99"/>
    <mergeCell ref="F97:H97"/>
    <mergeCell ref="F98:H98"/>
    <mergeCell ref="F99:H99"/>
    <mergeCell ref="Y99:Y102"/>
    <mergeCell ref="F100:H100"/>
    <mergeCell ref="AB107:AB109"/>
    <mergeCell ref="C108:E108"/>
    <mergeCell ref="F108:H108"/>
    <mergeCell ref="AB74:AB76"/>
    <mergeCell ref="C75:E75"/>
    <mergeCell ref="F75:H75"/>
    <mergeCell ref="C76:E76"/>
    <mergeCell ref="F76:H76"/>
    <mergeCell ref="Y74:Y76"/>
    <mergeCell ref="C109:E109"/>
    <mergeCell ref="F109:H109"/>
    <mergeCell ref="C107:E107"/>
    <mergeCell ref="F107:H107"/>
    <mergeCell ref="Q107:Q109"/>
    <mergeCell ref="Y107:Y109"/>
    <mergeCell ref="Z107:Z109"/>
    <mergeCell ref="AA107:AA109"/>
    <mergeCell ref="Z94:Z98"/>
    <mergeCell ref="Z103:Z106"/>
    <mergeCell ref="AA103:AA106"/>
    <mergeCell ref="AB103:AB106"/>
    <mergeCell ref="AA94:AA98"/>
    <mergeCell ref="AB94:AB102"/>
    <mergeCell ref="Z99:Z102"/>
    <mergeCell ref="Y71:Y73"/>
    <mergeCell ref="AB71:AB73"/>
    <mergeCell ref="C72:E72"/>
    <mergeCell ref="F72:H72"/>
    <mergeCell ref="B111:C111"/>
    <mergeCell ref="F111:H111"/>
    <mergeCell ref="B110:C110"/>
    <mergeCell ref="F101:H101"/>
    <mergeCell ref="F102:H102"/>
    <mergeCell ref="AA85:AA93"/>
    <mergeCell ref="AB85:AB93"/>
    <mergeCell ref="F86:H86"/>
    <mergeCell ref="F87:H87"/>
    <mergeCell ref="C88:E90"/>
    <mergeCell ref="F88:H88"/>
    <mergeCell ref="F89:H89"/>
    <mergeCell ref="F90:H90"/>
    <mergeCell ref="C91:E93"/>
    <mergeCell ref="F91:H91"/>
    <mergeCell ref="F104:H104"/>
    <mergeCell ref="F105:H105"/>
    <mergeCell ref="AB80:AB84"/>
    <mergeCell ref="Y77:Y79"/>
    <mergeCell ref="AB77:AB7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4" max="27" man="1"/>
  </rowBreaks>
  <colBreaks count="1" manualBreakCount="1">
    <brk id="2" max="46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6B00-D758-41DC-8F56-F9FB174362EB}">
  <sheetPr>
    <pageSetUpPr fitToPage="1"/>
  </sheetPr>
  <dimension ref="A1:AF112"/>
  <sheetViews>
    <sheetView view="pageBreakPreview" topLeftCell="A82" zoomScale="75" zoomScaleNormal="100" zoomScaleSheetLayoutView="75" workbookViewId="0">
      <selection activeCell="AA84" sqref="AA84:AA88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302</v>
      </c>
      <c r="C2" s="548"/>
      <c r="D2" s="548"/>
      <c r="E2" s="548"/>
      <c r="F2" s="548"/>
      <c r="G2" s="549"/>
      <c r="H2" s="180" t="s">
        <v>1</v>
      </c>
      <c r="I2" s="550">
        <f>I11</f>
        <v>1123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153</v>
      </c>
      <c r="B5" s="480"/>
      <c r="C5" s="182">
        <v>237</v>
      </c>
      <c r="D5" s="182">
        <v>250</v>
      </c>
      <c r="E5" s="182">
        <v>70</v>
      </c>
      <c r="F5" s="182"/>
      <c r="G5" s="182"/>
      <c r="H5" s="542" t="s">
        <v>24</v>
      </c>
      <c r="I5" s="524">
        <f t="shared" ref="I5:I11" si="0">SUM(C5:G5)</f>
        <v>557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480" t="s">
        <v>301</v>
      </c>
      <c r="B6" s="480"/>
      <c r="C6" s="182">
        <v>240</v>
      </c>
      <c r="D6" s="182">
        <v>256</v>
      </c>
      <c r="E6" s="182">
        <v>70</v>
      </c>
      <c r="F6" s="182"/>
      <c r="G6" s="182"/>
      <c r="H6" s="537"/>
      <c r="I6" s="524">
        <f t="shared" si="0"/>
        <v>566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46091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477</v>
      </c>
      <c r="D11" s="181">
        <f>SUM(D5:D10)</f>
        <v>506</v>
      </c>
      <c r="E11" s="181">
        <f>SUM(E5:E10)</f>
        <v>140</v>
      </c>
      <c r="F11" s="181">
        <f>SUM(F5:F10)</f>
        <v>0</v>
      </c>
      <c r="G11" s="181">
        <f>SUM(G5:G10)</f>
        <v>0</v>
      </c>
      <c r="H11" s="182"/>
      <c r="I11" s="481">
        <f t="shared" si="0"/>
        <v>1123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46197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486.54</v>
      </c>
      <c r="D12" s="43">
        <f>D11*1.02</f>
        <v>516.12</v>
      </c>
      <c r="E12" s="43">
        <f>E11*1.02</f>
        <v>142.80000000000001</v>
      </c>
      <c r="F12" s="43">
        <f>F11*1.02</f>
        <v>0</v>
      </c>
      <c r="G12" s="43">
        <f>G11*1.02</f>
        <v>0</v>
      </c>
      <c r="H12" s="44"/>
      <c r="I12" s="486">
        <f>I11*1.02</f>
        <v>1145.46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557</v>
      </c>
      <c r="C15" s="474" t="str">
        <f t="shared" ref="C15:C23" si="2">$A$5</f>
        <v>GR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1.25</v>
      </c>
      <c r="L15" s="67" t="s">
        <v>7</v>
      </c>
      <c r="M15" s="68">
        <f>K15*B15</f>
        <v>696.25</v>
      </c>
      <c r="N15" s="69"/>
      <c r="O15" s="70"/>
      <c r="P15" s="67" t="s">
        <v>7</v>
      </c>
      <c r="Q15" s="478">
        <v>46095</v>
      </c>
      <c r="R15" s="293">
        <v>697</v>
      </c>
      <c r="S15" s="71" t="s">
        <v>7</v>
      </c>
      <c r="T15" s="123">
        <f t="shared" ref="T15:T100" si="3">R15-M15</f>
        <v>0.75</v>
      </c>
      <c r="U15" s="72"/>
      <c r="V15" s="72"/>
      <c r="W15" s="73"/>
      <c r="X15" s="74"/>
      <c r="Y15" s="479" t="s">
        <v>138</v>
      </c>
      <c r="Z15" s="63"/>
      <c r="AA15" s="64"/>
      <c r="AB15" s="566" t="s">
        <v>300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566</v>
      </c>
      <c r="C16" s="368" t="str">
        <f>$A$6</f>
        <v>BR</v>
      </c>
      <c r="D16" s="369"/>
      <c r="E16" s="370"/>
      <c r="F16" s="368"/>
      <c r="G16" s="369"/>
      <c r="H16" s="370"/>
      <c r="I16" s="442"/>
      <c r="J16" s="76" t="s">
        <v>6</v>
      </c>
      <c r="K16" s="83">
        <v>1.25</v>
      </c>
      <c r="L16" s="77" t="s">
        <v>7</v>
      </c>
      <c r="M16" s="78">
        <f t="shared" ref="M16:M100" si="4">K16*B16</f>
        <v>707.5</v>
      </c>
      <c r="N16" s="79"/>
      <c r="O16" s="128"/>
      <c r="P16" s="77" t="s">
        <v>7</v>
      </c>
      <c r="Q16" s="444"/>
      <c r="R16" s="137">
        <v>708</v>
      </c>
      <c r="S16" s="75" t="s">
        <v>7</v>
      </c>
      <c r="T16" s="81">
        <f t="shared" si="3"/>
        <v>0.5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557</v>
      </c>
      <c r="C17" s="461" t="str">
        <f t="shared" si="2"/>
        <v>GR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566</v>
      </c>
      <c r="C18" s="461" t="str">
        <f>$A$6</f>
        <v>BR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1"/>
      <c r="AC18" s="178"/>
      <c r="AD18" s="179"/>
      <c r="AE18" s="179"/>
      <c r="AF18" s="179"/>
    </row>
    <row r="19" spans="1:32" s="55" customFormat="1" ht="69.95" customHeight="1" x14ac:dyDescent="0.15">
      <c r="A19" s="431" t="s">
        <v>195</v>
      </c>
      <c r="B19" s="182">
        <f t="shared" si="1"/>
        <v>557</v>
      </c>
      <c r="C19" s="461" t="str">
        <f t="shared" si="2"/>
        <v>GR</v>
      </c>
      <c r="D19" s="461"/>
      <c r="E19" s="461"/>
      <c r="F19" s="461"/>
      <c r="G19" s="461"/>
      <c r="H19" s="461"/>
      <c r="I19" s="441" t="s">
        <v>144</v>
      </c>
      <c r="J19" s="76" t="s">
        <v>6</v>
      </c>
      <c r="K19" s="136">
        <v>0.51</v>
      </c>
      <c r="L19" s="77" t="s">
        <v>7</v>
      </c>
      <c r="M19" s="78">
        <f t="shared" si="4"/>
        <v>284.07</v>
      </c>
      <c r="N19" s="79"/>
      <c r="O19" s="78"/>
      <c r="P19" s="80" t="s">
        <v>7</v>
      </c>
      <c r="Q19" s="443">
        <v>46101</v>
      </c>
      <c r="R19" s="78">
        <v>285</v>
      </c>
      <c r="S19" s="80" t="s">
        <v>7</v>
      </c>
      <c r="T19" s="81">
        <f t="shared" si="3"/>
        <v>0.93000000000000682</v>
      </c>
      <c r="U19" s="82"/>
      <c r="V19" s="137"/>
      <c r="W19" s="78"/>
      <c r="X19" s="78"/>
      <c r="Y19" s="445" t="s">
        <v>93</v>
      </c>
      <c r="Z19" s="138"/>
      <c r="AA19" s="135"/>
      <c r="AB19" s="360" t="s">
        <v>318</v>
      </c>
      <c r="AC19" s="178"/>
      <c r="AD19" s="179"/>
      <c r="AE19" s="179"/>
      <c r="AF19" s="179"/>
    </row>
    <row r="20" spans="1:32" s="55" customFormat="1" ht="69.95" customHeight="1" x14ac:dyDescent="0.15">
      <c r="A20" s="432"/>
      <c r="B20" s="182">
        <f>$I$6</f>
        <v>566</v>
      </c>
      <c r="C20" s="461" t="str">
        <f>$A$6</f>
        <v>BR</v>
      </c>
      <c r="D20" s="461"/>
      <c r="E20" s="461"/>
      <c r="F20" s="461"/>
      <c r="G20" s="461"/>
      <c r="H20" s="461"/>
      <c r="I20" s="442"/>
      <c r="J20" s="76" t="s">
        <v>6</v>
      </c>
      <c r="K20" s="136">
        <v>0.51</v>
      </c>
      <c r="L20" s="77" t="s">
        <v>7</v>
      </c>
      <c r="M20" s="78">
        <f t="shared" si="4"/>
        <v>288.66000000000003</v>
      </c>
      <c r="N20" s="79"/>
      <c r="O20" s="128"/>
      <c r="P20" s="77" t="s">
        <v>7</v>
      </c>
      <c r="Q20" s="444"/>
      <c r="R20" s="137">
        <v>289</v>
      </c>
      <c r="S20" s="75" t="s">
        <v>7</v>
      </c>
      <c r="T20" s="81">
        <f t="shared" si="3"/>
        <v>0.33999999999997499</v>
      </c>
      <c r="U20" s="131"/>
      <c r="V20" s="131"/>
      <c r="W20" s="132"/>
      <c r="X20" s="133"/>
      <c r="Y20" s="446"/>
      <c r="Z20" s="228"/>
      <c r="AA20" s="228"/>
      <c r="AB20" s="361"/>
      <c r="AC20" s="178"/>
      <c r="AD20" s="179"/>
      <c r="AE20" s="179"/>
      <c r="AF20" s="179"/>
    </row>
    <row r="21" spans="1:32" s="206" customFormat="1" ht="69.95" customHeight="1" x14ac:dyDescent="0.15">
      <c r="A21" s="431" t="s">
        <v>115</v>
      </c>
      <c r="B21" s="182">
        <f t="shared" si="1"/>
        <v>557</v>
      </c>
      <c r="C21" s="461" t="str">
        <f t="shared" si="2"/>
        <v>GR</v>
      </c>
      <c r="D21" s="461"/>
      <c r="E21" s="461"/>
      <c r="F21" s="461"/>
      <c r="G21" s="461"/>
      <c r="H21" s="461"/>
      <c r="I21" s="441" t="s">
        <v>8</v>
      </c>
      <c r="J21" s="76" t="s">
        <v>6</v>
      </c>
      <c r="K21" s="136">
        <v>0.61</v>
      </c>
      <c r="L21" s="77" t="s">
        <v>7</v>
      </c>
      <c r="M21" s="78">
        <f t="shared" si="4"/>
        <v>339.77</v>
      </c>
      <c r="N21" s="79"/>
      <c r="O21" s="78"/>
      <c r="P21" s="80" t="s">
        <v>7</v>
      </c>
      <c r="Q21" s="443">
        <v>46101</v>
      </c>
      <c r="R21" s="78">
        <v>340</v>
      </c>
      <c r="S21" s="80" t="s">
        <v>7</v>
      </c>
      <c r="T21" s="81">
        <f t="shared" si="3"/>
        <v>0.23000000000001819</v>
      </c>
      <c r="U21" s="82"/>
      <c r="V21" s="137"/>
      <c r="W21" s="78"/>
      <c r="X21" s="78"/>
      <c r="Y21" s="445" t="s">
        <v>93</v>
      </c>
      <c r="Z21" s="138"/>
      <c r="AA21" s="135"/>
      <c r="AB21" s="361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82">
        <f>$I$6</f>
        <v>566</v>
      </c>
      <c r="C22" s="461" t="str">
        <f>$A$6</f>
        <v>BR</v>
      </c>
      <c r="D22" s="461"/>
      <c r="E22" s="461"/>
      <c r="F22" s="461"/>
      <c r="G22" s="461"/>
      <c r="H22" s="461"/>
      <c r="I22" s="442"/>
      <c r="J22" s="76" t="s">
        <v>6</v>
      </c>
      <c r="K22" s="136">
        <v>0.61</v>
      </c>
      <c r="L22" s="77" t="s">
        <v>7</v>
      </c>
      <c r="M22" s="78">
        <f t="shared" si="4"/>
        <v>345.26</v>
      </c>
      <c r="N22" s="79"/>
      <c r="O22" s="128"/>
      <c r="P22" s="77" t="s">
        <v>7</v>
      </c>
      <c r="Q22" s="444"/>
      <c r="R22" s="137">
        <v>346</v>
      </c>
      <c r="S22" s="75" t="s">
        <v>7</v>
      </c>
      <c r="T22" s="81">
        <f t="shared" si="3"/>
        <v>0.74000000000000909</v>
      </c>
      <c r="U22" s="131"/>
      <c r="V22" s="131"/>
      <c r="W22" s="132"/>
      <c r="X22" s="133"/>
      <c r="Y22" s="446"/>
      <c r="Z22" s="228"/>
      <c r="AA22" s="228"/>
      <c r="AB22" s="361"/>
      <c r="AC22" s="229"/>
      <c r="AD22" s="230"/>
      <c r="AE22" s="230"/>
      <c r="AF22" s="230"/>
    </row>
    <row r="23" spans="1:32" s="176" customFormat="1" ht="69.95" customHeight="1" x14ac:dyDescent="0.15">
      <c r="A23" s="431" t="s">
        <v>107</v>
      </c>
      <c r="B23" s="239">
        <f t="shared" si="1"/>
        <v>557</v>
      </c>
      <c r="C23" s="456" t="str">
        <f t="shared" si="2"/>
        <v>GR</v>
      </c>
      <c r="D23" s="456"/>
      <c r="E23" s="456"/>
      <c r="F23" s="456"/>
      <c r="G23" s="456"/>
      <c r="H23" s="456"/>
      <c r="I23" s="457" t="s">
        <v>58</v>
      </c>
      <c r="J23" s="240" t="s">
        <v>6</v>
      </c>
      <c r="K23" s="241">
        <v>0.02</v>
      </c>
      <c r="L23" s="168" t="s">
        <v>7</v>
      </c>
      <c r="M23" s="242">
        <f t="shared" si="4"/>
        <v>11.14</v>
      </c>
      <c r="N23" s="243"/>
      <c r="O23" s="242"/>
      <c r="P23" s="244" t="s">
        <v>7</v>
      </c>
      <c r="Q23" s="376">
        <v>46101</v>
      </c>
      <c r="R23" s="245">
        <v>11</v>
      </c>
      <c r="S23" s="244" t="s">
        <v>7</v>
      </c>
      <c r="T23" s="245">
        <f t="shared" si="3"/>
        <v>-0.14000000000000057</v>
      </c>
      <c r="U23" s="246"/>
      <c r="V23" s="247"/>
      <c r="W23" s="242"/>
      <c r="X23" s="242"/>
      <c r="Y23" s="459" t="s">
        <v>59</v>
      </c>
      <c r="Z23" s="248"/>
      <c r="AA23" s="249"/>
      <c r="AB23" s="361"/>
      <c r="AC23" s="250"/>
      <c r="AD23" s="251"/>
      <c r="AE23" s="251"/>
      <c r="AF23" s="251"/>
    </row>
    <row r="24" spans="1:32" s="176" customFormat="1" ht="69.95" customHeight="1" x14ac:dyDescent="0.15">
      <c r="A24" s="432"/>
      <c r="B24" s="239">
        <f>$I$6</f>
        <v>566</v>
      </c>
      <c r="C24" s="456" t="str">
        <f>$A$6</f>
        <v>BR</v>
      </c>
      <c r="D24" s="456"/>
      <c r="E24" s="456"/>
      <c r="F24" s="456"/>
      <c r="G24" s="456"/>
      <c r="H24" s="456"/>
      <c r="I24" s="458"/>
      <c r="J24" s="240" t="s">
        <v>6</v>
      </c>
      <c r="K24" s="241">
        <v>0.02</v>
      </c>
      <c r="L24" s="168" t="s">
        <v>7</v>
      </c>
      <c r="M24" s="242">
        <f t="shared" si="4"/>
        <v>11.32</v>
      </c>
      <c r="N24" s="243"/>
      <c r="O24" s="253"/>
      <c r="P24" s="168" t="s">
        <v>7</v>
      </c>
      <c r="Q24" s="377"/>
      <c r="R24" s="254">
        <v>11</v>
      </c>
      <c r="S24" s="255" t="s">
        <v>7</v>
      </c>
      <c r="T24" s="245">
        <f t="shared" si="3"/>
        <v>-0.32000000000000028</v>
      </c>
      <c r="U24" s="256"/>
      <c r="V24" s="256"/>
      <c r="W24" s="257"/>
      <c r="X24" s="258"/>
      <c r="Y24" s="460"/>
      <c r="Z24" s="259"/>
      <c r="AA24" s="249"/>
      <c r="AB24" s="361"/>
      <c r="AC24" s="250"/>
      <c r="AD24" s="251"/>
      <c r="AE24" s="251"/>
      <c r="AF24" s="251"/>
    </row>
    <row r="25" spans="1:32" s="261" customFormat="1" ht="69.95" customHeight="1" x14ac:dyDescent="0.15">
      <c r="A25" s="431" t="s">
        <v>108</v>
      </c>
      <c r="B25" s="182">
        <f>$I$5</f>
        <v>557</v>
      </c>
      <c r="C25" s="461" t="str">
        <f>$A$5</f>
        <v>GR</v>
      </c>
      <c r="D25" s="461"/>
      <c r="E25" s="461"/>
      <c r="F25" s="461"/>
      <c r="G25" s="461"/>
      <c r="H25" s="461"/>
      <c r="I25" s="441" t="s">
        <v>8</v>
      </c>
      <c r="J25" s="76" t="s">
        <v>6</v>
      </c>
      <c r="K25" s="136">
        <v>7.0000000000000007E-2</v>
      </c>
      <c r="L25" s="77" t="s">
        <v>7</v>
      </c>
      <c r="M25" s="78">
        <f>K25*B25</f>
        <v>38.99</v>
      </c>
      <c r="N25" s="79"/>
      <c r="O25" s="78"/>
      <c r="P25" s="80" t="s">
        <v>7</v>
      </c>
      <c r="Q25" s="377"/>
      <c r="R25" s="78">
        <v>39</v>
      </c>
      <c r="S25" s="80" t="s">
        <v>9</v>
      </c>
      <c r="T25" s="81">
        <f t="shared" si="3"/>
        <v>9.9999999999980105E-3</v>
      </c>
      <c r="U25" s="82"/>
      <c r="V25" s="137"/>
      <c r="W25" s="78"/>
      <c r="X25" s="78"/>
      <c r="Y25" s="445" t="s">
        <v>59</v>
      </c>
      <c r="Z25" s="141"/>
      <c r="AA25" s="135"/>
      <c r="AB25" s="361"/>
    </row>
    <row r="26" spans="1:32" s="261" customFormat="1" ht="69.95" customHeight="1" x14ac:dyDescent="0.15">
      <c r="A26" s="432"/>
      <c r="B26" s="182">
        <f>$I$6</f>
        <v>566</v>
      </c>
      <c r="C26" s="461" t="str">
        <f>$A$6</f>
        <v>BR</v>
      </c>
      <c r="D26" s="461"/>
      <c r="E26" s="461"/>
      <c r="F26" s="461"/>
      <c r="G26" s="461"/>
      <c r="H26" s="461"/>
      <c r="I26" s="442"/>
      <c r="J26" s="76" t="s">
        <v>6</v>
      </c>
      <c r="K26" s="83">
        <v>7.0000000000000007E-2</v>
      </c>
      <c r="L26" s="77" t="s">
        <v>7</v>
      </c>
      <c r="M26" s="78">
        <f>K26*B26</f>
        <v>39.620000000000005</v>
      </c>
      <c r="N26" s="79"/>
      <c r="O26" s="128"/>
      <c r="P26" s="77" t="s">
        <v>7</v>
      </c>
      <c r="Q26" s="378"/>
      <c r="R26" s="137">
        <v>40</v>
      </c>
      <c r="S26" s="75" t="s">
        <v>9</v>
      </c>
      <c r="T26" s="81">
        <f t="shared" si="3"/>
        <v>0.37999999999999545</v>
      </c>
      <c r="U26" s="131"/>
      <c r="V26" s="131"/>
      <c r="W26" s="132"/>
      <c r="X26" s="133"/>
      <c r="Y26" s="446"/>
      <c r="Z26" s="134"/>
      <c r="AA26" s="135"/>
      <c r="AB26" s="362"/>
      <c r="AC26" s="462"/>
      <c r="AD26" s="463"/>
      <c r="AE26" s="463"/>
      <c r="AF26" s="463"/>
    </row>
    <row r="27" spans="1:32" s="203" customFormat="1" ht="69.95" customHeight="1" x14ac:dyDescent="0.15">
      <c r="A27" s="464" t="s">
        <v>77</v>
      </c>
      <c r="B27" s="191">
        <f>$I$5</f>
        <v>557</v>
      </c>
      <c r="C27" s="465" t="str">
        <f>$A$5</f>
        <v>GR</v>
      </c>
      <c r="D27" s="465"/>
      <c r="E27" s="465"/>
      <c r="F27" s="465"/>
      <c r="G27" s="465"/>
      <c r="H27" s="465"/>
      <c r="I27" s="433" t="s">
        <v>110</v>
      </c>
      <c r="J27" s="192"/>
      <c r="K27" s="209">
        <v>1.8</v>
      </c>
      <c r="L27" s="194" t="s">
        <v>7</v>
      </c>
      <c r="M27" s="195">
        <f>K27*B27/100</f>
        <v>10.026</v>
      </c>
      <c r="N27" s="196"/>
      <c r="O27" s="195"/>
      <c r="P27" s="197" t="s">
        <v>7</v>
      </c>
      <c r="Q27" s="435"/>
      <c r="R27" s="195"/>
      <c r="S27" s="197" t="s">
        <v>9</v>
      </c>
      <c r="T27" s="198">
        <f t="shared" si="3"/>
        <v>-10.026</v>
      </c>
      <c r="U27" s="199"/>
      <c r="V27" s="200"/>
      <c r="W27" s="195"/>
      <c r="X27" s="195"/>
      <c r="Y27" s="437" t="s">
        <v>94</v>
      </c>
      <c r="Z27" s="201"/>
      <c r="AA27" s="202"/>
      <c r="AB27" s="439"/>
    </row>
    <row r="28" spans="1:32" s="203" customFormat="1" ht="69.95" customHeight="1" thickBot="1" x14ac:dyDescent="0.2">
      <c r="A28" s="464"/>
      <c r="B28" s="191">
        <f>$I$6</f>
        <v>566</v>
      </c>
      <c r="C28" s="465" t="str">
        <f>$A$6</f>
        <v>BR</v>
      </c>
      <c r="D28" s="465"/>
      <c r="E28" s="465"/>
      <c r="F28" s="465"/>
      <c r="G28" s="465"/>
      <c r="H28" s="465"/>
      <c r="I28" s="434"/>
      <c r="J28" s="192"/>
      <c r="K28" s="208">
        <v>1.8</v>
      </c>
      <c r="L28" s="194" t="s">
        <v>7</v>
      </c>
      <c r="M28" s="195">
        <f>K28*B28/100</f>
        <v>10.188000000000001</v>
      </c>
      <c r="N28" s="196"/>
      <c r="O28" s="210"/>
      <c r="P28" s="194" t="s">
        <v>7</v>
      </c>
      <c r="Q28" s="436"/>
      <c r="R28" s="200"/>
      <c r="S28" s="207" t="s">
        <v>9</v>
      </c>
      <c r="T28" s="198">
        <f t="shared" si="3"/>
        <v>-10.188000000000001</v>
      </c>
      <c r="U28" s="211"/>
      <c r="V28" s="211"/>
      <c r="W28" s="212"/>
      <c r="X28" s="213"/>
      <c r="Y28" s="438"/>
      <c r="Z28" s="214"/>
      <c r="AA28" s="202"/>
      <c r="AB28" s="440"/>
      <c r="AC28" s="466"/>
      <c r="AD28" s="467"/>
      <c r="AE28" s="467"/>
      <c r="AF28" s="467"/>
    </row>
    <row r="29" spans="1:32" s="261" customFormat="1" ht="69.95" customHeight="1" thickTop="1" x14ac:dyDescent="0.15">
      <c r="A29" s="464" t="s">
        <v>86</v>
      </c>
      <c r="B29" s="182">
        <f>$I$5</f>
        <v>557</v>
      </c>
      <c r="C29" s="461" t="str">
        <f>$A$5</f>
        <v>GR</v>
      </c>
      <c r="D29" s="461"/>
      <c r="E29" s="461"/>
      <c r="F29" s="461"/>
      <c r="G29" s="461"/>
      <c r="H29" s="461"/>
      <c r="I29" s="441" t="s">
        <v>76</v>
      </c>
      <c r="J29" s="76"/>
      <c r="K29" s="136">
        <v>1.7</v>
      </c>
      <c r="L29" s="77" t="s">
        <v>7</v>
      </c>
      <c r="M29" s="78">
        <f>K29*B29/50</f>
        <v>18.937999999999999</v>
      </c>
      <c r="N29" s="79"/>
      <c r="O29" s="78"/>
      <c r="P29" s="80" t="s">
        <v>7</v>
      </c>
      <c r="Q29" s="443">
        <v>46101</v>
      </c>
      <c r="R29" s="78">
        <v>19</v>
      </c>
      <c r="S29" s="80" t="s">
        <v>9</v>
      </c>
      <c r="T29" s="81">
        <f t="shared" si="3"/>
        <v>6.2000000000001165E-2</v>
      </c>
      <c r="U29" s="82"/>
      <c r="V29" s="137"/>
      <c r="W29" s="78"/>
      <c r="X29" s="78"/>
      <c r="Y29" s="445" t="s">
        <v>94</v>
      </c>
      <c r="Z29" s="141"/>
      <c r="AA29" s="135"/>
      <c r="AB29" s="566" t="s">
        <v>318</v>
      </c>
    </row>
    <row r="30" spans="1:32" s="261" customFormat="1" ht="69.95" customHeight="1" x14ac:dyDescent="0.15">
      <c r="A30" s="464"/>
      <c r="B30" s="182">
        <f>$I$6</f>
        <v>566</v>
      </c>
      <c r="C30" s="461" t="str">
        <f>$A$6</f>
        <v>BR</v>
      </c>
      <c r="D30" s="461"/>
      <c r="E30" s="461"/>
      <c r="F30" s="461"/>
      <c r="G30" s="461"/>
      <c r="H30" s="461"/>
      <c r="I30" s="442"/>
      <c r="J30" s="76"/>
      <c r="K30" s="83">
        <v>1.7</v>
      </c>
      <c r="L30" s="77" t="s">
        <v>7</v>
      </c>
      <c r="M30" s="78">
        <f>K30*B30/50</f>
        <v>19.244</v>
      </c>
      <c r="N30" s="79"/>
      <c r="O30" s="128"/>
      <c r="P30" s="77" t="s">
        <v>7</v>
      </c>
      <c r="Q30" s="444"/>
      <c r="R30" s="137">
        <v>20</v>
      </c>
      <c r="S30" s="75" t="s">
        <v>9</v>
      </c>
      <c r="T30" s="81">
        <f t="shared" si="3"/>
        <v>0.75600000000000023</v>
      </c>
      <c r="U30" s="131"/>
      <c r="V30" s="131"/>
      <c r="W30" s="132"/>
      <c r="X30" s="133"/>
      <c r="Y30" s="446"/>
      <c r="Z30" s="134"/>
      <c r="AA30" s="135"/>
      <c r="AB30" s="362"/>
      <c r="AC30" s="462"/>
      <c r="AD30" s="463"/>
      <c r="AE30" s="463"/>
      <c r="AF30" s="463"/>
    </row>
    <row r="31" spans="1:32" s="203" customFormat="1" ht="69.95" customHeight="1" x14ac:dyDescent="0.15">
      <c r="A31" s="464" t="s">
        <v>116</v>
      </c>
      <c r="B31" s="191">
        <f>$I$5</f>
        <v>557</v>
      </c>
      <c r="C31" s="465" t="str">
        <f>$A$5</f>
        <v>GR</v>
      </c>
      <c r="D31" s="465"/>
      <c r="E31" s="465"/>
      <c r="F31" s="465"/>
      <c r="G31" s="465"/>
      <c r="H31" s="465"/>
      <c r="I31" s="433" t="s">
        <v>76</v>
      </c>
      <c r="J31" s="192"/>
      <c r="K31" s="209">
        <v>2.4</v>
      </c>
      <c r="L31" s="194" t="s">
        <v>7</v>
      </c>
      <c r="M31" s="195">
        <f>K31*B31/50</f>
        <v>26.736000000000001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-26.736000000000001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x14ac:dyDescent="0.15">
      <c r="A32" s="464"/>
      <c r="B32" s="191">
        <f>$I$6</f>
        <v>566</v>
      </c>
      <c r="C32" s="465" t="str">
        <f>$A$6</f>
        <v>BR</v>
      </c>
      <c r="D32" s="465"/>
      <c r="E32" s="465"/>
      <c r="F32" s="465"/>
      <c r="G32" s="465"/>
      <c r="H32" s="465"/>
      <c r="I32" s="434"/>
      <c r="J32" s="192"/>
      <c r="K32" s="208">
        <v>2.4</v>
      </c>
      <c r="L32" s="194" t="s">
        <v>7</v>
      </c>
      <c r="M32" s="195">
        <f>K32*B32/50</f>
        <v>27.167999999999996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-27.167999999999996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x14ac:dyDescent="0.15">
      <c r="A33" s="431" t="s">
        <v>88</v>
      </c>
      <c r="B33" s="239">
        <f>$I$5</f>
        <v>557</v>
      </c>
      <c r="C33" s="371" t="str">
        <f>$A$5</f>
        <v>GR</v>
      </c>
      <c r="D33" s="372"/>
      <c r="E33" s="373"/>
      <c r="F33" s="371" t="str">
        <f>$A$5</f>
        <v>GR</v>
      </c>
      <c r="G33" s="372"/>
      <c r="H33" s="373"/>
      <c r="I33" s="457" t="s">
        <v>62</v>
      </c>
      <c r="J33" s="240"/>
      <c r="K33" s="263">
        <v>80</v>
      </c>
      <c r="L33" s="168" t="s">
        <v>61</v>
      </c>
      <c r="M33" s="242">
        <f t="shared" ref="M33:M36" si="5">K33*B33/2500</f>
        <v>17.824000000000002</v>
      </c>
      <c r="N33" s="243"/>
      <c r="O33" s="242"/>
      <c r="P33" s="244" t="s">
        <v>10</v>
      </c>
      <c r="Q33" s="376">
        <v>46101</v>
      </c>
      <c r="R33" s="242">
        <v>18</v>
      </c>
      <c r="S33" s="244" t="s">
        <v>10</v>
      </c>
      <c r="T33" s="245">
        <f>R33-M33</f>
        <v>0.17599999999999838</v>
      </c>
      <c r="U33" s="246"/>
      <c r="V33" s="247"/>
      <c r="W33" s="242"/>
      <c r="X33" s="242"/>
      <c r="Y33" s="459" t="s">
        <v>94</v>
      </c>
      <c r="Z33" s="260"/>
      <c r="AA33" s="249"/>
      <c r="AB33" s="448" t="s">
        <v>318</v>
      </c>
    </row>
    <row r="34" spans="1:32" s="176" customFormat="1" ht="69.95" customHeight="1" x14ac:dyDescent="0.15">
      <c r="A34" s="432"/>
      <c r="B34" s="264">
        <f>$I$6</f>
        <v>566</v>
      </c>
      <c r="C34" s="371" t="str">
        <f>$A$6</f>
        <v>BR</v>
      </c>
      <c r="D34" s="372"/>
      <c r="E34" s="373"/>
      <c r="F34" s="371" t="str">
        <f>$A$6</f>
        <v>BR</v>
      </c>
      <c r="G34" s="372"/>
      <c r="H34" s="373"/>
      <c r="I34" s="458"/>
      <c r="J34" s="265"/>
      <c r="K34" s="263">
        <v>80</v>
      </c>
      <c r="L34" s="266" t="s">
        <v>61</v>
      </c>
      <c r="M34" s="242">
        <f t="shared" si="5"/>
        <v>18.111999999999998</v>
      </c>
      <c r="N34" s="267"/>
      <c r="O34" s="268"/>
      <c r="P34" s="266" t="s">
        <v>10</v>
      </c>
      <c r="Q34" s="377"/>
      <c r="R34" s="269">
        <v>19</v>
      </c>
      <c r="S34" s="252" t="s">
        <v>10</v>
      </c>
      <c r="T34" s="270">
        <f>R34-M34</f>
        <v>0.88800000000000168</v>
      </c>
      <c r="U34" s="271"/>
      <c r="V34" s="271"/>
      <c r="W34" s="272"/>
      <c r="X34" s="273"/>
      <c r="Y34" s="460"/>
      <c r="Z34" s="274"/>
      <c r="AA34" s="275"/>
      <c r="AB34" s="449"/>
      <c r="AC34" s="590"/>
      <c r="AD34" s="591"/>
      <c r="AE34" s="591"/>
      <c r="AF34" s="591"/>
    </row>
    <row r="35" spans="1:32" s="261" customFormat="1" ht="69.95" customHeight="1" x14ac:dyDescent="0.15">
      <c r="A35" s="431" t="s">
        <v>303</v>
      </c>
      <c r="B35" s="239">
        <f>$I$5</f>
        <v>557</v>
      </c>
      <c r="C35" s="371" t="str">
        <f>$A$5</f>
        <v>GR</v>
      </c>
      <c r="D35" s="372"/>
      <c r="E35" s="373"/>
      <c r="F35" s="371" t="str">
        <f>$A$5</f>
        <v>GR</v>
      </c>
      <c r="G35" s="372"/>
      <c r="H35" s="373"/>
      <c r="I35" s="457" t="s">
        <v>62</v>
      </c>
      <c r="J35" s="240"/>
      <c r="K35" s="263">
        <v>130</v>
      </c>
      <c r="L35" s="168" t="s">
        <v>61</v>
      </c>
      <c r="M35" s="242">
        <f t="shared" si="5"/>
        <v>28.963999999999999</v>
      </c>
      <c r="N35" s="243"/>
      <c r="O35" s="242"/>
      <c r="P35" s="244" t="s">
        <v>10</v>
      </c>
      <c r="Q35" s="377"/>
      <c r="R35" s="242">
        <v>30</v>
      </c>
      <c r="S35" s="244" t="s">
        <v>10</v>
      </c>
      <c r="T35" s="245">
        <f>R35-M35</f>
        <v>1.0360000000000014</v>
      </c>
      <c r="U35" s="246"/>
      <c r="V35" s="247"/>
      <c r="W35" s="242"/>
      <c r="X35" s="242"/>
      <c r="Y35" s="459" t="s">
        <v>94</v>
      </c>
      <c r="Z35" s="260"/>
      <c r="AA35" s="249"/>
      <c r="AB35" s="449"/>
    </row>
    <row r="36" spans="1:32" s="176" customFormat="1" ht="69.95" customHeight="1" x14ac:dyDescent="0.15">
      <c r="A36" s="432"/>
      <c r="B36" s="264">
        <f>$I$6</f>
        <v>566</v>
      </c>
      <c r="C36" s="371" t="str">
        <f>$A$6</f>
        <v>BR</v>
      </c>
      <c r="D36" s="372"/>
      <c r="E36" s="373"/>
      <c r="F36" s="371" t="str">
        <f>$A$6</f>
        <v>BR</v>
      </c>
      <c r="G36" s="372"/>
      <c r="H36" s="373"/>
      <c r="I36" s="458"/>
      <c r="J36" s="265"/>
      <c r="K36" s="263">
        <v>130</v>
      </c>
      <c r="L36" s="266" t="s">
        <v>61</v>
      </c>
      <c r="M36" s="242">
        <f t="shared" si="5"/>
        <v>29.431999999999999</v>
      </c>
      <c r="N36" s="267"/>
      <c r="O36" s="268"/>
      <c r="P36" s="266" t="s">
        <v>10</v>
      </c>
      <c r="Q36" s="377"/>
      <c r="R36" s="269">
        <v>30</v>
      </c>
      <c r="S36" s="252" t="s">
        <v>10</v>
      </c>
      <c r="T36" s="270">
        <f>R36-M36</f>
        <v>0.56800000000000139</v>
      </c>
      <c r="U36" s="271"/>
      <c r="V36" s="271"/>
      <c r="W36" s="272"/>
      <c r="X36" s="273"/>
      <c r="Y36" s="460"/>
      <c r="Z36" s="274"/>
      <c r="AA36" s="275"/>
      <c r="AB36" s="449"/>
      <c r="AC36" s="590"/>
      <c r="AD36" s="591"/>
      <c r="AE36" s="591"/>
      <c r="AF36" s="591"/>
    </row>
    <row r="37" spans="1:32" s="261" customFormat="1" ht="69.95" customHeight="1" x14ac:dyDescent="0.15">
      <c r="A37" s="431" t="s">
        <v>147</v>
      </c>
      <c r="B37" s="239">
        <f>$I$5</f>
        <v>557</v>
      </c>
      <c r="C37" s="371" t="str">
        <f>$A$5</f>
        <v>GR</v>
      </c>
      <c r="D37" s="372"/>
      <c r="E37" s="373"/>
      <c r="F37" s="371" t="str">
        <f>$A$5</f>
        <v>GR</v>
      </c>
      <c r="G37" s="372"/>
      <c r="H37" s="373"/>
      <c r="I37" s="457" t="s">
        <v>60</v>
      </c>
      <c r="J37" s="240"/>
      <c r="K37" s="263">
        <v>140</v>
      </c>
      <c r="L37" s="168" t="s">
        <v>61</v>
      </c>
      <c r="M37" s="242">
        <f t="shared" ref="M37:M38" si="6">K37*B37/4000</f>
        <v>19.495000000000001</v>
      </c>
      <c r="N37" s="243"/>
      <c r="O37" s="242"/>
      <c r="P37" s="244" t="s">
        <v>10</v>
      </c>
      <c r="Q37" s="377"/>
      <c r="R37" s="242">
        <v>20</v>
      </c>
      <c r="S37" s="244" t="s">
        <v>10</v>
      </c>
      <c r="T37" s="245">
        <f t="shared" si="3"/>
        <v>0.50499999999999901</v>
      </c>
      <c r="U37" s="246"/>
      <c r="V37" s="247"/>
      <c r="W37" s="242"/>
      <c r="X37" s="242"/>
      <c r="Y37" s="459" t="s">
        <v>94</v>
      </c>
      <c r="Z37" s="260"/>
      <c r="AA37" s="249"/>
      <c r="AB37" s="449"/>
    </row>
    <row r="38" spans="1:32" s="176" customFormat="1" ht="69.95" customHeight="1" x14ac:dyDescent="0.15">
      <c r="A38" s="432"/>
      <c r="B38" s="264">
        <f>$I$6</f>
        <v>566</v>
      </c>
      <c r="C38" s="371" t="str">
        <f>$A$6</f>
        <v>BR</v>
      </c>
      <c r="D38" s="372"/>
      <c r="E38" s="373"/>
      <c r="F38" s="371" t="str">
        <f>$A$6</f>
        <v>BR</v>
      </c>
      <c r="G38" s="372"/>
      <c r="H38" s="373"/>
      <c r="I38" s="458"/>
      <c r="J38" s="265"/>
      <c r="K38" s="263">
        <v>140</v>
      </c>
      <c r="L38" s="266" t="s">
        <v>61</v>
      </c>
      <c r="M38" s="242">
        <f t="shared" si="6"/>
        <v>19.809999999999999</v>
      </c>
      <c r="N38" s="267"/>
      <c r="O38" s="268"/>
      <c r="P38" s="266" t="s">
        <v>10</v>
      </c>
      <c r="Q38" s="377"/>
      <c r="R38" s="269">
        <v>20</v>
      </c>
      <c r="S38" s="252" t="s">
        <v>10</v>
      </c>
      <c r="T38" s="270">
        <f t="shared" si="3"/>
        <v>0.19000000000000128</v>
      </c>
      <c r="U38" s="271"/>
      <c r="V38" s="271"/>
      <c r="W38" s="272"/>
      <c r="X38" s="273"/>
      <c r="Y38" s="460"/>
      <c r="Z38" s="274"/>
      <c r="AA38" s="275"/>
      <c r="AB38" s="449"/>
      <c r="AC38" s="592"/>
      <c r="AD38" s="593"/>
      <c r="AE38" s="593"/>
      <c r="AF38" s="593"/>
    </row>
    <row r="39" spans="1:32" s="261" customFormat="1" ht="69.95" customHeight="1" x14ac:dyDescent="0.15">
      <c r="A39" s="431" t="s">
        <v>304</v>
      </c>
      <c r="B39" s="239">
        <f>$I$5</f>
        <v>557</v>
      </c>
      <c r="C39" s="371" t="str">
        <f>$A$5</f>
        <v>GR</v>
      </c>
      <c r="D39" s="372"/>
      <c r="E39" s="373"/>
      <c r="F39" s="371" t="str">
        <f>$A$5</f>
        <v>GR</v>
      </c>
      <c r="G39" s="372"/>
      <c r="H39" s="373"/>
      <c r="I39" s="457" t="s">
        <v>60</v>
      </c>
      <c r="J39" s="240"/>
      <c r="K39" s="263">
        <v>100</v>
      </c>
      <c r="L39" s="168" t="s">
        <v>61</v>
      </c>
      <c r="M39" s="242">
        <f t="shared" ref="M39:M40" si="7">K39*B39/4000</f>
        <v>13.925000000000001</v>
      </c>
      <c r="N39" s="243"/>
      <c r="O39" s="242"/>
      <c r="P39" s="244" t="s">
        <v>10</v>
      </c>
      <c r="Q39" s="377"/>
      <c r="R39" s="242">
        <v>14</v>
      </c>
      <c r="S39" s="244" t="s">
        <v>10</v>
      </c>
      <c r="T39" s="245">
        <f t="shared" ref="T39:T40" si="8">R39-M39</f>
        <v>7.4999999999999289E-2</v>
      </c>
      <c r="U39" s="246"/>
      <c r="V39" s="247"/>
      <c r="W39" s="242"/>
      <c r="X39" s="242"/>
      <c r="Y39" s="459" t="s">
        <v>94</v>
      </c>
      <c r="Z39" s="260"/>
      <c r="AA39" s="249"/>
      <c r="AB39" s="449"/>
    </row>
    <row r="40" spans="1:32" s="176" customFormat="1" ht="69.95" customHeight="1" x14ac:dyDescent="0.15">
      <c r="A40" s="432"/>
      <c r="B40" s="264">
        <f>$I$6</f>
        <v>566</v>
      </c>
      <c r="C40" s="371" t="str">
        <f>$A$6</f>
        <v>BR</v>
      </c>
      <c r="D40" s="372"/>
      <c r="E40" s="373"/>
      <c r="F40" s="371" t="str">
        <f>$A$6</f>
        <v>BR</v>
      </c>
      <c r="G40" s="372"/>
      <c r="H40" s="373"/>
      <c r="I40" s="458"/>
      <c r="J40" s="265"/>
      <c r="K40" s="263">
        <v>100</v>
      </c>
      <c r="L40" s="266" t="s">
        <v>61</v>
      </c>
      <c r="M40" s="242">
        <f t="shared" si="7"/>
        <v>14.15</v>
      </c>
      <c r="N40" s="267"/>
      <c r="O40" s="268"/>
      <c r="P40" s="266" t="s">
        <v>10</v>
      </c>
      <c r="Q40" s="377"/>
      <c r="R40" s="269">
        <v>15</v>
      </c>
      <c r="S40" s="252" t="s">
        <v>10</v>
      </c>
      <c r="T40" s="270">
        <f t="shared" si="8"/>
        <v>0.84999999999999964</v>
      </c>
      <c r="U40" s="271"/>
      <c r="V40" s="271"/>
      <c r="W40" s="272"/>
      <c r="X40" s="273"/>
      <c r="Y40" s="460"/>
      <c r="Z40" s="274"/>
      <c r="AA40" s="275"/>
      <c r="AB40" s="449"/>
      <c r="AC40" s="592"/>
      <c r="AD40" s="593"/>
      <c r="AE40" s="593"/>
      <c r="AF40" s="593"/>
    </row>
    <row r="41" spans="1:32" s="261" customFormat="1" ht="69.95" customHeight="1" x14ac:dyDescent="0.15">
      <c r="A41" s="431" t="s">
        <v>312</v>
      </c>
      <c r="B41" s="182">
        <f>$I$5</f>
        <v>557</v>
      </c>
      <c r="C41" s="461" t="str">
        <f>$A$5</f>
        <v>GR</v>
      </c>
      <c r="D41" s="461"/>
      <c r="E41" s="461"/>
      <c r="F41" s="461"/>
      <c r="G41" s="461"/>
      <c r="H41" s="461"/>
      <c r="I41" s="457" t="s">
        <v>118</v>
      </c>
      <c r="J41" s="76"/>
      <c r="K41" s="139">
        <v>30</v>
      </c>
      <c r="L41" s="77" t="s">
        <v>61</v>
      </c>
      <c r="M41" s="242">
        <f>K41*B41/500</f>
        <v>33.42</v>
      </c>
      <c r="N41" s="79"/>
      <c r="O41" s="78"/>
      <c r="P41" s="80" t="s">
        <v>10</v>
      </c>
      <c r="Q41" s="377"/>
      <c r="R41" s="78">
        <v>34</v>
      </c>
      <c r="S41" s="80" t="s">
        <v>10</v>
      </c>
      <c r="T41" s="81">
        <f t="shared" si="3"/>
        <v>0.57999999999999829</v>
      </c>
      <c r="U41" s="82"/>
      <c r="V41" s="137"/>
      <c r="W41" s="78"/>
      <c r="X41" s="78"/>
      <c r="Y41" s="445" t="s">
        <v>94</v>
      </c>
      <c r="Z41" s="141"/>
      <c r="AA41" s="135"/>
      <c r="AB41" s="449"/>
    </row>
    <row r="42" spans="1:32" s="176" customFormat="1" ht="69.95" customHeight="1" x14ac:dyDescent="0.15">
      <c r="A42" s="432"/>
      <c r="B42" s="186">
        <f>$I$6</f>
        <v>566</v>
      </c>
      <c r="C42" s="395" t="str">
        <f>$A$6</f>
        <v>BR</v>
      </c>
      <c r="D42" s="396"/>
      <c r="E42" s="397"/>
      <c r="F42" s="395"/>
      <c r="G42" s="396"/>
      <c r="H42" s="397"/>
      <c r="I42" s="458"/>
      <c r="J42" s="144"/>
      <c r="K42" s="139">
        <v>30</v>
      </c>
      <c r="L42" s="145" t="s">
        <v>61</v>
      </c>
      <c r="M42" s="242">
        <f>K42*B42/500</f>
        <v>33.96</v>
      </c>
      <c r="N42" s="146"/>
      <c r="O42" s="147"/>
      <c r="P42" s="145" t="s">
        <v>10</v>
      </c>
      <c r="Q42" s="377"/>
      <c r="R42" s="161">
        <v>34</v>
      </c>
      <c r="S42" s="80" t="s">
        <v>10</v>
      </c>
      <c r="T42" s="84">
        <f t="shared" si="3"/>
        <v>3.9999999999999147E-2</v>
      </c>
      <c r="U42" s="149"/>
      <c r="V42" s="149"/>
      <c r="W42" s="150"/>
      <c r="X42" s="151"/>
      <c r="Y42" s="446"/>
      <c r="Z42" s="216"/>
      <c r="AA42" s="217"/>
      <c r="AB42" s="449"/>
      <c r="AC42" s="451"/>
      <c r="AD42" s="452"/>
      <c r="AE42" s="452"/>
      <c r="AF42" s="452"/>
    </row>
    <row r="43" spans="1:32" s="261" customFormat="1" ht="69.95" customHeight="1" x14ac:dyDescent="0.15">
      <c r="A43" s="431" t="s">
        <v>314</v>
      </c>
      <c r="B43" s="191">
        <f>$I$5</f>
        <v>557</v>
      </c>
      <c r="C43" s="465" t="str">
        <f>$A$5</f>
        <v>GR</v>
      </c>
      <c r="D43" s="465"/>
      <c r="E43" s="465"/>
      <c r="F43" s="465" t="str">
        <f>$A$5</f>
        <v>GR</v>
      </c>
      <c r="G43" s="465"/>
      <c r="H43" s="465"/>
      <c r="I43" s="433" t="s">
        <v>60</v>
      </c>
      <c r="J43" s="192"/>
      <c r="K43" s="193">
        <v>40</v>
      </c>
      <c r="L43" s="194" t="s">
        <v>61</v>
      </c>
      <c r="M43" s="195">
        <f>K43*B43/500</f>
        <v>44.56</v>
      </c>
      <c r="N43" s="196"/>
      <c r="O43" s="195"/>
      <c r="P43" s="197" t="s">
        <v>10</v>
      </c>
      <c r="Q43" s="307"/>
      <c r="R43" s="195"/>
      <c r="S43" s="197" t="s">
        <v>10</v>
      </c>
      <c r="T43" s="198">
        <f t="shared" si="3"/>
        <v>-44.56</v>
      </c>
      <c r="U43" s="199"/>
      <c r="V43" s="200"/>
      <c r="W43" s="195"/>
      <c r="X43" s="195"/>
      <c r="Y43" s="437" t="s">
        <v>94</v>
      </c>
      <c r="Z43" s="201"/>
      <c r="AA43" s="202"/>
      <c r="AB43" s="558"/>
    </row>
    <row r="44" spans="1:32" s="176" customFormat="1" ht="69.95" customHeight="1" x14ac:dyDescent="0.15">
      <c r="A44" s="432"/>
      <c r="B44" s="204">
        <f>$I$6</f>
        <v>566</v>
      </c>
      <c r="C44" s="453" t="str">
        <f>$A$6</f>
        <v>BR</v>
      </c>
      <c r="D44" s="454"/>
      <c r="E44" s="455"/>
      <c r="F44" s="453" t="str">
        <f>$A$6</f>
        <v>BR</v>
      </c>
      <c r="G44" s="454"/>
      <c r="H44" s="455"/>
      <c r="I44" s="434"/>
      <c r="J44" s="218"/>
      <c r="K44" s="193">
        <v>40</v>
      </c>
      <c r="L44" s="219" t="s">
        <v>61</v>
      </c>
      <c r="M44" s="195">
        <f>K44*B44/500</f>
        <v>45.28</v>
      </c>
      <c r="N44" s="220"/>
      <c r="O44" s="221"/>
      <c r="P44" s="219" t="s">
        <v>10</v>
      </c>
      <c r="Q44" s="307"/>
      <c r="R44" s="222"/>
      <c r="S44" s="215" t="s">
        <v>10</v>
      </c>
      <c r="T44" s="205">
        <f t="shared" si="3"/>
        <v>-45.28</v>
      </c>
      <c r="U44" s="223"/>
      <c r="V44" s="223"/>
      <c r="W44" s="224"/>
      <c r="X44" s="225"/>
      <c r="Y44" s="438"/>
      <c r="Z44" s="226"/>
      <c r="AA44" s="227"/>
      <c r="AB44" s="558"/>
      <c r="AC44" s="451"/>
      <c r="AD44" s="452"/>
      <c r="AE44" s="452"/>
      <c r="AF44" s="452"/>
    </row>
    <row r="45" spans="1:32" s="55" customFormat="1" ht="69.95" customHeight="1" x14ac:dyDescent="0.15">
      <c r="A45" s="431" t="s">
        <v>213</v>
      </c>
      <c r="B45" s="182">
        <f t="shared" ref="B45:B63" si="9">$I$5</f>
        <v>557</v>
      </c>
      <c r="C45" s="368" t="str">
        <f t="shared" ref="C45:C63" si="10">$A$5</f>
        <v>GR</v>
      </c>
      <c r="D45" s="369"/>
      <c r="E45" s="370"/>
      <c r="F45" s="428"/>
      <c r="G45" s="429"/>
      <c r="H45" s="430"/>
      <c r="I45" s="75" t="s">
        <v>101</v>
      </c>
      <c r="J45" s="76"/>
      <c r="K45" s="139">
        <v>1</v>
      </c>
      <c r="L45" s="77" t="s">
        <v>63</v>
      </c>
      <c r="M45" s="78">
        <f>K45*B45</f>
        <v>557</v>
      </c>
      <c r="N45" s="79"/>
      <c r="O45" s="78"/>
      <c r="P45" s="80" t="s">
        <v>63</v>
      </c>
      <c r="Q45" s="377">
        <v>46101</v>
      </c>
      <c r="R45" s="78">
        <v>557</v>
      </c>
      <c r="S45" s="80" t="s">
        <v>63</v>
      </c>
      <c r="T45" s="84">
        <f t="shared" si="3"/>
        <v>0</v>
      </c>
      <c r="U45" s="82"/>
      <c r="V45" s="82"/>
      <c r="W45" s="83"/>
      <c r="X45" s="81"/>
      <c r="Y45" s="445" t="s">
        <v>94</v>
      </c>
      <c r="Z45" s="86"/>
      <c r="AA45" s="85"/>
      <c r="AB45" s="449" t="s">
        <v>318</v>
      </c>
    </row>
    <row r="46" spans="1:32" s="55" customFormat="1" ht="69.95" customHeight="1" x14ac:dyDescent="0.15">
      <c r="A46" s="432"/>
      <c r="B46" s="186">
        <f>$I$6</f>
        <v>566</v>
      </c>
      <c r="C46" s="368" t="str">
        <f>$A$6</f>
        <v>BR</v>
      </c>
      <c r="D46" s="369"/>
      <c r="E46" s="370"/>
      <c r="F46" s="428"/>
      <c r="G46" s="429"/>
      <c r="H46" s="430"/>
      <c r="I46" s="75" t="s">
        <v>101</v>
      </c>
      <c r="J46" s="76"/>
      <c r="K46" s="139">
        <v>1</v>
      </c>
      <c r="L46" s="77" t="s">
        <v>63</v>
      </c>
      <c r="M46" s="78">
        <f>K46*B46</f>
        <v>566</v>
      </c>
      <c r="N46" s="140"/>
      <c r="O46" s="78"/>
      <c r="P46" s="80" t="s">
        <v>63</v>
      </c>
      <c r="Q46" s="377"/>
      <c r="R46" s="78">
        <v>566</v>
      </c>
      <c r="S46" s="80" t="s">
        <v>63</v>
      </c>
      <c r="T46" s="81">
        <f t="shared" si="3"/>
        <v>0</v>
      </c>
      <c r="U46" s="82"/>
      <c r="V46" s="137"/>
      <c r="W46" s="78"/>
      <c r="X46" s="78"/>
      <c r="Y46" s="446"/>
      <c r="Z46" s="141"/>
      <c r="AA46" s="135"/>
      <c r="AB46" s="449"/>
      <c r="AC46" s="142"/>
      <c r="AD46" s="179"/>
      <c r="AE46" s="179"/>
      <c r="AF46" s="179"/>
    </row>
    <row r="47" spans="1:32" s="55" customFormat="1" ht="69.95" customHeight="1" x14ac:dyDescent="0.15">
      <c r="A47" s="431" t="s">
        <v>136</v>
      </c>
      <c r="B47" s="182">
        <f t="shared" ref="B47" si="11">$I$5</f>
        <v>557</v>
      </c>
      <c r="C47" s="368" t="str">
        <f t="shared" ref="C47" si="12">$A$5</f>
        <v>GR</v>
      </c>
      <c r="D47" s="369"/>
      <c r="E47" s="370"/>
      <c r="F47" s="428"/>
      <c r="G47" s="429"/>
      <c r="H47" s="430"/>
      <c r="I47" s="75"/>
      <c r="J47" s="76"/>
      <c r="K47" s="139">
        <v>1</v>
      </c>
      <c r="L47" s="77" t="s">
        <v>65</v>
      </c>
      <c r="M47" s="78">
        <f>K47*B47</f>
        <v>557</v>
      </c>
      <c r="N47" s="79"/>
      <c r="O47" s="78"/>
      <c r="P47" s="80" t="s">
        <v>65</v>
      </c>
      <c r="Q47" s="377"/>
      <c r="R47" s="78">
        <v>557</v>
      </c>
      <c r="S47" s="80" t="s">
        <v>65</v>
      </c>
      <c r="T47" s="84">
        <f t="shared" si="3"/>
        <v>0</v>
      </c>
      <c r="U47" s="82"/>
      <c r="V47" s="82"/>
      <c r="W47" s="83"/>
      <c r="X47" s="81"/>
      <c r="Y47" s="445" t="s">
        <v>94</v>
      </c>
      <c r="Z47" s="86"/>
      <c r="AA47" s="85"/>
      <c r="AB47" s="449"/>
    </row>
    <row r="48" spans="1:32" s="55" customFormat="1" ht="69.95" customHeight="1" x14ac:dyDescent="0.15">
      <c r="A48" s="432"/>
      <c r="B48" s="186">
        <f>$I$6</f>
        <v>566</v>
      </c>
      <c r="C48" s="368" t="str">
        <f>$A$6</f>
        <v>BR</v>
      </c>
      <c r="D48" s="369"/>
      <c r="E48" s="370"/>
      <c r="F48" s="428"/>
      <c r="G48" s="429"/>
      <c r="H48" s="430"/>
      <c r="I48" s="75"/>
      <c r="J48" s="76"/>
      <c r="K48" s="139">
        <v>1</v>
      </c>
      <c r="L48" s="77" t="s">
        <v>65</v>
      </c>
      <c r="M48" s="78">
        <f>K48*B48</f>
        <v>566</v>
      </c>
      <c r="N48" s="140"/>
      <c r="O48" s="78"/>
      <c r="P48" s="80" t="s">
        <v>65</v>
      </c>
      <c r="Q48" s="378"/>
      <c r="R48" s="78">
        <v>566</v>
      </c>
      <c r="S48" s="80" t="s">
        <v>65</v>
      </c>
      <c r="T48" s="81">
        <f t="shared" si="3"/>
        <v>0</v>
      </c>
      <c r="U48" s="82"/>
      <c r="V48" s="137"/>
      <c r="W48" s="78"/>
      <c r="X48" s="78"/>
      <c r="Y48" s="446"/>
      <c r="Z48" s="141"/>
      <c r="AA48" s="135"/>
      <c r="AB48" s="450"/>
      <c r="AC48" s="142"/>
      <c r="AD48" s="179"/>
      <c r="AE48" s="179"/>
      <c r="AF48" s="179"/>
    </row>
    <row r="49" spans="1:32" s="206" customFormat="1" ht="69.95" customHeight="1" x14ac:dyDescent="0.15">
      <c r="A49" s="431" t="s">
        <v>117</v>
      </c>
      <c r="B49" s="191">
        <f t="shared" ref="B49:B51" si="13">$I$5</f>
        <v>557</v>
      </c>
      <c r="C49" s="422" t="str">
        <f t="shared" ref="C49:C51" si="14">$A$5</f>
        <v>GR</v>
      </c>
      <c r="D49" s="423"/>
      <c r="E49" s="424"/>
      <c r="F49" s="425"/>
      <c r="G49" s="423"/>
      <c r="H49" s="424"/>
      <c r="I49" s="433" t="s">
        <v>80</v>
      </c>
      <c r="J49" s="192"/>
      <c r="K49" s="193">
        <v>1</v>
      </c>
      <c r="L49" s="194" t="s">
        <v>65</v>
      </c>
      <c r="M49" s="195">
        <f t="shared" ref="M49:M64" si="15">K49*B49</f>
        <v>557</v>
      </c>
      <c r="N49" s="196"/>
      <c r="O49" s="195"/>
      <c r="P49" s="194" t="s">
        <v>65</v>
      </c>
      <c r="Q49" s="435"/>
      <c r="R49" s="195"/>
      <c r="S49" s="194" t="s">
        <v>65</v>
      </c>
      <c r="T49" s="205">
        <f t="shared" si="3"/>
        <v>-557</v>
      </c>
      <c r="U49" s="199"/>
      <c r="V49" s="199"/>
      <c r="W49" s="208"/>
      <c r="X49" s="198"/>
      <c r="Y49" s="437" t="s">
        <v>57</v>
      </c>
      <c r="Z49" s="231"/>
      <c r="AA49" s="232"/>
      <c r="AB49" s="439"/>
    </row>
    <row r="50" spans="1:32" s="206" customFormat="1" ht="69.95" customHeight="1" x14ac:dyDescent="0.15">
      <c r="A50" s="432"/>
      <c r="B50" s="204">
        <f>$I$6</f>
        <v>566</v>
      </c>
      <c r="C50" s="453" t="str">
        <f>$A$6</f>
        <v>BR</v>
      </c>
      <c r="D50" s="454"/>
      <c r="E50" s="455"/>
      <c r="F50" s="425"/>
      <c r="G50" s="423"/>
      <c r="H50" s="424"/>
      <c r="I50" s="434"/>
      <c r="J50" s="192"/>
      <c r="K50" s="193">
        <v>1</v>
      </c>
      <c r="L50" s="194" t="s">
        <v>65</v>
      </c>
      <c r="M50" s="195">
        <f t="shared" si="15"/>
        <v>566</v>
      </c>
      <c r="N50" s="233"/>
      <c r="O50" s="195"/>
      <c r="P50" s="194" t="s">
        <v>65</v>
      </c>
      <c r="Q50" s="436"/>
      <c r="R50" s="195"/>
      <c r="S50" s="194" t="s">
        <v>65</v>
      </c>
      <c r="T50" s="198">
        <f t="shared" si="3"/>
        <v>-566</v>
      </c>
      <c r="U50" s="199"/>
      <c r="V50" s="200"/>
      <c r="W50" s="195"/>
      <c r="X50" s="195"/>
      <c r="Y50" s="438"/>
      <c r="Z50" s="201"/>
      <c r="AA50" s="202"/>
      <c r="AB50" s="440"/>
      <c r="AC50" s="234"/>
      <c r="AD50" s="230"/>
      <c r="AE50" s="230"/>
      <c r="AF50" s="230"/>
    </row>
    <row r="51" spans="1:32" s="206" customFormat="1" ht="69.95" customHeight="1" x14ac:dyDescent="0.15">
      <c r="A51" s="431" t="s">
        <v>78</v>
      </c>
      <c r="B51" s="191">
        <f t="shared" si="13"/>
        <v>557</v>
      </c>
      <c r="C51" s="422" t="str">
        <f t="shared" si="14"/>
        <v>GR</v>
      </c>
      <c r="D51" s="423"/>
      <c r="E51" s="424"/>
      <c r="F51" s="425"/>
      <c r="G51" s="423"/>
      <c r="H51" s="424"/>
      <c r="I51" s="207"/>
      <c r="J51" s="192"/>
      <c r="K51" s="193">
        <v>1</v>
      </c>
      <c r="L51" s="194" t="s">
        <v>65</v>
      </c>
      <c r="M51" s="195">
        <f t="shared" si="15"/>
        <v>557</v>
      </c>
      <c r="N51" s="196"/>
      <c r="O51" s="195"/>
      <c r="P51" s="194" t="s">
        <v>65</v>
      </c>
      <c r="Q51" s="435"/>
      <c r="R51" s="195"/>
      <c r="S51" s="194" t="s">
        <v>65</v>
      </c>
      <c r="T51" s="205">
        <f t="shared" si="3"/>
        <v>-557</v>
      </c>
      <c r="U51" s="199"/>
      <c r="V51" s="199"/>
      <c r="W51" s="208"/>
      <c r="X51" s="198"/>
      <c r="Y51" s="437" t="s">
        <v>57</v>
      </c>
      <c r="Z51" s="231"/>
      <c r="AA51" s="232"/>
      <c r="AB51" s="439"/>
    </row>
    <row r="52" spans="1:32" s="206" customFormat="1" ht="69.95" customHeight="1" x14ac:dyDescent="0.15">
      <c r="A52" s="432"/>
      <c r="B52" s="204">
        <f>$I$6</f>
        <v>566</v>
      </c>
      <c r="C52" s="453" t="str">
        <f>$A$6</f>
        <v>BR</v>
      </c>
      <c r="D52" s="454"/>
      <c r="E52" s="455"/>
      <c r="F52" s="425"/>
      <c r="G52" s="423"/>
      <c r="H52" s="424"/>
      <c r="I52" s="207"/>
      <c r="J52" s="192"/>
      <c r="K52" s="193">
        <v>1</v>
      </c>
      <c r="L52" s="194" t="s">
        <v>65</v>
      </c>
      <c r="M52" s="195">
        <f t="shared" si="15"/>
        <v>566</v>
      </c>
      <c r="N52" s="233"/>
      <c r="O52" s="195"/>
      <c r="P52" s="194" t="s">
        <v>65</v>
      </c>
      <c r="Q52" s="436"/>
      <c r="R52" s="195"/>
      <c r="S52" s="194" t="s">
        <v>65</v>
      </c>
      <c r="T52" s="198">
        <f t="shared" si="3"/>
        <v>-566</v>
      </c>
      <c r="U52" s="199"/>
      <c r="V52" s="200"/>
      <c r="W52" s="195"/>
      <c r="X52" s="195"/>
      <c r="Y52" s="438"/>
      <c r="Z52" s="201"/>
      <c r="AA52" s="202"/>
      <c r="AB52" s="440"/>
      <c r="AC52" s="234"/>
      <c r="AD52" s="230"/>
      <c r="AE52" s="230"/>
      <c r="AF52" s="230"/>
    </row>
    <row r="53" spans="1:32" s="55" customFormat="1" ht="69.95" customHeight="1" x14ac:dyDescent="0.15">
      <c r="A53" s="431" t="s">
        <v>146</v>
      </c>
      <c r="B53" s="182">
        <f t="shared" ref="B53:B55" si="16">$I$5</f>
        <v>557</v>
      </c>
      <c r="C53" s="368" t="str">
        <f t="shared" ref="C53:C55" si="17">$A$5</f>
        <v>GR</v>
      </c>
      <c r="D53" s="369"/>
      <c r="E53" s="370"/>
      <c r="F53" s="428"/>
      <c r="G53" s="429"/>
      <c r="H53" s="430"/>
      <c r="I53" s="441" t="s">
        <v>306</v>
      </c>
      <c r="J53" s="76"/>
      <c r="K53" s="136">
        <v>0.5</v>
      </c>
      <c r="L53" s="77" t="s">
        <v>129</v>
      </c>
      <c r="M53" s="78">
        <f t="shared" si="15"/>
        <v>278.5</v>
      </c>
      <c r="N53" s="79"/>
      <c r="O53" s="78"/>
      <c r="P53" s="80" t="s">
        <v>63</v>
      </c>
      <c r="Q53" s="443">
        <v>46101</v>
      </c>
      <c r="R53" s="78">
        <v>300</v>
      </c>
      <c r="S53" s="80" t="s">
        <v>63</v>
      </c>
      <c r="T53" s="84">
        <f t="shared" si="3"/>
        <v>21.5</v>
      </c>
      <c r="U53" s="82"/>
      <c r="V53" s="82"/>
      <c r="W53" s="83"/>
      <c r="X53" s="81"/>
      <c r="Y53" s="445" t="s">
        <v>130</v>
      </c>
      <c r="Z53" s="86"/>
      <c r="AA53" s="85"/>
      <c r="AB53" s="360" t="s">
        <v>318</v>
      </c>
    </row>
    <row r="54" spans="1:32" s="55" customFormat="1" ht="69.95" customHeight="1" x14ac:dyDescent="0.15">
      <c r="A54" s="432"/>
      <c r="B54" s="186">
        <f>$I$6</f>
        <v>566</v>
      </c>
      <c r="C54" s="368" t="str">
        <f>$A$6</f>
        <v>BR</v>
      </c>
      <c r="D54" s="369"/>
      <c r="E54" s="370"/>
      <c r="F54" s="428"/>
      <c r="G54" s="429"/>
      <c r="H54" s="430"/>
      <c r="I54" s="442"/>
      <c r="J54" s="76"/>
      <c r="K54" s="298">
        <v>0.5</v>
      </c>
      <c r="L54" s="77" t="s">
        <v>129</v>
      </c>
      <c r="M54" s="78">
        <f t="shared" si="15"/>
        <v>283</v>
      </c>
      <c r="N54" s="140"/>
      <c r="O54" s="78"/>
      <c r="P54" s="80" t="s">
        <v>63</v>
      </c>
      <c r="Q54" s="447"/>
      <c r="R54" s="78">
        <v>300</v>
      </c>
      <c r="S54" s="80" t="s">
        <v>63</v>
      </c>
      <c r="T54" s="81">
        <f t="shared" si="3"/>
        <v>17</v>
      </c>
      <c r="U54" s="82"/>
      <c r="V54" s="137"/>
      <c r="W54" s="78"/>
      <c r="X54" s="78"/>
      <c r="Y54" s="446"/>
      <c r="Z54" s="141"/>
      <c r="AA54" s="135"/>
      <c r="AB54" s="361"/>
      <c r="AC54" s="142"/>
      <c r="AD54" s="179"/>
      <c r="AE54" s="179"/>
      <c r="AF54" s="179"/>
    </row>
    <row r="55" spans="1:32" s="55" customFormat="1" ht="69.95" customHeight="1" x14ac:dyDescent="0.15">
      <c r="A55" s="431" t="s">
        <v>141</v>
      </c>
      <c r="B55" s="191">
        <f t="shared" si="16"/>
        <v>557</v>
      </c>
      <c r="C55" s="422" t="str">
        <f t="shared" si="17"/>
        <v>GR</v>
      </c>
      <c r="D55" s="423"/>
      <c r="E55" s="424"/>
      <c r="F55" s="425"/>
      <c r="G55" s="426"/>
      <c r="H55" s="427"/>
      <c r="I55" s="433" t="s">
        <v>306</v>
      </c>
      <c r="J55" s="192"/>
      <c r="K55" s="209">
        <v>0.5</v>
      </c>
      <c r="L55" s="194" t="s">
        <v>129</v>
      </c>
      <c r="M55" s="195">
        <f t="shared" si="15"/>
        <v>278.5</v>
      </c>
      <c r="N55" s="196"/>
      <c r="O55" s="195"/>
      <c r="P55" s="197" t="s">
        <v>63</v>
      </c>
      <c r="Q55" s="561"/>
      <c r="R55" s="195"/>
      <c r="S55" s="197" t="s">
        <v>63</v>
      </c>
      <c r="T55" s="205">
        <f t="shared" si="3"/>
        <v>-278.5</v>
      </c>
      <c r="U55" s="199"/>
      <c r="V55" s="199"/>
      <c r="W55" s="208"/>
      <c r="X55" s="198"/>
      <c r="Y55" s="437" t="s">
        <v>130</v>
      </c>
      <c r="Z55" s="231"/>
      <c r="AA55" s="232"/>
      <c r="AB55" s="558"/>
    </row>
    <row r="56" spans="1:32" s="55" customFormat="1" ht="69.95" customHeight="1" x14ac:dyDescent="0.15">
      <c r="A56" s="432"/>
      <c r="B56" s="204">
        <f>$I$6</f>
        <v>566</v>
      </c>
      <c r="C56" s="422" t="str">
        <f>$A$6</f>
        <v>BR</v>
      </c>
      <c r="D56" s="423"/>
      <c r="E56" s="424"/>
      <c r="F56" s="425"/>
      <c r="G56" s="426"/>
      <c r="H56" s="427"/>
      <c r="I56" s="434"/>
      <c r="J56" s="192"/>
      <c r="K56" s="304">
        <v>0.5</v>
      </c>
      <c r="L56" s="194" t="s">
        <v>129</v>
      </c>
      <c r="M56" s="195">
        <f t="shared" si="15"/>
        <v>283</v>
      </c>
      <c r="N56" s="233"/>
      <c r="O56" s="195"/>
      <c r="P56" s="197" t="s">
        <v>63</v>
      </c>
      <c r="Q56" s="436"/>
      <c r="R56" s="195"/>
      <c r="S56" s="197" t="s">
        <v>63</v>
      </c>
      <c r="T56" s="198">
        <f t="shared" si="3"/>
        <v>-283</v>
      </c>
      <c r="U56" s="199"/>
      <c r="V56" s="200"/>
      <c r="W56" s="195"/>
      <c r="X56" s="195"/>
      <c r="Y56" s="438"/>
      <c r="Z56" s="201"/>
      <c r="AA56" s="202"/>
      <c r="AB56" s="440"/>
      <c r="AC56" s="142"/>
      <c r="AD56" s="179"/>
      <c r="AE56" s="179"/>
      <c r="AF56" s="179"/>
    </row>
    <row r="57" spans="1:32" s="55" customFormat="1" ht="69.95" customHeight="1" x14ac:dyDescent="0.15">
      <c r="A57" s="431" t="s">
        <v>134</v>
      </c>
      <c r="B57" s="191">
        <f t="shared" ref="B57" si="18">$I$5</f>
        <v>557</v>
      </c>
      <c r="C57" s="422" t="str">
        <f t="shared" ref="C57" si="19">$A$5</f>
        <v>GR</v>
      </c>
      <c r="D57" s="423"/>
      <c r="E57" s="424"/>
      <c r="F57" s="425"/>
      <c r="G57" s="426"/>
      <c r="H57" s="427"/>
      <c r="I57" s="207"/>
      <c r="J57" s="192"/>
      <c r="K57" s="193">
        <v>1</v>
      </c>
      <c r="L57" s="194" t="s">
        <v>65</v>
      </c>
      <c r="M57" s="195">
        <f t="shared" si="15"/>
        <v>557</v>
      </c>
      <c r="N57" s="196"/>
      <c r="O57" s="195"/>
      <c r="P57" s="197" t="s">
        <v>65</v>
      </c>
      <c r="Q57" s="435"/>
      <c r="R57" s="195"/>
      <c r="S57" s="197" t="s">
        <v>65</v>
      </c>
      <c r="T57" s="205">
        <f t="shared" si="3"/>
        <v>-557</v>
      </c>
      <c r="U57" s="199"/>
      <c r="V57" s="199"/>
      <c r="W57" s="208"/>
      <c r="X57" s="198"/>
      <c r="Y57" s="437" t="s">
        <v>135</v>
      </c>
      <c r="Z57" s="231"/>
      <c r="AA57" s="232"/>
      <c r="AB57" s="439"/>
    </row>
    <row r="58" spans="1:32" s="55" customFormat="1" ht="69.95" customHeight="1" x14ac:dyDescent="0.15">
      <c r="A58" s="432"/>
      <c r="B58" s="204">
        <f>$I$6</f>
        <v>566</v>
      </c>
      <c r="C58" s="422" t="str">
        <f>$A$6</f>
        <v>BR</v>
      </c>
      <c r="D58" s="423"/>
      <c r="E58" s="424"/>
      <c r="F58" s="425"/>
      <c r="G58" s="426"/>
      <c r="H58" s="427"/>
      <c r="I58" s="207"/>
      <c r="J58" s="192"/>
      <c r="K58" s="193">
        <v>1</v>
      </c>
      <c r="L58" s="194" t="s">
        <v>65</v>
      </c>
      <c r="M58" s="195">
        <f t="shared" si="15"/>
        <v>566</v>
      </c>
      <c r="N58" s="233"/>
      <c r="O58" s="195"/>
      <c r="P58" s="197" t="s">
        <v>65</v>
      </c>
      <c r="Q58" s="436"/>
      <c r="R58" s="195"/>
      <c r="S58" s="197" t="s">
        <v>65</v>
      </c>
      <c r="T58" s="198">
        <f t="shared" si="3"/>
        <v>-566</v>
      </c>
      <c r="U58" s="199"/>
      <c r="V58" s="200"/>
      <c r="W58" s="195"/>
      <c r="X58" s="195"/>
      <c r="Y58" s="438"/>
      <c r="Z58" s="201"/>
      <c r="AA58" s="202"/>
      <c r="AB58" s="440"/>
      <c r="AC58" s="142"/>
      <c r="AD58" s="179"/>
      <c r="AE58" s="179"/>
      <c r="AF58" s="179"/>
    </row>
    <row r="59" spans="1:32" s="206" customFormat="1" ht="69.95" customHeight="1" x14ac:dyDescent="0.15">
      <c r="A59" s="431" t="s">
        <v>197</v>
      </c>
      <c r="B59" s="191">
        <f t="shared" si="9"/>
        <v>557</v>
      </c>
      <c r="C59" s="422" t="str">
        <f t="shared" si="10"/>
        <v>GR</v>
      </c>
      <c r="D59" s="423"/>
      <c r="E59" s="424"/>
      <c r="F59" s="425"/>
      <c r="G59" s="426"/>
      <c r="H59" s="427"/>
      <c r="I59" s="207" t="s">
        <v>113</v>
      </c>
      <c r="J59" s="192"/>
      <c r="K59" s="193">
        <v>1</v>
      </c>
      <c r="L59" s="194" t="s">
        <v>63</v>
      </c>
      <c r="M59" s="195">
        <f t="shared" si="15"/>
        <v>557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-557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206" customFormat="1" ht="69.95" customHeight="1" x14ac:dyDescent="0.15">
      <c r="A60" s="432"/>
      <c r="B60" s="204">
        <f>$I$6</f>
        <v>566</v>
      </c>
      <c r="C60" s="422" t="str">
        <f>$A$6</f>
        <v>BR</v>
      </c>
      <c r="D60" s="423"/>
      <c r="E60" s="424"/>
      <c r="F60" s="425"/>
      <c r="G60" s="426"/>
      <c r="H60" s="427"/>
      <c r="I60" s="207" t="s">
        <v>113</v>
      </c>
      <c r="J60" s="192"/>
      <c r="K60" s="193">
        <v>1</v>
      </c>
      <c r="L60" s="194" t="s">
        <v>63</v>
      </c>
      <c r="M60" s="195">
        <f t="shared" si="15"/>
        <v>566</v>
      </c>
      <c r="N60" s="233"/>
      <c r="O60" s="195"/>
      <c r="P60" s="197" t="s">
        <v>63</v>
      </c>
      <c r="Q60" s="436"/>
      <c r="R60" s="195"/>
      <c r="S60" s="197" t="s">
        <v>63</v>
      </c>
      <c r="T60" s="198">
        <f t="shared" si="3"/>
        <v>-566</v>
      </c>
      <c r="U60" s="199"/>
      <c r="V60" s="200"/>
      <c r="W60" s="195"/>
      <c r="X60" s="195"/>
      <c r="Y60" s="438"/>
      <c r="Z60" s="201"/>
      <c r="AA60" s="202"/>
      <c r="AB60" s="440"/>
      <c r="AC60" s="234"/>
      <c r="AD60" s="230"/>
      <c r="AE60" s="230"/>
      <c r="AF60" s="230"/>
    </row>
    <row r="61" spans="1:32" s="206" customFormat="1" ht="69.95" customHeight="1" x14ac:dyDescent="0.15">
      <c r="A61" s="431" t="s">
        <v>90</v>
      </c>
      <c r="B61" s="191">
        <f t="shared" si="9"/>
        <v>557</v>
      </c>
      <c r="C61" s="422" t="str">
        <f t="shared" si="10"/>
        <v>GR</v>
      </c>
      <c r="D61" s="423"/>
      <c r="E61" s="424"/>
      <c r="F61" s="425"/>
      <c r="G61" s="426"/>
      <c r="H61" s="427"/>
      <c r="I61" s="207" t="s">
        <v>79</v>
      </c>
      <c r="J61" s="192"/>
      <c r="K61" s="193">
        <v>1</v>
      </c>
      <c r="L61" s="194" t="s">
        <v>63</v>
      </c>
      <c r="M61" s="195">
        <f t="shared" si="15"/>
        <v>557</v>
      </c>
      <c r="N61" s="196"/>
      <c r="O61" s="195"/>
      <c r="P61" s="197" t="s">
        <v>63</v>
      </c>
      <c r="Q61" s="435"/>
      <c r="R61" s="195"/>
      <c r="S61" s="197" t="s">
        <v>63</v>
      </c>
      <c r="T61" s="205">
        <f t="shared" si="3"/>
        <v>-557</v>
      </c>
      <c r="U61" s="199"/>
      <c r="V61" s="199"/>
      <c r="W61" s="208"/>
      <c r="X61" s="198"/>
      <c r="Y61" s="437" t="s">
        <v>64</v>
      </c>
      <c r="Z61" s="231"/>
      <c r="AA61" s="232"/>
      <c r="AB61" s="439"/>
    </row>
    <row r="62" spans="1:32" s="206" customFormat="1" ht="69.95" customHeight="1" x14ac:dyDescent="0.15">
      <c r="A62" s="432"/>
      <c r="B62" s="204">
        <f>$I$6</f>
        <v>566</v>
      </c>
      <c r="C62" s="422" t="str">
        <f>$A$6</f>
        <v>BR</v>
      </c>
      <c r="D62" s="423"/>
      <c r="E62" s="424"/>
      <c r="F62" s="425"/>
      <c r="G62" s="426"/>
      <c r="H62" s="427"/>
      <c r="I62" s="207" t="s">
        <v>79</v>
      </c>
      <c r="J62" s="192"/>
      <c r="K62" s="193">
        <v>1</v>
      </c>
      <c r="L62" s="194" t="s">
        <v>63</v>
      </c>
      <c r="M62" s="195">
        <f t="shared" si="15"/>
        <v>566</v>
      </c>
      <c r="N62" s="233"/>
      <c r="O62" s="195"/>
      <c r="P62" s="197" t="s">
        <v>63</v>
      </c>
      <c r="Q62" s="436"/>
      <c r="R62" s="195"/>
      <c r="S62" s="197" t="s">
        <v>63</v>
      </c>
      <c r="T62" s="198">
        <f t="shared" si="3"/>
        <v>-566</v>
      </c>
      <c r="U62" s="199"/>
      <c r="V62" s="200"/>
      <c r="W62" s="195"/>
      <c r="X62" s="195"/>
      <c r="Y62" s="438"/>
      <c r="Z62" s="201"/>
      <c r="AA62" s="202"/>
      <c r="AB62" s="440"/>
      <c r="AC62" s="234"/>
      <c r="AD62" s="230"/>
      <c r="AE62" s="230"/>
      <c r="AF62" s="230"/>
    </row>
    <row r="63" spans="1:32" s="55" customFormat="1" ht="69.95" customHeight="1" x14ac:dyDescent="0.15">
      <c r="A63" s="431" t="s">
        <v>91</v>
      </c>
      <c r="B63" s="191">
        <f t="shared" si="9"/>
        <v>557</v>
      </c>
      <c r="C63" s="422" t="str">
        <f t="shared" si="10"/>
        <v>GR</v>
      </c>
      <c r="D63" s="423"/>
      <c r="E63" s="424"/>
      <c r="F63" s="425"/>
      <c r="G63" s="426"/>
      <c r="H63" s="427"/>
      <c r="I63" s="207" t="s">
        <v>75</v>
      </c>
      <c r="J63" s="192"/>
      <c r="K63" s="193">
        <v>1</v>
      </c>
      <c r="L63" s="194" t="s">
        <v>63</v>
      </c>
      <c r="M63" s="195">
        <f t="shared" si="15"/>
        <v>557</v>
      </c>
      <c r="N63" s="196"/>
      <c r="O63" s="195"/>
      <c r="P63" s="197" t="s">
        <v>63</v>
      </c>
      <c r="Q63" s="435"/>
      <c r="R63" s="195"/>
      <c r="S63" s="197" t="s">
        <v>63</v>
      </c>
      <c r="T63" s="205">
        <f t="shared" si="3"/>
        <v>-557</v>
      </c>
      <c r="U63" s="199"/>
      <c r="V63" s="199"/>
      <c r="W63" s="208"/>
      <c r="X63" s="198"/>
      <c r="Y63" s="437" t="s">
        <v>64</v>
      </c>
      <c r="Z63" s="231"/>
      <c r="AA63" s="232"/>
      <c r="AB63" s="439"/>
    </row>
    <row r="64" spans="1:32" s="55" customFormat="1" ht="69.95" customHeight="1" x14ac:dyDescent="0.15">
      <c r="A64" s="432"/>
      <c r="B64" s="204">
        <f>$I$6</f>
        <v>566</v>
      </c>
      <c r="C64" s="422" t="str">
        <f>$A$6</f>
        <v>BR</v>
      </c>
      <c r="D64" s="423"/>
      <c r="E64" s="424"/>
      <c r="F64" s="425"/>
      <c r="G64" s="426"/>
      <c r="H64" s="427"/>
      <c r="I64" s="207" t="s">
        <v>75</v>
      </c>
      <c r="J64" s="192"/>
      <c r="K64" s="193">
        <v>1</v>
      </c>
      <c r="L64" s="194" t="s">
        <v>63</v>
      </c>
      <c r="M64" s="195">
        <f t="shared" si="15"/>
        <v>566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-566</v>
      </c>
      <c r="U64" s="199"/>
      <c r="V64" s="200"/>
      <c r="W64" s="195"/>
      <c r="X64" s="195"/>
      <c r="Y64" s="438"/>
      <c r="Z64" s="201"/>
      <c r="AA64" s="202"/>
      <c r="AB64" s="440"/>
      <c r="AC64" s="142"/>
      <c r="AD64" s="179"/>
      <c r="AE64" s="179"/>
      <c r="AF64" s="179"/>
    </row>
    <row r="65" spans="1:32" s="206" customFormat="1" ht="69.95" customHeight="1" x14ac:dyDescent="0.15">
      <c r="A65" s="431" t="s">
        <v>119</v>
      </c>
      <c r="B65" s="191">
        <f t="shared" ref="B65:B67" si="20">$I$5</f>
        <v>557</v>
      </c>
      <c r="C65" s="422" t="str">
        <f t="shared" ref="C65:C67" si="21">$A$5</f>
        <v>GR</v>
      </c>
      <c r="D65" s="423"/>
      <c r="E65" s="424"/>
      <c r="F65" s="425"/>
      <c r="G65" s="426"/>
      <c r="H65" s="427"/>
      <c r="I65" s="433" t="s">
        <v>121</v>
      </c>
      <c r="J65" s="192"/>
      <c r="K65" s="193">
        <v>2</v>
      </c>
      <c r="L65" s="194" t="s">
        <v>63</v>
      </c>
      <c r="M65" s="195">
        <f t="shared" si="4"/>
        <v>1114</v>
      </c>
      <c r="N65" s="196"/>
      <c r="O65" s="195"/>
      <c r="P65" s="197" t="s">
        <v>63</v>
      </c>
      <c r="Q65" s="435"/>
      <c r="R65" s="195"/>
      <c r="S65" s="197" t="s">
        <v>63</v>
      </c>
      <c r="T65" s="205">
        <f t="shared" si="3"/>
        <v>-1114</v>
      </c>
      <c r="U65" s="199"/>
      <c r="V65" s="199"/>
      <c r="W65" s="208"/>
      <c r="X65" s="198"/>
      <c r="Y65" s="437" t="s">
        <v>64</v>
      </c>
      <c r="Z65" s="231"/>
      <c r="AA65" s="232"/>
      <c r="AB65" s="439"/>
    </row>
    <row r="66" spans="1:32" s="206" customFormat="1" ht="69.95" customHeight="1" x14ac:dyDescent="0.15">
      <c r="A66" s="432"/>
      <c r="B66" s="204">
        <f>$I$6</f>
        <v>566</v>
      </c>
      <c r="C66" s="422" t="str">
        <f>$A$6</f>
        <v>BR</v>
      </c>
      <c r="D66" s="423"/>
      <c r="E66" s="424"/>
      <c r="F66" s="425"/>
      <c r="G66" s="426"/>
      <c r="H66" s="427"/>
      <c r="I66" s="434"/>
      <c r="J66" s="192"/>
      <c r="K66" s="193">
        <v>2</v>
      </c>
      <c r="L66" s="194" t="s">
        <v>63</v>
      </c>
      <c r="M66" s="195">
        <f t="shared" si="4"/>
        <v>1132</v>
      </c>
      <c r="N66" s="233"/>
      <c r="O66" s="195"/>
      <c r="P66" s="197" t="s">
        <v>63</v>
      </c>
      <c r="Q66" s="436"/>
      <c r="R66" s="195"/>
      <c r="S66" s="197" t="s">
        <v>63</v>
      </c>
      <c r="T66" s="198">
        <f t="shared" si="3"/>
        <v>-1132</v>
      </c>
      <c r="U66" s="199"/>
      <c r="V66" s="200"/>
      <c r="W66" s="195"/>
      <c r="X66" s="195"/>
      <c r="Y66" s="438"/>
      <c r="Z66" s="201"/>
      <c r="AA66" s="202"/>
      <c r="AB66" s="440"/>
      <c r="AC66" s="234"/>
      <c r="AD66" s="230"/>
      <c r="AE66" s="230"/>
      <c r="AF66" s="230"/>
    </row>
    <row r="67" spans="1:32" s="206" customFormat="1" ht="69.95" customHeight="1" x14ac:dyDescent="0.15">
      <c r="A67" s="431" t="s">
        <v>120</v>
      </c>
      <c r="B67" s="191">
        <f t="shared" si="20"/>
        <v>557</v>
      </c>
      <c r="C67" s="422" t="str">
        <f t="shared" si="21"/>
        <v>GR</v>
      </c>
      <c r="D67" s="423"/>
      <c r="E67" s="424"/>
      <c r="F67" s="425"/>
      <c r="G67" s="426"/>
      <c r="H67" s="427"/>
      <c r="I67" s="433" t="s">
        <v>75</v>
      </c>
      <c r="J67" s="192"/>
      <c r="K67" s="193">
        <v>2</v>
      </c>
      <c r="L67" s="194" t="s">
        <v>63</v>
      </c>
      <c r="M67" s="195">
        <f t="shared" si="4"/>
        <v>1114</v>
      </c>
      <c r="N67" s="196"/>
      <c r="O67" s="195"/>
      <c r="P67" s="197" t="s">
        <v>63</v>
      </c>
      <c r="Q67" s="435"/>
      <c r="R67" s="195"/>
      <c r="S67" s="197" t="s">
        <v>63</v>
      </c>
      <c r="T67" s="205">
        <f t="shared" si="3"/>
        <v>-1114</v>
      </c>
      <c r="U67" s="199"/>
      <c r="V67" s="199"/>
      <c r="W67" s="208"/>
      <c r="X67" s="198"/>
      <c r="Y67" s="437" t="s">
        <v>64</v>
      </c>
      <c r="Z67" s="231"/>
      <c r="AA67" s="232"/>
      <c r="AB67" s="439"/>
    </row>
    <row r="68" spans="1:32" s="206" customFormat="1" ht="69.95" customHeight="1" x14ac:dyDescent="0.15">
      <c r="A68" s="432"/>
      <c r="B68" s="204">
        <f>$I$6</f>
        <v>566</v>
      </c>
      <c r="C68" s="422" t="str">
        <f>$A$6</f>
        <v>BR</v>
      </c>
      <c r="D68" s="423"/>
      <c r="E68" s="424"/>
      <c r="F68" s="425"/>
      <c r="G68" s="426"/>
      <c r="H68" s="427"/>
      <c r="I68" s="434"/>
      <c r="J68" s="192"/>
      <c r="K68" s="193">
        <v>2</v>
      </c>
      <c r="L68" s="194" t="s">
        <v>63</v>
      </c>
      <c r="M68" s="195">
        <f t="shared" si="4"/>
        <v>1132</v>
      </c>
      <c r="N68" s="233"/>
      <c r="O68" s="195"/>
      <c r="P68" s="197" t="s">
        <v>63</v>
      </c>
      <c r="Q68" s="436"/>
      <c r="R68" s="195"/>
      <c r="S68" s="197" t="s">
        <v>63</v>
      </c>
      <c r="T68" s="198">
        <f t="shared" si="3"/>
        <v>-1132</v>
      </c>
      <c r="U68" s="199"/>
      <c r="V68" s="200"/>
      <c r="W68" s="195"/>
      <c r="X68" s="195"/>
      <c r="Y68" s="438"/>
      <c r="Z68" s="201"/>
      <c r="AA68" s="202"/>
      <c r="AB68" s="440"/>
      <c r="AC68" s="234"/>
      <c r="AD68" s="230"/>
      <c r="AE68" s="230"/>
      <c r="AF68" s="230"/>
    </row>
    <row r="69" spans="1:32" s="176" customFormat="1" ht="54.95" customHeight="1" x14ac:dyDescent="0.15">
      <c r="A69" s="386" t="s">
        <v>66</v>
      </c>
      <c r="B69" s="164">
        <f>C11</f>
        <v>477</v>
      </c>
      <c r="C69" s="407" t="e">
        <f>#REF!</f>
        <v>#REF!</v>
      </c>
      <c r="D69" s="408"/>
      <c r="E69" s="409"/>
      <c r="F69" s="371"/>
      <c r="G69" s="372"/>
      <c r="H69" s="373"/>
      <c r="I69" s="276"/>
      <c r="J69" s="255"/>
      <c r="K69" s="263">
        <v>1</v>
      </c>
      <c r="L69" s="168" t="s">
        <v>63</v>
      </c>
      <c r="M69" s="169">
        <f t="shared" si="4"/>
        <v>477</v>
      </c>
      <c r="N69" s="171"/>
      <c r="O69" s="277"/>
      <c r="P69" s="169" t="s">
        <v>63</v>
      </c>
      <c r="Q69" s="376">
        <v>46101</v>
      </c>
      <c r="R69" s="277">
        <v>477</v>
      </c>
      <c r="S69" s="169" t="s">
        <v>63</v>
      </c>
      <c r="T69" s="278">
        <f t="shared" si="3"/>
        <v>0</v>
      </c>
      <c r="U69" s="279"/>
      <c r="V69" s="280"/>
      <c r="W69" s="278"/>
      <c r="X69" s="278"/>
      <c r="Y69" s="374" t="s">
        <v>72</v>
      </c>
      <c r="Z69" s="374"/>
      <c r="AA69" s="374"/>
      <c r="AB69" s="404" t="s">
        <v>318</v>
      </c>
    </row>
    <row r="70" spans="1:32" s="176" customFormat="1" ht="54.95" customHeight="1" x14ac:dyDescent="0.15">
      <c r="A70" s="387"/>
      <c r="B70" s="164">
        <f>D11</f>
        <v>506</v>
      </c>
      <c r="C70" s="410"/>
      <c r="D70" s="411"/>
      <c r="E70" s="412"/>
      <c r="F70" s="371"/>
      <c r="G70" s="372"/>
      <c r="H70" s="373"/>
      <c r="I70" s="276"/>
      <c r="J70" s="255"/>
      <c r="K70" s="167">
        <v>1</v>
      </c>
      <c r="L70" s="168" t="s">
        <v>63</v>
      </c>
      <c r="M70" s="169">
        <f t="shared" si="4"/>
        <v>506</v>
      </c>
      <c r="N70" s="171"/>
      <c r="O70" s="277"/>
      <c r="P70" s="169" t="s">
        <v>63</v>
      </c>
      <c r="Q70" s="377"/>
      <c r="R70" s="277">
        <v>506</v>
      </c>
      <c r="S70" s="169" t="s">
        <v>63</v>
      </c>
      <c r="T70" s="278">
        <f t="shared" si="3"/>
        <v>0</v>
      </c>
      <c r="U70" s="279"/>
      <c r="V70" s="280"/>
      <c r="W70" s="278"/>
      <c r="X70" s="278"/>
      <c r="Y70" s="375"/>
      <c r="Z70" s="375"/>
      <c r="AA70" s="375"/>
      <c r="AB70" s="405"/>
    </row>
    <row r="71" spans="1:32" s="176" customFormat="1" ht="54.95" customHeight="1" x14ac:dyDescent="0.15">
      <c r="A71" s="387"/>
      <c r="B71" s="164">
        <f>E11</f>
        <v>140</v>
      </c>
      <c r="C71" s="410"/>
      <c r="D71" s="411"/>
      <c r="E71" s="412"/>
      <c r="F71" s="371"/>
      <c r="G71" s="372"/>
      <c r="H71" s="373"/>
      <c r="I71" s="276"/>
      <c r="J71" s="255"/>
      <c r="K71" s="167">
        <v>1</v>
      </c>
      <c r="L71" s="168" t="s">
        <v>63</v>
      </c>
      <c r="M71" s="169">
        <f t="shared" si="4"/>
        <v>140</v>
      </c>
      <c r="N71" s="171"/>
      <c r="O71" s="277"/>
      <c r="P71" s="169" t="s">
        <v>63</v>
      </c>
      <c r="Q71" s="377"/>
      <c r="R71" s="277">
        <v>140</v>
      </c>
      <c r="S71" s="169" t="s">
        <v>63</v>
      </c>
      <c r="T71" s="278">
        <f t="shared" si="3"/>
        <v>0</v>
      </c>
      <c r="U71" s="279"/>
      <c r="V71" s="280"/>
      <c r="W71" s="278"/>
      <c r="X71" s="278"/>
      <c r="Y71" s="375"/>
      <c r="Z71" s="375"/>
      <c r="AA71" s="375"/>
      <c r="AB71" s="405"/>
    </row>
    <row r="72" spans="1:32" s="176" customFormat="1" ht="54.95" customHeight="1" x14ac:dyDescent="0.15">
      <c r="A72" s="387"/>
      <c r="B72" s="164">
        <f>F11</f>
        <v>0</v>
      </c>
      <c r="C72" s="410"/>
      <c r="D72" s="411"/>
      <c r="E72" s="412"/>
      <c r="F72" s="371"/>
      <c r="G72" s="372"/>
      <c r="H72" s="373"/>
      <c r="I72" s="276"/>
      <c r="J72" s="255"/>
      <c r="K72" s="167">
        <v>1</v>
      </c>
      <c r="L72" s="168" t="s">
        <v>63</v>
      </c>
      <c r="M72" s="169">
        <f t="shared" si="4"/>
        <v>0</v>
      </c>
      <c r="N72" s="171"/>
      <c r="O72" s="277"/>
      <c r="P72" s="169" t="s">
        <v>63</v>
      </c>
      <c r="Q72" s="377"/>
      <c r="R72" s="277"/>
      <c r="S72" s="169" t="s">
        <v>63</v>
      </c>
      <c r="T72" s="278">
        <f t="shared" si="3"/>
        <v>0</v>
      </c>
      <c r="U72" s="279"/>
      <c r="V72" s="280"/>
      <c r="W72" s="278"/>
      <c r="X72" s="278"/>
      <c r="Y72" s="375"/>
      <c r="Z72" s="375"/>
      <c r="AA72" s="375"/>
      <c r="AB72" s="405"/>
    </row>
    <row r="73" spans="1:32" s="176" customFormat="1" ht="54.95" customHeight="1" x14ac:dyDescent="0.15">
      <c r="A73" s="388"/>
      <c r="B73" s="164">
        <f>G11</f>
        <v>0</v>
      </c>
      <c r="C73" s="413"/>
      <c r="D73" s="414"/>
      <c r="E73" s="415"/>
      <c r="F73" s="371"/>
      <c r="G73" s="372"/>
      <c r="H73" s="373"/>
      <c r="I73" s="276"/>
      <c r="J73" s="255"/>
      <c r="K73" s="167">
        <v>1</v>
      </c>
      <c r="L73" s="168" t="s">
        <v>63</v>
      </c>
      <c r="M73" s="169">
        <f t="shared" si="4"/>
        <v>0</v>
      </c>
      <c r="N73" s="171"/>
      <c r="O73" s="277"/>
      <c r="P73" s="169" t="s">
        <v>63</v>
      </c>
      <c r="Q73" s="378"/>
      <c r="R73" s="277"/>
      <c r="S73" s="169" t="s">
        <v>63</v>
      </c>
      <c r="T73" s="278">
        <f t="shared" si="3"/>
        <v>0</v>
      </c>
      <c r="U73" s="279"/>
      <c r="V73" s="280"/>
      <c r="W73" s="278"/>
      <c r="X73" s="278"/>
      <c r="Y73" s="379"/>
      <c r="Z73" s="379"/>
      <c r="AA73" s="379"/>
      <c r="AB73" s="406"/>
    </row>
    <row r="74" spans="1:32" s="176" customFormat="1" ht="54.95" customHeight="1" x14ac:dyDescent="0.15">
      <c r="A74" s="386" t="s">
        <v>68</v>
      </c>
      <c r="B74" s="164">
        <f>C5+C8</f>
        <v>237</v>
      </c>
      <c r="C74" s="407" t="str">
        <f>A5</f>
        <v>GR</v>
      </c>
      <c r="D74" s="408"/>
      <c r="E74" s="409"/>
      <c r="F74" s="371"/>
      <c r="G74" s="372"/>
      <c r="H74" s="373"/>
      <c r="I74" s="276"/>
      <c r="J74" s="276"/>
      <c r="K74" s="167">
        <v>1</v>
      </c>
      <c r="L74" s="168" t="s">
        <v>63</v>
      </c>
      <c r="M74" s="169">
        <f t="shared" si="4"/>
        <v>237</v>
      </c>
      <c r="N74" s="171"/>
      <c r="O74" s="277"/>
      <c r="P74" s="169" t="s">
        <v>63</v>
      </c>
      <c r="Q74" s="376">
        <v>46101</v>
      </c>
      <c r="R74" s="277">
        <v>237</v>
      </c>
      <c r="S74" s="169" t="s">
        <v>63</v>
      </c>
      <c r="T74" s="278">
        <f t="shared" si="3"/>
        <v>0</v>
      </c>
      <c r="U74" s="281"/>
      <c r="V74" s="282"/>
      <c r="W74" s="278"/>
      <c r="X74" s="278"/>
      <c r="Y74" s="374" t="s">
        <v>72</v>
      </c>
      <c r="Z74" s="374"/>
      <c r="AA74" s="374"/>
      <c r="AB74" s="404" t="s">
        <v>318</v>
      </c>
    </row>
    <row r="75" spans="1:32" s="176" customFormat="1" ht="54.95" customHeight="1" x14ac:dyDescent="0.15">
      <c r="A75" s="387"/>
      <c r="B75" s="164">
        <f>D5+D8</f>
        <v>250</v>
      </c>
      <c r="C75" s="410"/>
      <c r="D75" s="411"/>
      <c r="E75" s="412"/>
      <c r="F75" s="371"/>
      <c r="G75" s="372"/>
      <c r="H75" s="373"/>
      <c r="I75" s="276"/>
      <c r="J75" s="276"/>
      <c r="K75" s="167">
        <v>1</v>
      </c>
      <c r="L75" s="168" t="s">
        <v>63</v>
      </c>
      <c r="M75" s="169">
        <f t="shared" si="4"/>
        <v>250</v>
      </c>
      <c r="N75" s="171"/>
      <c r="O75" s="277"/>
      <c r="P75" s="169" t="s">
        <v>63</v>
      </c>
      <c r="Q75" s="377"/>
      <c r="R75" s="277">
        <v>250</v>
      </c>
      <c r="S75" s="169" t="s">
        <v>63</v>
      </c>
      <c r="T75" s="278">
        <f t="shared" si="3"/>
        <v>0</v>
      </c>
      <c r="U75" s="281"/>
      <c r="V75" s="282"/>
      <c r="W75" s="278"/>
      <c r="X75" s="278"/>
      <c r="Y75" s="375"/>
      <c r="Z75" s="375"/>
      <c r="AA75" s="375"/>
      <c r="AB75" s="405"/>
    </row>
    <row r="76" spans="1:32" s="176" customFormat="1" ht="54.95" customHeight="1" x14ac:dyDescent="0.15">
      <c r="A76" s="387"/>
      <c r="B76" s="164">
        <f>E5+E8</f>
        <v>70</v>
      </c>
      <c r="C76" s="410"/>
      <c r="D76" s="411"/>
      <c r="E76" s="412"/>
      <c r="F76" s="371"/>
      <c r="G76" s="372"/>
      <c r="H76" s="373"/>
      <c r="I76" s="276"/>
      <c r="J76" s="276"/>
      <c r="K76" s="167">
        <v>1</v>
      </c>
      <c r="L76" s="168" t="s">
        <v>63</v>
      </c>
      <c r="M76" s="169">
        <f t="shared" si="4"/>
        <v>70</v>
      </c>
      <c r="N76" s="171"/>
      <c r="O76" s="277"/>
      <c r="P76" s="169" t="s">
        <v>63</v>
      </c>
      <c r="Q76" s="377"/>
      <c r="R76" s="277">
        <v>70</v>
      </c>
      <c r="S76" s="169" t="s">
        <v>63</v>
      </c>
      <c r="T76" s="278">
        <f t="shared" si="3"/>
        <v>0</v>
      </c>
      <c r="U76" s="281"/>
      <c r="V76" s="282"/>
      <c r="W76" s="278"/>
      <c r="X76" s="278"/>
      <c r="Y76" s="375"/>
      <c r="Z76" s="375"/>
      <c r="AA76" s="375"/>
      <c r="AB76" s="405"/>
    </row>
    <row r="77" spans="1:32" s="176" customFormat="1" ht="54.95" customHeight="1" x14ac:dyDescent="0.15">
      <c r="A77" s="387"/>
      <c r="B77" s="164">
        <f>F5+F8</f>
        <v>0</v>
      </c>
      <c r="C77" s="410"/>
      <c r="D77" s="411"/>
      <c r="E77" s="412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0</v>
      </c>
      <c r="N77" s="171"/>
      <c r="O77" s="277"/>
      <c r="P77" s="169" t="s">
        <v>63</v>
      </c>
      <c r="Q77" s="377"/>
      <c r="R77" s="168"/>
      <c r="S77" s="169" t="s">
        <v>63</v>
      </c>
      <c r="T77" s="278">
        <f t="shared" si="3"/>
        <v>0</v>
      </c>
      <c r="U77" s="281"/>
      <c r="V77" s="282"/>
      <c r="W77" s="278"/>
      <c r="X77" s="278"/>
      <c r="Y77" s="375"/>
      <c r="Z77" s="375"/>
      <c r="AA77" s="375"/>
      <c r="AB77" s="405"/>
    </row>
    <row r="78" spans="1:32" s="176" customFormat="1" ht="54.95" customHeight="1" x14ac:dyDescent="0.15">
      <c r="A78" s="387"/>
      <c r="B78" s="164">
        <f>G5+G8</f>
        <v>0</v>
      </c>
      <c r="C78" s="413"/>
      <c r="D78" s="414"/>
      <c r="E78" s="415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0</v>
      </c>
      <c r="N78" s="171"/>
      <c r="O78" s="277"/>
      <c r="P78" s="169" t="s">
        <v>63</v>
      </c>
      <c r="Q78" s="377"/>
      <c r="R78" s="168"/>
      <c r="S78" s="169" t="s">
        <v>63</v>
      </c>
      <c r="T78" s="278">
        <f t="shared" si="3"/>
        <v>0</v>
      </c>
      <c r="U78" s="281"/>
      <c r="V78" s="282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C6</f>
        <v>240</v>
      </c>
      <c r="C79" s="407" t="str">
        <f>A6</f>
        <v>BR</v>
      </c>
      <c r="D79" s="408"/>
      <c r="E79" s="409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240</v>
      </c>
      <c r="N79" s="171"/>
      <c r="O79" s="277"/>
      <c r="P79" s="169" t="s">
        <v>63</v>
      </c>
      <c r="Q79" s="377"/>
      <c r="R79" s="277">
        <v>240</v>
      </c>
      <c r="S79" s="169" t="s">
        <v>63</v>
      </c>
      <c r="T79" s="278">
        <f>R79-M79</f>
        <v>0</v>
      </c>
      <c r="U79" s="281"/>
      <c r="V79" s="282"/>
      <c r="W79" s="278"/>
      <c r="X79" s="278"/>
      <c r="Y79" s="374" t="s">
        <v>72</v>
      </c>
      <c r="Z79" s="374"/>
      <c r="AA79" s="374"/>
      <c r="AB79" s="405"/>
    </row>
    <row r="80" spans="1:32" s="176" customFormat="1" ht="54.95" customHeight="1" x14ac:dyDescent="0.15">
      <c r="A80" s="387"/>
      <c r="B80" s="164">
        <f>D6</f>
        <v>256</v>
      </c>
      <c r="C80" s="410"/>
      <c r="D80" s="411"/>
      <c r="E80" s="412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256</v>
      </c>
      <c r="N80" s="171"/>
      <c r="O80" s="277"/>
      <c r="P80" s="169" t="s">
        <v>63</v>
      </c>
      <c r="Q80" s="377"/>
      <c r="R80" s="277">
        <v>256</v>
      </c>
      <c r="S80" s="169" t="s">
        <v>63</v>
      </c>
      <c r="T80" s="278">
        <f>R80-M80</f>
        <v>0</v>
      </c>
      <c r="U80" s="281"/>
      <c r="V80" s="282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7"/>
      <c r="B81" s="164">
        <f>E6</f>
        <v>70</v>
      </c>
      <c r="C81" s="410"/>
      <c r="D81" s="411"/>
      <c r="E81" s="412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70</v>
      </c>
      <c r="N81" s="171"/>
      <c r="O81" s="277"/>
      <c r="P81" s="169" t="s">
        <v>63</v>
      </c>
      <c r="Q81" s="377"/>
      <c r="R81" s="277">
        <v>70</v>
      </c>
      <c r="S81" s="169" t="s">
        <v>63</v>
      </c>
      <c r="T81" s="278">
        <f>R81-M81</f>
        <v>0</v>
      </c>
      <c r="U81" s="281"/>
      <c r="V81" s="282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387"/>
      <c r="B82" s="164"/>
      <c r="C82" s="410"/>
      <c r="D82" s="411"/>
      <c r="E82" s="412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0</v>
      </c>
      <c r="N82" s="171"/>
      <c r="O82" s="277"/>
      <c r="P82" s="169" t="s">
        <v>63</v>
      </c>
      <c r="Q82" s="377"/>
      <c r="R82" s="168"/>
      <c r="S82" s="169" t="s">
        <v>63</v>
      </c>
      <c r="T82" s="278">
        <f>R82-M82</f>
        <v>0</v>
      </c>
      <c r="U82" s="281"/>
      <c r="V82" s="282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388"/>
      <c r="B83" s="164">
        <f>G10+G13</f>
        <v>0</v>
      </c>
      <c r="C83" s="413"/>
      <c r="D83" s="414"/>
      <c r="E83" s="415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8"/>
      <c r="R83" s="168"/>
      <c r="S83" s="169" t="s">
        <v>63</v>
      </c>
      <c r="T83" s="278">
        <f>R83-M83</f>
        <v>0</v>
      </c>
      <c r="U83" s="281"/>
      <c r="V83" s="282"/>
      <c r="W83" s="278"/>
      <c r="X83" s="278"/>
      <c r="Y83" s="375"/>
      <c r="Z83" s="375"/>
      <c r="AA83" s="375"/>
      <c r="AB83" s="406"/>
    </row>
    <row r="84" spans="1:28" s="176" customFormat="1" ht="54.95" customHeight="1" x14ac:dyDescent="0.15">
      <c r="A84" s="386" t="s">
        <v>69</v>
      </c>
      <c r="B84" s="164">
        <f>C5</f>
        <v>237</v>
      </c>
      <c r="C84" s="407" t="str">
        <f>A5</f>
        <v>GR</v>
      </c>
      <c r="D84" s="408"/>
      <c r="E84" s="409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237</v>
      </c>
      <c r="N84" s="171"/>
      <c r="O84" s="277"/>
      <c r="P84" s="169" t="s">
        <v>63</v>
      </c>
      <c r="Q84" s="376">
        <v>46154</v>
      </c>
      <c r="R84" s="277">
        <v>237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4" t="s">
        <v>67</v>
      </c>
      <c r="Z84" s="374"/>
      <c r="AA84" s="374"/>
      <c r="AB84" s="404" t="s">
        <v>333</v>
      </c>
    </row>
    <row r="85" spans="1:28" s="176" customFormat="1" ht="54.95" customHeight="1" x14ac:dyDescent="0.15">
      <c r="A85" s="387"/>
      <c r="B85" s="164">
        <f>D5</f>
        <v>250</v>
      </c>
      <c r="C85" s="410"/>
      <c r="D85" s="411"/>
      <c r="E85" s="412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250</v>
      </c>
      <c r="N85" s="171"/>
      <c r="O85" s="277"/>
      <c r="P85" s="169" t="s">
        <v>63</v>
      </c>
      <c r="Q85" s="377"/>
      <c r="R85" s="277">
        <v>250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405"/>
    </row>
    <row r="86" spans="1:28" s="176" customFormat="1" ht="54.95" customHeight="1" x14ac:dyDescent="0.15">
      <c r="A86" s="387"/>
      <c r="B86" s="164">
        <f>E5</f>
        <v>70</v>
      </c>
      <c r="C86" s="410"/>
      <c r="D86" s="411"/>
      <c r="E86" s="412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70</v>
      </c>
      <c r="N86" s="171"/>
      <c r="O86" s="277"/>
      <c r="P86" s="169" t="s">
        <v>63</v>
      </c>
      <c r="Q86" s="377"/>
      <c r="R86" s="277">
        <v>70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405"/>
    </row>
    <row r="87" spans="1:28" s="176" customFormat="1" ht="54.95" customHeight="1" x14ac:dyDescent="0.15">
      <c r="A87" s="387"/>
      <c r="B87" s="164">
        <f>F5</f>
        <v>0</v>
      </c>
      <c r="C87" s="410"/>
      <c r="D87" s="411"/>
      <c r="E87" s="412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0</v>
      </c>
      <c r="N87" s="171"/>
      <c r="O87" s="277"/>
      <c r="P87" s="169" t="s">
        <v>63</v>
      </c>
      <c r="Q87" s="377"/>
      <c r="R87" s="168"/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405"/>
    </row>
    <row r="88" spans="1:28" s="176" customFormat="1" ht="54.95" customHeight="1" x14ac:dyDescent="0.15">
      <c r="A88" s="387"/>
      <c r="B88" s="164">
        <f>G5</f>
        <v>0</v>
      </c>
      <c r="C88" s="413"/>
      <c r="D88" s="414"/>
      <c r="E88" s="415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0</v>
      </c>
      <c r="N88" s="171"/>
      <c r="O88" s="277"/>
      <c r="P88" s="169" t="s">
        <v>63</v>
      </c>
      <c r="Q88" s="377"/>
      <c r="R88" s="168"/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405"/>
    </row>
    <row r="89" spans="1:28" s="176" customFormat="1" ht="54.95" customHeight="1" x14ac:dyDescent="0.15">
      <c r="A89" s="387"/>
      <c r="B89" s="164">
        <f>C6</f>
        <v>240</v>
      </c>
      <c r="C89" s="407" t="str">
        <f>A6</f>
        <v>BR</v>
      </c>
      <c r="D89" s="408"/>
      <c r="E89" s="409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4"/>
        <v>240</v>
      </c>
      <c r="N89" s="171"/>
      <c r="O89" s="277"/>
      <c r="P89" s="169" t="s">
        <v>63</v>
      </c>
      <c r="Q89" s="377"/>
      <c r="R89" s="277">
        <v>240</v>
      </c>
      <c r="S89" s="169" t="s">
        <v>63</v>
      </c>
      <c r="T89" s="278">
        <f t="shared" si="3"/>
        <v>0</v>
      </c>
      <c r="U89" s="281"/>
      <c r="V89" s="282"/>
      <c r="W89" s="278"/>
      <c r="X89" s="278"/>
      <c r="Y89" s="374" t="s">
        <v>67</v>
      </c>
      <c r="Z89" s="374"/>
      <c r="AA89" s="374"/>
      <c r="AB89" s="405"/>
    </row>
    <row r="90" spans="1:28" s="176" customFormat="1" ht="54.95" customHeight="1" x14ac:dyDescent="0.15">
      <c r="A90" s="387"/>
      <c r="B90" s="164">
        <f>D6</f>
        <v>256</v>
      </c>
      <c r="C90" s="410"/>
      <c r="D90" s="411"/>
      <c r="E90" s="412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4"/>
        <v>256</v>
      </c>
      <c r="N90" s="171"/>
      <c r="O90" s="277"/>
      <c r="P90" s="169" t="s">
        <v>63</v>
      </c>
      <c r="Q90" s="377"/>
      <c r="R90" s="277">
        <v>256</v>
      </c>
      <c r="S90" s="169" t="s">
        <v>63</v>
      </c>
      <c r="T90" s="278">
        <f t="shared" si="3"/>
        <v>0</v>
      </c>
      <c r="U90" s="281"/>
      <c r="V90" s="282"/>
      <c r="W90" s="278"/>
      <c r="X90" s="278"/>
      <c r="Y90" s="375"/>
      <c r="Z90" s="375"/>
      <c r="AA90" s="375"/>
      <c r="AB90" s="405"/>
    </row>
    <row r="91" spans="1:28" s="176" customFormat="1" ht="54.95" customHeight="1" x14ac:dyDescent="0.15">
      <c r="A91" s="387"/>
      <c r="B91" s="164">
        <f>E6</f>
        <v>70</v>
      </c>
      <c r="C91" s="410"/>
      <c r="D91" s="411"/>
      <c r="E91" s="412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4"/>
        <v>70</v>
      </c>
      <c r="N91" s="171"/>
      <c r="O91" s="277"/>
      <c r="P91" s="169" t="s">
        <v>63</v>
      </c>
      <c r="Q91" s="377"/>
      <c r="R91" s="277">
        <v>70</v>
      </c>
      <c r="S91" s="169" t="s">
        <v>63</v>
      </c>
      <c r="T91" s="278">
        <f t="shared" si="3"/>
        <v>0</v>
      </c>
      <c r="U91" s="281"/>
      <c r="V91" s="282"/>
      <c r="W91" s="278"/>
      <c r="X91" s="278"/>
      <c r="Y91" s="375"/>
      <c r="Z91" s="375"/>
      <c r="AA91" s="375"/>
      <c r="AB91" s="405"/>
    </row>
    <row r="92" spans="1:28" s="176" customFormat="1" ht="54.95" customHeight="1" x14ac:dyDescent="0.15">
      <c r="A92" s="387"/>
      <c r="B92" s="164">
        <f>F10</f>
        <v>0</v>
      </c>
      <c r="C92" s="410"/>
      <c r="D92" s="411"/>
      <c r="E92" s="412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4"/>
        <v>0</v>
      </c>
      <c r="N92" s="171"/>
      <c r="O92" s="277"/>
      <c r="P92" s="169" t="s">
        <v>63</v>
      </c>
      <c r="Q92" s="377"/>
      <c r="R92" s="168"/>
      <c r="S92" s="169" t="s">
        <v>63</v>
      </c>
      <c r="T92" s="278">
        <f t="shared" si="3"/>
        <v>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8"/>
      <c r="B93" s="164">
        <f>G10</f>
        <v>0</v>
      </c>
      <c r="C93" s="413"/>
      <c r="D93" s="414"/>
      <c r="E93" s="415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4"/>
        <v>0</v>
      </c>
      <c r="N93" s="171"/>
      <c r="O93" s="277"/>
      <c r="P93" s="169" t="s">
        <v>63</v>
      </c>
      <c r="Q93" s="378"/>
      <c r="R93" s="168"/>
      <c r="S93" s="169" t="s">
        <v>63</v>
      </c>
      <c r="T93" s="278">
        <f t="shared" si="3"/>
        <v>0</v>
      </c>
      <c r="U93" s="281"/>
      <c r="V93" s="282"/>
      <c r="W93" s="278"/>
      <c r="X93" s="278"/>
      <c r="Y93" s="375"/>
      <c r="Z93" s="375"/>
      <c r="AA93" s="375"/>
      <c r="AB93" s="406"/>
    </row>
    <row r="94" spans="1:28" s="55" customFormat="1" ht="54.95" customHeight="1" x14ac:dyDescent="0.15">
      <c r="A94" s="386" t="s">
        <v>70</v>
      </c>
      <c r="B94" s="87">
        <f>C11</f>
        <v>477</v>
      </c>
      <c r="C94" s="389" t="s">
        <v>71</v>
      </c>
      <c r="D94" s="390"/>
      <c r="E94" s="391"/>
      <c r="F94" s="368"/>
      <c r="G94" s="369"/>
      <c r="H94" s="370"/>
      <c r="I94" s="152"/>
      <c r="J94" s="90"/>
      <c r="K94" s="156">
        <v>1</v>
      </c>
      <c r="L94" s="77" t="s">
        <v>63</v>
      </c>
      <c r="M94" s="88">
        <f t="shared" si="4"/>
        <v>477</v>
      </c>
      <c r="N94" s="89"/>
      <c r="O94" s="153"/>
      <c r="P94" s="88" t="s">
        <v>63</v>
      </c>
      <c r="Q94" s="398">
        <v>46101</v>
      </c>
      <c r="R94" s="93">
        <v>477</v>
      </c>
      <c r="S94" s="88" t="s">
        <v>63</v>
      </c>
      <c r="T94" s="154">
        <f t="shared" si="3"/>
        <v>0</v>
      </c>
      <c r="U94" s="91"/>
      <c r="V94" s="159"/>
      <c r="W94" s="159"/>
      <c r="X94" s="159"/>
      <c r="Y94" s="401" t="s">
        <v>94</v>
      </c>
      <c r="Z94" s="416"/>
      <c r="AA94" s="416"/>
      <c r="AB94" s="419" t="s">
        <v>318</v>
      </c>
    </row>
    <row r="95" spans="1:28" s="55" customFormat="1" ht="54.95" customHeight="1" x14ac:dyDescent="0.15">
      <c r="A95" s="387"/>
      <c r="B95" s="87">
        <f>D11</f>
        <v>506</v>
      </c>
      <c r="C95" s="392"/>
      <c r="D95" s="393"/>
      <c r="E95" s="394"/>
      <c r="F95" s="368"/>
      <c r="G95" s="369"/>
      <c r="H95" s="370"/>
      <c r="I95" s="152"/>
      <c r="J95" s="90"/>
      <c r="K95" s="156">
        <v>1</v>
      </c>
      <c r="L95" s="77" t="s">
        <v>63</v>
      </c>
      <c r="M95" s="88">
        <f t="shared" si="4"/>
        <v>506</v>
      </c>
      <c r="N95" s="89"/>
      <c r="O95" s="153"/>
      <c r="P95" s="88" t="s">
        <v>63</v>
      </c>
      <c r="Q95" s="399"/>
      <c r="R95" s="93">
        <v>506</v>
      </c>
      <c r="S95" s="88" t="s">
        <v>63</v>
      </c>
      <c r="T95" s="154">
        <f t="shared" si="3"/>
        <v>0</v>
      </c>
      <c r="U95" s="91"/>
      <c r="V95" s="159"/>
      <c r="W95" s="159"/>
      <c r="X95" s="159"/>
      <c r="Y95" s="402"/>
      <c r="Z95" s="417"/>
      <c r="AA95" s="417"/>
      <c r="AB95" s="420"/>
    </row>
    <row r="96" spans="1:28" s="55" customFormat="1" ht="54.95" customHeight="1" x14ac:dyDescent="0.15">
      <c r="A96" s="387"/>
      <c r="B96" s="87">
        <f>E11</f>
        <v>140</v>
      </c>
      <c r="C96" s="392"/>
      <c r="D96" s="393"/>
      <c r="E96" s="394"/>
      <c r="F96" s="368"/>
      <c r="G96" s="369"/>
      <c r="H96" s="370"/>
      <c r="I96" s="152"/>
      <c r="J96" s="90"/>
      <c r="K96" s="156">
        <v>1</v>
      </c>
      <c r="L96" s="77" t="s">
        <v>63</v>
      </c>
      <c r="M96" s="88">
        <f t="shared" si="4"/>
        <v>140</v>
      </c>
      <c r="N96" s="89"/>
      <c r="O96" s="153"/>
      <c r="P96" s="88" t="s">
        <v>63</v>
      </c>
      <c r="Q96" s="399"/>
      <c r="R96" s="93">
        <v>140</v>
      </c>
      <c r="S96" s="88" t="s">
        <v>63</v>
      </c>
      <c r="T96" s="154">
        <f t="shared" si="3"/>
        <v>0</v>
      </c>
      <c r="U96" s="91"/>
      <c r="V96" s="159"/>
      <c r="W96" s="159"/>
      <c r="X96" s="159"/>
      <c r="Y96" s="402"/>
      <c r="Z96" s="417"/>
      <c r="AA96" s="417"/>
      <c r="AB96" s="420"/>
    </row>
    <row r="97" spans="1:29" s="55" customFormat="1" ht="54.95" customHeight="1" x14ac:dyDescent="0.15">
      <c r="A97" s="388"/>
      <c r="B97" s="87">
        <f>F11</f>
        <v>0</v>
      </c>
      <c r="C97" s="395"/>
      <c r="D97" s="396"/>
      <c r="E97" s="397"/>
      <c r="F97" s="368"/>
      <c r="G97" s="369"/>
      <c r="H97" s="370"/>
      <c r="I97" s="152"/>
      <c r="J97" s="90"/>
      <c r="K97" s="156"/>
      <c r="L97" s="77" t="s">
        <v>63</v>
      </c>
      <c r="M97" s="88">
        <f t="shared" si="4"/>
        <v>0</v>
      </c>
      <c r="N97" s="89"/>
      <c r="O97" s="153"/>
      <c r="P97" s="88" t="s">
        <v>63</v>
      </c>
      <c r="Q97" s="400"/>
      <c r="R97" s="162"/>
      <c r="S97" s="88" t="s">
        <v>63</v>
      </c>
      <c r="T97" s="154">
        <f t="shared" si="3"/>
        <v>0</v>
      </c>
      <c r="U97" s="91"/>
      <c r="V97" s="159"/>
      <c r="W97" s="159"/>
      <c r="X97" s="159"/>
      <c r="Y97" s="403"/>
      <c r="Z97" s="418"/>
      <c r="AA97" s="418"/>
      <c r="AB97" s="421"/>
    </row>
    <row r="98" spans="1:29" s="176" customFormat="1" ht="54.95" customHeight="1" x14ac:dyDescent="0.15">
      <c r="A98" s="163" t="s">
        <v>73</v>
      </c>
      <c r="B98" s="164">
        <f>I11</f>
        <v>1123</v>
      </c>
      <c r="C98" s="371" t="s">
        <v>71</v>
      </c>
      <c r="D98" s="372"/>
      <c r="E98" s="373"/>
      <c r="F98" s="371"/>
      <c r="G98" s="372"/>
      <c r="H98" s="373"/>
      <c r="I98" s="165"/>
      <c r="J98" s="166"/>
      <c r="K98" s="167">
        <v>1</v>
      </c>
      <c r="L98" s="168" t="s">
        <v>63</v>
      </c>
      <c r="M98" s="88">
        <f t="shared" si="4"/>
        <v>1123</v>
      </c>
      <c r="N98" s="170"/>
      <c r="O98" s="170"/>
      <c r="P98" s="169" t="s">
        <v>63</v>
      </c>
      <c r="Q98" s="363">
        <v>46101</v>
      </c>
      <c r="R98" s="93">
        <v>1123</v>
      </c>
      <c r="S98" s="169" t="s">
        <v>63</v>
      </c>
      <c r="T98" s="154">
        <f t="shared" si="3"/>
        <v>0</v>
      </c>
      <c r="U98" s="170"/>
      <c r="V98" s="172"/>
      <c r="W98" s="172"/>
      <c r="X98" s="172"/>
      <c r="Y98" s="374" t="s">
        <v>72</v>
      </c>
      <c r="Z98" s="380"/>
      <c r="AA98" s="383"/>
      <c r="AB98" s="586" t="s">
        <v>318</v>
      </c>
    </row>
    <row r="99" spans="1:29" s="55" customFormat="1" ht="54.95" customHeight="1" x14ac:dyDescent="0.15">
      <c r="A99" s="163" t="s">
        <v>81</v>
      </c>
      <c r="B99" s="87">
        <f>I11</f>
        <v>1123</v>
      </c>
      <c r="C99" s="368" t="s">
        <v>71</v>
      </c>
      <c r="D99" s="369"/>
      <c r="E99" s="370"/>
      <c r="F99" s="368"/>
      <c r="G99" s="369"/>
      <c r="H99" s="370"/>
      <c r="I99" s="93"/>
      <c r="J99" s="90"/>
      <c r="K99" s="156">
        <v>1</v>
      </c>
      <c r="L99" s="77" t="s">
        <v>63</v>
      </c>
      <c r="M99" s="88">
        <f>K99*B99</f>
        <v>1123</v>
      </c>
      <c r="N99" s="91"/>
      <c r="O99" s="91"/>
      <c r="P99" s="169" t="s">
        <v>63</v>
      </c>
      <c r="Q99" s="364"/>
      <c r="R99" s="93">
        <v>1123</v>
      </c>
      <c r="S99" s="169" t="s">
        <v>63</v>
      </c>
      <c r="T99" s="154">
        <f t="shared" si="3"/>
        <v>0</v>
      </c>
      <c r="U99" s="91"/>
      <c r="V99" s="91"/>
      <c r="W99" s="91"/>
      <c r="X99" s="91"/>
      <c r="Y99" s="375"/>
      <c r="Z99" s="381"/>
      <c r="AA99" s="384"/>
      <c r="AB99" s="587"/>
    </row>
    <row r="100" spans="1:29" s="55" customFormat="1" ht="54.95" customHeight="1" x14ac:dyDescent="0.15">
      <c r="A100" s="284" t="s">
        <v>74</v>
      </c>
      <c r="B100" s="87">
        <f>I11</f>
        <v>1123</v>
      </c>
      <c r="C100" s="368" t="s">
        <v>71</v>
      </c>
      <c r="D100" s="369"/>
      <c r="E100" s="370"/>
      <c r="F100" s="368"/>
      <c r="G100" s="369"/>
      <c r="H100" s="370"/>
      <c r="I100" s="93" t="s">
        <v>199</v>
      </c>
      <c r="J100" s="93"/>
      <c r="K100" s="156">
        <v>1</v>
      </c>
      <c r="L100" s="77" t="s">
        <v>63</v>
      </c>
      <c r="M100" s="88">
        <f t="shared" si="4"/>
        <v>1123</v>
      </c>
      <c r="N100" s="91"/>
      <c r="O100" s="91"/>
      <c r="P100" s="89" t="s">
        <v>63</v>
      </c>
      <c r="Q100" s="365"/>
      <c r="R100" s="93">
        <v>1200</v>
      </c>
      <c r="S100" s="89" t="s">
        <v>63</v>
      </c>
      <c r="T100" s="154">
        <f t="shared" si="3"/>
        <v>77</v>
      </c>
      <c r="U100" s="91"/>
      <c r="V100" s="91"/>
      <c r="W100" s="91"/>
      <c r="X100" s="91"/>
      <c r="Y100" s="379"/>
      <c r="Z100" s="382"/>
      <c r="AA100" s="385"/>
      <c r="AB100" s="588"/>
    </row>
    <row r="101" spans="1:29" x14ac:dyDescent="0.15">
      <c r="A101" s="285"/>
      <c r="B101" s="366"/>
      <c r="C101" s="366"/>
      <c r="D101" s="177"/>
      <c r="E101" s="177"/>
      <c r="F101" s="100"/>
      <c r="G101" s="100"/>
      <c r="H101" s="100"/>
      <c r="I101" s="177"/>
      <c r="J101" s="177"/>
      <c r="K101" s="101"/>
      <c r="L101" s="102"/>
      <c r="M101" s="103"/>
      <c r="N101" s="104"/>
      <c r="O101" s="104"/>
      <c r="P101" s="177"/>
      <c r="Q101" s="105"/>
      <c r="R101" s="105"/>
      <c r="S101" s="106"/>
      <c r="T101" s="107"/>
      <c r="U101" s="108"/>
      <c r="V101" s="108"/>
      <c r="W101" s="109"/>
      <c r="X101" s="107"/>
      <c r="Y101" s="110"/>
      <c r="Z101" s="111"/>
      <c r="AA101" s="111"/>
    </row>
    <row r="102" spans="1:29" x14ac:dyDescent="0.15">
      <c r="A102" s="285"/>
      <c r="B102" s="366"/>
      <c r="C102" s="366"/>
      <c r="D102" s="177"/>
      <c r="E102" s="177"/>
      <c r="F102" s="367"/>
      <c r="G102" s="367"/>
      <c r="H102" s="367"/>
      <c r="I102" s="177"/>
      <c r="J102" s="177"/>
      <c r="K102" s="101"/>
      <c r="L102" s="102"/>
      <c r="M102" s="103"/>
      <c r="N102" s="104"/>
      <c r="O102" s="104"/>
      <c r="P102" s="177"/>
      <c r="Q102" s="105"/>
      <c r="R102" s="105"/>
      <c r="S102" s="106"/>
      <c r="T102" s="107"/>
      <c r="U102" s="108"/>
      <c r="V102" s="108"/>
      <c r="W102" s="109"/>
      <c r="X102" s="107"/>
      <c r="Y102" s="112"/>
      <c r="Z102" s="111"/>
      <c r="AA102" s="111"/>
    </row>
    <row r="103" spans="1:29" x14ac:dyDescent="0.15">
      <c r="J103" s="177"/>
    </row>
    <row r="104" spans="1:29" x14ac:dyDescent="0.15">
      <c r="J104" s="177"/>
    </row>
    <row r="111" spans="1:29" s="114" customFormat="1" x14ac:dyDescent="0.15">
      <c r="A111" s="286"/>
      <c r="B111" s="113"/>
      <c r="C111" s="1"/>
      <c r="D111" s="1"/>
      <c r="E111" s="1"/>
      <c r="F111" s="1"/>
      <c r="G111" s="1"/>
      <c r="H111" s="1"/>
      <c r="I111" s="1"/>
      <c r="J111" s="1"/>
      <c r="L111" s="115"/>
      <c r="M111" s="116"/>
      <c r="N111" s="117"/>
      <c r="O111" s="117"/>
      <c r="P111" s="1"/>
      <c r="Q111" s="118"/>
      <c r="R111" s="118"/>
      <c r="S111" s="115"/>
      <c r="T111" s="119"/>
      <c r="U111" s="1"/>
      <c r="V111" s="1"/>
      <c r="W111" s="120"/>
      <c r="X111" s="121"/>
      <c r="Y111" s="1"/>
      <c r="Z111" s="1"/>
      <c r="AA111" s="1"/>
      <c r="AB111" s="1"/>
      <c r="AC111" s="1"/>
    </row>
    <row r="112" spans="1:29" s="114" customFormat="1" x14ac:dyDescent="0.15">
      <c r="A112" s="286"/>
      <c r="B112" s="113"/>
      <c r="C112" s="1"/>
      <c r="D112" s="1"/>
      <c r="E112" s="1"/>
      <c r="F112" s="1"/>
      <c r="G112" s="1"/>
      <c r="H112" s="1"/>
      <c r="I112" s="1"/>
      <c r="J112" s="1"/>
      <c r="L112" s="115"/>
      <c r="M112" s="116"/>
      <c r="N112" s="117"/>
      <c r="O112" s="117"/>
      <c r="P112" s="1"/>
      <c r="Q112" s="118"/>
      <c r="R112" s="118"/>
      <c r="S112" s="115"/>
      <c r="T112" s="119"/>
      <c r="U112" s="1"/>
      <c r="V112" s="1"/>
      <c r="W112" s="120"/>
      <c r="X112" s="121"/>
      <c r="Y112" s="1"/>
      <c r="Z112" s="1"/>
      <c r="AA112" s="1"/>
      <c r="AB112" s="1"/>
      <c r="AC112" s="1"/>
    </row>
  </sheetData>
  <mergeCells count="369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N13:P13"/>
    <mergeCell ref="C20:E20"/>
    <mergeCell ref="F20:H20"/>
    <mergeCell ref="A21:A22"/>
    <mergeCell ref="C21:E21"/>
    <mergeCell ref="F21:H21"/>
    <mergeCell ref="I21:I22"/>
    <mergeCell ref="AB17:AB18"/>
    <mergeCell ref="C18:E18"/>
    <mergeCell ref="F18:H18"/>
    <mergeCell ref="A19:A20"/>
    <mergeCell ref="C19:E19"/>
    <mergeCell ref="F19:H19"/>
    <mergeCell ref="I19:I20"/>
    <mergeCell ref="Q19:Q20"/>
    <mergeCell ref="Y19:Y20"/>
    <mergeCell ref="Q21:Q22"/>
    <mergeCell ref="Y21:Y22"/>
    <mergeCell ref="C22:E22"/>
    <mergeCell ref="F22:H22"/>
    <mergeCell ref="AB15:AB16"/>
    <mergeCell ref="AB19:AB26"/>
    <mergeCell ref="A23:A24"/>
    <mergeCell ref="C23:E23"/>
    <mergeCell ref="F23:H23"/>
    <mergeCell ref="I23:I24"/>
    <mergeCell ref="Y23:Y24"/>
    <mergeCell ref="C24:E24"/>
    <mergeCell ref="F24:H24"/>
    <mergeCell ref="Q23:Q26"/>
    <mergeCell ref="AC26:AF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28:AF28"/>
    <mergeCell ref="A25:A26"/>
    <mergeCell ref="C25:E25"/>
    <mergeCell ref="F25:H25"/>
    <mergeCell ref="I25:I26"/>
    <mergeCell ref="Y25:Y26"/>
    <mergeCell ref="C26:E26"/>
    <mergeCell ref="F26:H26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33:A34"/>
    <mergeCell ref="C33:E33"/>
    <mergeCell ref="F33:H33"/>
    <mergeCell ref="I33:I34"/>
    <mergeCell ref="Q33:Q42"/>
    <mergeCell ref="Y33:Y34"/>
    <mergeCell ref="A41:A42"/>
    <mergeCell ref="C41:E41"/>
    <mergeCell ref="F41:H41"/>
    <mergeCell ref="I41:I42"/>
    <mergeCell ref="Y41:Y42"/>
    <mergeCell ref="C42:E42"/>
    <mergeCell ref="F42:H42"/>
    <mergeCell ref="Y39:Y40"/>
    <mergeCell ref="C40:E40"/>
    <mergeCell ref="F38:H38"/>
    <mergeCell ref="AC42:AF42"/>
    <mergeCell ref="AB33:AB42"/>
    <mergeCell ref="C34:E34"/>
    <mergeCell ref="F34:H34"/>
    <mergeCell ref="AC34:AF34"/>
    <mergeCell ref="A37:A38"/>
    <mergeCell ref="C37:E37"/>
    <mergeCell ref="F37:H37"/>
    <mergeCell ref="I37:I38"/>
    <mergeCell ref="Y37:Y38"/>
    <mergeCell ref="C38:E38"/>
    <mergeCell ref="AC40:AF40"/>
    <mergeCell ref="A35:A36"/>
    <mergeCell ref="C35:E35"/>
    <mergeCell ref="F35:H35"/>
    <mergeCell ref="I35:I36"/>
    <mergeCell ref="Y35:Y36"/>
    <mergeCell ref="C36:E36"/>
    <mergeCell ref="F36:H36"/>
    <mergeCell ref="AC36:AF36"/>
    <mergeCell ref="A39:A40"/>
    <mergeCell ref="C39:E39"/>
    <mergeCell ref="F39:H39"/>
    <mergeCell ref="I39:I40"/>
    <mergeCell ref="AC44:AF44"/>
    <mergeCell ref="A45:A46"/>
    <mergeCell ref="C45:E45"/>
    <mergeCell ref="F45:H45"/>
    <mergeCell ref="Q45:Q48"/>
    <mergeCell ref="Y45:Y46"/>
    <mergeCell ref="AB45:AB48"/>
    <mergeCell ref="C46:E46"/>
    <mergeCell ref="F46:H46"/>
    <mergeCell ref="A47:A48"/>
    <mergeCell ref="A43:A44"/>
    <mergeCell ref="C43:E43"/>
    <mergeCell ref="F43:H43"/>
    <mergeCell ref="I43:I44"/>
    <mergeCell ref="Y43:Y44"/>
    <mergeCell ref="AB43:AB44"/>
    <mergeCell ref="C44:E44"/>
    <mergeCell ref="F44:H44"/>
    <mergeCell ref="C47:E47"/>
    <mergeCell ref="F47:H47"/>
    <mergeCell ref="Y47:Y48"/>
    <mergeCell ref="C48:E48"/>
    <mergeCell ref="F48:H48"/>
    <mergeCell ref="AB49:AB50"/>
    <mergeCell ref="C50:E50"/>
    <mergeCell ref="F50:H50"/>
    <mergeCell ref="A51:A52"/>
    <mergeCell ref="C51:E51"/>
    <mergeCell ref="F51:H51"/>
    <mergeCell ref="Q51:Q52"/>
    <mergeCell ref="Y51:Y52"/>
    <mergeCell ref="AB51:AB52"/>
    <mergeCell ref="A49:A50"/>
    <mergeCell ref="C49:E49"/>
    <mergeCell ref="F49:H49"/>
    <mergeCell ref="I49:I50"/>
    <mergeCell ref="Q49:Q50"/>
    <mergeCell ref="C52:E52"/>
    <mergeCell ref="F52:H52"/>
    <mergeCell ref="A55:A56"/>
    <mergeCell ref="C55:E55"/>
    <mergeCell ref="F55:H55"/>
    <mergeCell ref="I55:I56"/>
    <mergeCell ref="Y55:Y56"/>
    <mergeCell ref="A53:A54"/>
    <mergeCell ref="C53:E53"/>
    <mergeCell ref="F53:H53"/>
    <mergeCell ref="I53:I54"/>
    <mergeCell ref="Q53:Q54"/>
    <mergeCell ref="Q55:Q56"/>
    <mergeCell ref="C56:E56"/>
    <mergeCell ref="F56:H56"/>
    <mergeCell ref="Y53:Y54"/>
    <mergeCell ref="A61:A62"/>
    <mergeCell ref="C61:E61"/>
    <mergeCell ref="F61:H61"/>
    <mergeCell ref="Q61:Q62"/>
    <mergeCell ref="Y57:Y58"/>
    <mergeCell ref="AB57:AB58"/>
    <mergeCell ref="C58:E58"/>
    <mergeCell ref="F58:H58"/>
    <mergeCell ref="A59:A60"/>
    <mergeCell ref="C59:E59"/>
    <mergeCell ref="F59:H59"/>
    <mergeCell ref="Q59:Q60"/>
    <mergeCell ref="Y59:Y60"/>
    <mergeCell ref="AB59:AB60"/>
    <mergeCell ref="Y61:Y62"/>
    <mergeCell ref="AB61:AB62"/>
    <mergeCell ref="C62:E62"/>
    <mergeCell ref="F62:H62"/>
    <mergeCell ref="A57:A58"/>
    <mergeCell ref="C57:E57"/>
    <mergeCell ref="F57:H57"/>
    <mergeCell ref="Q57:Q58"/>
    <mergeCell ref="A63:A64"/>
    <mergeCell ref="C63:E63"/>
    <mergeCell ref="F63:H63"/>
    <mergeCell ref="Q63:Q64"/>
    <mergeCell ref="Y63:Y64"/>
    <mergeCell ref="AB63:AB64"/>
    <mergeCell ref="AA69:AA73"/>
    <mergeCell ref="AB69:AB73"/>
    <mergeCell ref="F70:H70"/>
    <mergeCell ref="F71:H71"/>
    <mergeCell ref="F72:H72"/>
    <mergeCell ref="F73:H73"/>
    <mergeCell ref="Y67:Y68"/>
    <mergeCell ref="AB67:AB68"/>
    <mergeCell ref="C64:E64"/>
    <mergeCell ref="F64:H64"/>
    <mergeCell ref="C65:E65"/>
    <mergeCell ref="F65:H65"/>
    <mergeCell ref="I65:I66"/>
    <mergeCell ref="Q65:Q66"/>
    <mergeCell ref="Y65:Y66"/>
    <mergeCell ref="AB65:AB66"/>
    <mergeCell ref="C66:E66"/>
    <mergeCell ref="F66:H66"/>
    <mergeCell ref="A67:A68"/>
    <mergeCell ref="C67:E67"/>
    <mergeCell ref="F67:H67"/>
    <mergeCell ref="I67:I68"/>
    <mergeCell ref="Q67:Q68"/>
    <mergeCell ref="A65:A66"/>
    <mergeCell ref="C68:E68"/>
    <mergeCell ref="F68:H68"/>
    <mergeCell ref="A74:A83"/>
    <mergeCell ref="C74:E78"/>
    <mergeCell ref="F74:H74"/>
    <mergeCell ref="Q74:Q83"/>
    <mergeCell ref="C79:E83"/>
    <mergeCell ref="F79:H79"/>
    <mergeCell ref="A69:A73"/>
    <mergeCell ref="C69:E73"/>
    <mergeCell ref="F69:H69"/>
    <mergeCell ref="Q69:Q73"/>
    <mergeCell ref="A94:A97"/>
    <mergeCell ref="C94:E97"/>
    <mergeCell ref="F94:H94"/>
    <mergeCell ref="Q94:Q97"/>
    <mergeCell ref="Y94:Y97"/>
    <mergeCell ref="AA84:AA88"/>
    <mergeCell ref="AB84:AB93"/>
    <mergeCell ref="F85:H85"/>
    <mergeCell ref="F86:H86"/>
    <mergeCell ref="F87:H87"/>
    <mergeCell ref="F88:H88"/>
    <mergeCell ref="F89:H89"/>
    <mergeCell ref="Y89:Y93"/>
    <mergeCell ref="Z89:Z93"/>
    <mergeCell ref="AA89:AA93"/>
    <mergeCell ref="A84:A93"/>
    <mergeCell ref="C84:E88"/>
    <mergeCell ref="F84:H84"/>
    <mergeCell ref="Q84:Q93"/>
    <mergeCell ref="Y84:Y88"/>
    <mergeCell ref="F96:H96"/>
    <mergeCell ref="F97:H97"/>
    <mergeCell ref="F93:H93"/>
    <mergeCell ref="F92:H92"/>
    <mergeCell ref="B102:C102"/>
    <mergeCell ref="F102:H102"/>
    <mergeCell ref="F40:H40"/>
    <mergeCell ref="AB98:AB100"/>
    <mergeCell ref="C99:E99"/>
    <mergeCell ref="F99:H99"/>
    <mergeCell ref="C100:E100"/>
    <mergeCell ref="F100:H100"/>
    <mergeCell ref="B101:C101"/>
    <mergeCell ref="C98:E98"/>
    <mergeCell ref="F98:H98"/>
    <mergeCell ref="Q98:Q100"/>
    <mergeCell ref="Y98:Y100"/>
    <mergeCell ref="Z98:Z100"/>
    <mergeCell ref="AA98:AA100"/>
    <mergeCell ref="Z94:Z97"/>
    <mergeCell ref="AA94:AA97"/>
    <mergeCell ref="AB94:AB97"/>
    <mergeCell ref="F95:H95"/>
    <mergeCell ref="AB74:AB83"/>
    <mergeCell ref="Y79:Y83"/>
    <mergeCell ref="Z79:Z83"/>
    <mergeCell ref="F83:H83"/>
    <mergeCell ref="Y69:Y73"/>
    <mergeCell ref="Z84:Z88"/>
    <mergeCell ref="C89:E93"/>
    <mergeCell ref="F90:H90"/>
    <mergeCell ref="F91:H91"/>
    <mergeCell ref="AC38:AF38"/>
    <mergeCell ref="Z69:Z73"/>
    <mergeCell ref="F80:H80"/>
    <mergeCell ref="F81:H81"/>
    <mergeCell ref="F82:H82"/>
    <mergeCell ref="AA74:AA78"/>
    <mergeCell ref="F75:H75"/>
    <mergeCell ref="F76:H76"/>
    <mergeCell ref="F77:H77"/>
    <mergeCell ref="F78:H78"/>
    <mergeCell ref="AA79:AA83"/>
    <mergeCell ref="Y74:Y78"/>
    <mergeCell ref="Z74:Z78"/>
    <mergeCell ref="C60:E60"/>
    <mergeCell ref="F60:H60"/>
    <mergeCell ref="C54:E54"/>
    <mergeCell ref="F54:H54"/>
    <mergeCell ref="AB53:AB54"/>
    <mergeCell ref="AB55:AB56"/>
    <mergeCell ref="Y49:Y5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2" orientation="portrait" r:id="rId1"/>
  <headerFooter alignWithMargins="0"/>
  <rowBreaks count="1" manualBreakCount="1">
    <brk id="73" max="27" man="1"/>
  </rowBreaks>
  <colBreaks count="1" manualBreakCount="1">
    <brk id="2" max="46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C830-0049-4200-B804-206288848DFD}">
  <sheetPr>
    <pageSetUpPr fitToPage="1"/>
  </sheetPr>
  <dimension ref="A1:AF108"/>
  <sheetViews>
    <sheetView view="pageBreakPreview" zoomScale="75" zoomScaleNormal="100" zoomScaleSheetLayoutView="75" workbookViewId="0">
      <selection activeCell="B2" sqref="B2:G2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307</v>
      </c>
      <c r="C2" s="548"/>
      <c r="D2" s="548"/>
      <c r="E2" s="548"/>
      <c r="F2" s="548"/>
      <c r="G2" s="549"/>
      <c r="H2" s="180" t="s">
        <v>1</v>
      </c>
      <c r="I2" s="550">
        <f>I11</f>
        <v>574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250</v>
      </c>
      <c r="D5" s="182">
        <v>260</v>
      </c>
      <c r="E5" s="182">
        <v>64</v>
      </c>
      <c r="F5" s="182"/>
      <c r="G5" s="182"/>
      <c r="H5" s="542" t="s">
        <v>24</v>
      </c>
      <c r="I5" s="524">
        <f t="shared" ref="I5:I11" si="0">SUM(C5:G5)</f>
        <v>574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480"/>
      <c r="B6" s="480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46091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250</v>
      </c>
      <c r="D11" s="181">
        <f>SUM(D5:D10)</f>
        <v>260</v>
      </c>
      <c r="E11" s="181">
        <f>SUM(E5:E10)</f>
        <v>64</v>
      </c>
      <c r="F11" s="181">
        <f>SUM(F5:F10)</f>
        <v>0</v>
      </c>
      <c r="G11" s="181">
        <f>SUM(G5:G10)</f>
        <v>0</v>
      </c>
      <c r="H11" s="182"/>
      <c r="I11" s="481">
        <f t="shared" si="0"/>
        <v>574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46197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255</v>
      </c>
      <c r="D12" s="43">
        <f>D11*1.02</f>
        <v>265.2</v>
      </c>
      <c r="E12" s="43">
        <f>E11*1.02</f>
        <v>65.28</v>
      </c>
      <c r="F12" s="43">
        <f>F11*1.02</f>
        <v>0</v>
      </c>
      <c r="G12" s="43">
        <f>G11*1.02</f>
        <v>0</v>
      </c>
      <c r="H12" s="44"/>
      <c r="I12" s="486">
        <f>I11*1.02</f>
        <v>585.48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574</v>
      </c>
      <c r="C15" s="474" t="str">
        <f t="shared" ref="C15:C23" si="2">$A$5</f>
        <v>BK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1.1499999999999999</v>
      </c>
      <c r="L15" s="67" t="s">
        <v>7</v>
      </c>
      <c r="M15" s="68">
        <f>K15*B15</f>
        <v>660.09999999999991</v>
      </c>
      <c r="N15" s="69"/>
      <c r="O15" s="70"/>
      <c r="P15" s="67" t="s">
        <v>7</v>
      </c>
      <c r="Q15" s="478">
        <v>46095</v>
      </c>
      <c r="R15" s="293">
        <v>661</v>
      </c>
      <c r="S15" s="71" t="s">
        <v>7</v>
      </c>
      <c r="T15" s="123">
        <f t="shared" ref="T15:T96" si="3">R15-M15</f>
        <v>0.90000000000009095</v>
      </c>
      <c r="U15" s="72"/>
      <c r="V15" s="72"/>
      <c r="W15" s="73"/>
      <c r="X15" s="74"/>
      <c r="Y15" s="479" t="s">
        <v>138</v>
      </c>
      <c r="Z15" s="63"/>
      <c r="AA15" s="64"/>
      <c r="AB15" s="566" t="s">
        <v>300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442"/>
      <c r="J16" s="76" t="s">
        <v>6</v>
      </c>
      <c r="K16" s="83"/>
      <c r="L16" s="77" t="s">
        <v>7</v>
      </c>
      <c r="M16" s="78">
        <f t="shared" ref="M16:M96" si="4">K16*B16</f>
        <v>0</v>
      </c>
      <c r="N16" s="79"/>
      <c r="O16" s="128"/>
      <c r="P16" s="77" t="s">
        <v>7</v>
      </c>
      <c r="Q16" s="444"/>
      <c r="R16" s="137"/>
      <c r="S16" s="75" t="s">
        <v>7</v>
      </c>
      <c r="T16" s="81">
        <f t="shared" si="3"/>
        <v>0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574</v>
      </c>
      <c r="C17" s="461" t="str">
        <f t="shared" si="2"/>
        <v>BK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1"/>
      <c r="AC18" s="178"/>
      <c r="AD18" s="179"/>
      <c r="AE18" s="179"/>
      <c r="AF18" s="179"/>
    </row>
    <row r="19" spans="1:32" s="55" customFormat="1" ht="69.95" customHeight="1" x14ac:dyDescent="0.15">
      <c r="A19" s="431" t="s">
        <v>195</v>
      </c>
      <c r="B19" s="182">
        <f t="shared" si="1"/>
        <v>574</v>
      </c>
      <c r="C19" s="461" t="str">
        <f t="shared" si="2"/>
        <v>BK</v>
      </c>
      <c r="D19" s="461"/>
      <c r="E19" s="461"/>
      <c r="F19" s="461"/>
      <c r="G19" s="461"/>
      <c r="H19" s="461"/>
      <c r="I19" s="441" t="s">
        <v>144</v>
      </c>
      <c r="J19" s="76" t="s">
        <v>6</v>
      </c>
      <c r="K19" s="136">
        <v>0.72</v>
      </c>
      <c r="L19" s="77" t="s">
        <v>7</v>
      </c>
      <c r="M19" s="78">
        <f t="shared" si="4"/>
        <v>413.28</v>
      </c>
      <c r="N19" s="79"/>
      <c r="O19" s="78"/>
      <c r="P19" s="80" t="s">
        <v>7</v>
      </c>
      <c r="Q19" s="443">
        <v>46101</v>
      </c>
      <c r="R19" s="78">
        <v>414</v>
      </c>
      <c r="S19" s="80" t="s">
        <v>7</v>
      </c>
      <c r="T19" s="81">
        <f t="shared" si="3"/>
        <v>0.72000000000002728</v>
      </c>
      <c r="U19" s="82"/>
      <c r="V19" s="137"/>
      <c r="W19" s="78"/>
      <c r="X19" s="78"/>
      <c r="Y19" s="445" t="s">
        <v>93</v>
      </c>
      <c r="Z19" s="138"/>
      <c r="AA19" s="135"/>
      <c r="AB19" s="595" t="s">
        <v>316</v>
      </c>
      <c r="AC19" s="178"/>
      <c r="AD19" s="179"/>
      <c r="AE19" s="179"/>
      <c r="AF19" s="179"/>
    </row>
    <row r="20" spans="1:32" s="55" customFormat="1" ht="69.95" customHeight="1" x14ac:dyDescent="0.15">
      <c r="A20" s="432"/>
      <c r="B20" s="182">
        <f>$I$6</f>
        <v>0</v>
      </c>
      <c r="C20" s="461">
        <f>$A$6</f>
        <v>0</v>
      </c>
      <c r="D20" s="461"/>
      <c r="E20" s="461"/>
      <c r="F20" s="461"/>
      <c r="G20" s="461"/>
      <c r="H20" s="461"/>
      <c r="I20" s="442"/>
      <c r="J20" s="76" t="s">
        <v>6</v>
      </c>
      <c r="K20" s="136"/>
      <c r="L20" s="77" t="s">
        <v>7</v>
      </c>
      <c r="M20" s="78">
        <f t="shared" si="4"/>
        <v>0</v>
      </c>
      <c r="N20" s="79"/>
      <c r="O20" s="128"/>
      <c r="P20" s="77" t="s">
        <v>7</v>
      </c>
      <c r="Q20" s="444"/>
      <c r="R20" s="137"/>
      <c r="S20" s="75" t="s">
        <v>7</v>
      </c>
      <c r="T20" s="81">
        <f t="shared" si="3"/>
        <v>0</v>
      </c>
      <c r="U20" s="131"/>
      <c r="V20" s="131"/>
      <c r="W20" s="132"/>
      <c r="X20" s="133"/>
      <c r="Y20" s="446"/>
      <c r="Z20" s="228"/>
      <c r="AA20" s="228"/>
      <c r="AB20" s="595"/>
      <c r="AC20" s="178"/>
      <c r="AD20" s="179"/>
      <c r="AE20" s="179"/>
      <c r="AF20" s="179"/>
    </row>
    <row r="21" spans="1:32" s="206" customFormat="1" ht="69.95" customHeight="1" x14ac:dyDescent="0.15">
      <c r="A21" s="431" t="s">
        <v>115</v>
      </c>
      <c r="B21" s="191">
        <f t="shared" si="1"/>
        <v>574</v>
      </c>
      <c r="C21" s="465" t="str">
        <f t="shared" si="2"/>
        <v>BK</v>
      </c>
      <c r="D21" s="465"/>
      <c r="E21" s="465"/>
      <c r="F21" s="465"/>
      <c r="G21" s="465"/>
      <c r="H21" s="465"/>
      <c r="I21" s="433" t="s">
        <v>8</v>
      </c>
      <c r="J21" s="192" t="s">
        <v>6</v>
      </c>
      <c r="K21" s="209">
        <v>0.61</v>
      </c>
      <c r="L21" s="194" t="s">
        <v>7</v>
      </c>
      <c r="M21" s="195">
        <f t="shared" si="4"/>
        <v>350.14</v>
      </c>
      <c r="N21" s="196"/>
      <c r="O21" s="195"/>
      <c r="P21" s="197" t="s">
        <v>7</v>
      </c>
      <c r="Q21" s="435"/>
      <c r="R21" s="195"/>
      <c r="S21" s="197" t="s">
        <v>7</v>
      </c>
      <c r="T21" s="198">
        <f t="shared" si="3"/>
        <v>-350.14</v>
      </c>
      <c r="U21" s="199"/>
      <c r="V21" s="200"/>
      <c r="W21" s="195"/>
      <c r="X21" s="195"/>
      <c r="Y21" s="437" t="s">
        <v>93</v>
      </c>
      <c r="Z21" s="235"/>
      <c r="AA21" s="202"/>
      <c r="AB21" s="606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$I$6</f>
        <v>0</v>
      </c>
      <c r="C22" s="465">
        <f>$A$6</f>
        <v>0</v>
      </c>
      <c r="D22" s="465"/>
      <c r="E22" s="465"/>
      <c r="F22" s="465"/>
      <c r="G22" s="465"/>
      <c r="H22" s="465"/>
      <c r="I22" s="434"/>
      <c r="J22" s="192" t="s">
        <v>6</v>
      </c>
      <c r="K22" s="209">
        <v>0.61</v>
      </c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38"/>
      <c r="AA22" s="238"/>
      <c r="AB22" s="606"/>
      <c r="AC22" s="229"/>
      <c r="AD22" s="230"/>
      <c r="AE22" s="230"/>
      <c r="AF22" s="230"/>
    </row>
    <row r="23" spans="1:32" s="176" customFormat="1" ht="69.95" customHeight="1" x14ac:dyDescent="0.15">
      <c r="A23" s="431" t="s">
        <v>107</v>
      </c>
      <c r="B23" s="239">
        <f t="shared" si="1"/>
        <v>574</v>
      </c>
      <c r="C23" s="456" t="str">
        <f t="shared" si="2"/>
        <v>BK</v>
      </c>
      <c r="D23" s="456"/>
      <c r="E23" s="456"/>
      <c r="F23" s="456"/>
      <c r="G23" s="456"/>
      <c r="H23" s="456"/>
      <c r="I23" s="457" t="s">
        <v>58</v>
      </c>
      <c r="J23" s="240" t="s">
        <v>6</v>
      </c>
      <c r="K23" s="241">
        <v>7.0000000000000007E-2</v>
      </c>
      <c r="L23" s="168" t="s">
        <v>7</v>
      </c>
      <c r="M23" s="242">
        <f t="shared" si="4"/>
        <v>40.180000000000007</v>
      </c>
      <c r="N23" s="243"/>
      <c r="O23" s="242"/>
      <c r="P23" s="244" t="s">
        <v>7</v>
      </c>
      <c r="Q23" s="376">
        <v>46101</v>
      </c>
      <c r="R23" s="245">
        <v>40</v>
      </c>
      <c r="S23" s="244" t="s">
        <v>7</v>
      </c>
      <c r="T23" s="245">
        <f t="shared" si="3"/>
        <v>-0.18000000000000682</v>
      </c>
      <c r="U23" s="246"/>
      <c r="V23" s="247"/>
      <c r="W23" s="242"/>
      <c r="X23" s="242"/>
      <c r="Y23" s="459" t="s">
        <v>59</v>
      </c>
      <c r="Z23" s="248"/>
      <c r="AA23" s="249"/>
      <c r="AB23" s="360" t="s">
        <v>319</v>
      </c>
      <c r="AC23" s="250"/>
      <c r="AD23" s="251"/>
      <c r="AE23" s="251"/>
      <c r="AF23" s="251"/>
    </row>
    <row r="24" spans="1:32" s="176" customFormat="1" ht="69.95" customHeight="1" x14ac:dyDescent="0.15">
      <c r="A24" s="432"/>
      <c r="B24" s="239">
        <f>$I$6</f>
        <v>0</v>
      </c>
      <c r="C24" s="456">
        <f>$A$6</f>
        <v>0</v>
      </c>
      <c r="D24" s="456"/>
      <c r="E24" s="456"/>
      <c r="F24" s="456"/>
      <c r="G24" s="456"/>
      <c r="H24" s="456"/>
      <c r="I24" s="458"/>
      <c r="J24" s="240" t="s">
        <v>6</v>
      </c>
      <c r="K24" s="241"/>
      <c r="L24" s="168" t="s">
        <v>7</v>
      </c>
      <c r="M24" s="242">
        <f t="shared" si="4"/>
        <v>0</v>
      </c>
      <c r="N24" s="243"/>
      <c r="O24" s="253"/>
      <c r="P24" s="168" t="s">
        <v>7</v>
      </c>
      <c r="Q24" s="378"/>
      <c r="R24" s="254"/>
      <c r="S24" s="255" t="s">
        <v>7</v>
      </c>
      <c r="T24" s="245">
        <f t="shared" si="3"/>
        <v>0</v>
      </c>
      <c r="U24" s="256"/>
      <c r="V24" s="256"/>
      <c r="W24" s="257"/>
      <c r="X24" s="258"/>
      <c r="Y24" s="460"/>
      <c r="Z24" s="259"/>
      <c r="AA24" s="249"/>
      <c r="AB24" s="361"/>
      <c r="AC24" s="250"/>
      <c r="AD24" s="251"/>
      <c r="AE24" s="251"/>
      <c r="AF24" s="251"/>
    </row>
    <row r="25" spans="1:32" s="261" customFormat="1" ht="69.95" customHeight="1" x14ac:dyDescent="0.15">
      <c r="A25" s="431" t="s">
        <v>108</v>
      </c>
      <c r="B25" s="182">
        <f>$I$5</f>
        <v>574</v>
      </c>
      <c r="C25" s="461" t="str">
        <f>$A$5</f>
        <v>BK</v>
      </c>
      <c r="D25" s="461"/>
      <c r="E25" s="461"/>
      <c r="F25" s="461"/>
      <c r="G25" s="461"/>
      <c r="H25" s="461"/>
      <c r="I25" s="441" t="s">
        <v>8</v>
      </c>
      <c r="J25" s="76" t="s">
        <v>6</v>
      </c>
      <c r="K25" s="136">
        <v>0.13</v>
      </c>
      <c r="L25" s="77" t="s">
        <v>7</v>
      </c>
      <c r="M25" s="78">
        <f>K25*B25</f>
        <v>74.62</v>
      </c>
      <c r="N25" s="79"/>
      <c r="O25" s="78"/>
      <c r="P25" s="80" t="s">
        <v>7</v>
      </c>
      <c r="Q25" s="376">
        <v>46101</v>
      </c>
      <c r="R25" s="78">
        <v>75</v>
      </c>
      <c r="S25" s="80" t="s">
        <v>9</v>
      </c>
      <c r="T25" s="81">
        <f t="shared" si="3"/>
        <v>0.37999999999999545</v>
      </c>
      <c r="U25" s="82"/>
      <c r="V25" s="137"/>
      <c r="W25" s="78"/>
      <c r="X25" s="78"/>
      <c r="Y25" s="445" t="s">
        <v>59</v>
      </c>
      <c r="Z25" s="141"/>
      <c r="AA25" s="135"/>
      <c r="AB25" s="361"/>
    </row>
    <row r="26" spans="1:32" s="261" customFormat="1" ht="69.95" customHeight="1" x14ac:dyDescent="0.15">
      <c r="A26" s="432"/>
      <c r="B26" s="182">
        <f>$I$6</f>
        <v>0</v>
      </c>
      <c r="C26" s="461">
        <f>$A$6</f>
        <v>0</v>
      </c>
      <c r="D26" s="461"/>
      <c r="E26" s="461"/>
      <c r="F26" s="461"/>
      <c r="G26" s="461"/>
      <c r="H26" s="461"/>
      <c r="I26" s="442"/>
      <c r="J26" s="76" t="s">
        <v>6</v>
      </c>
      <c r="K26" s="83"/>
      <c r="L26" s="77" t="s">
        <v>7</v>
      </c>
      <c r="M26" s="78">
        <f>K26*B26</f>
        <v>0</v>
      </c>
      <c r="N26" s="79"/>
      <c r="O26" s="128"/>
      <c r="P26" s="77" t="s">
        <v>7</v>
      </c>
      <c r="Q26" s="378"/>
      <c r="R26" s="137"/>
      <c r="S26" s="75" t="s">
        <v>9</v>
      </c>
      <c r="T26" s="81">
        <f t="shared" si="3"/>
        <v>0</v>
      </c>
      <c r="U26" s="131"/>
      <c r="V26" s="131"/>
      <c r="W26" s="132"/>
      <c r="X26" s="133"/>
      <c r="Y26" s="446"/>
      <c r="Z26" s="134"/>
      <c r="AA26" s="135"/>
      <c r="AB26" s="362"/>
      <c r="AC26" s="462"/>
      <c r="AD26" s="463"/>
      <c r="AE26" s="463"/>
      <c r="AF26" s="463"/>
    </row>
    <row r="27" spans="1:32" s="203" customFormat="1" ht="69.95" customHeight="1" x14ac:dyDescent="0.15">
      <c r="A27" s="464" t="s">
        <v>77</v>
      </c>
      <c r="B27" s="191">
        <f>$I$5</f>
        <v>574</v>
      </c>
      <c r="C27" s="465" t="str">
        <f>$A$5</f>
        <v>BK</v>
      </c>
      <c r="D27" s="465"/>
      <c r="E27" s="465"/>
      <c r="F27" s="465"/>
      <c r="G27" s="465"/>
      <c r="H27" s="465"/>
      <c r="I27" s="433" t="s">
        <v>110</v>
      </c>
      <c r="J27" s="192"/>
      <c r="K27" s="209">
        <v>1.8</v>
      </c>
      <c r="L27" s="194" t="s">
        <v>7</v>
      </c>
      <c r="M27" s="195">
        <f>K27*B27/100</f>
        <v>10.332000000000001</v>
      </c>
      <c r="N27" s="196"/>
      <c r="O27" s="195"/>
      <c r="P27" s="197" t="s">
        <v>7</v>
      </c>
      <c r="Q27" s="435"/>
      <c r="R27" s="195"/>
      <c r="S27" s="197" t="s">
        <v>9</v>
      </c>
      <c r="T27" s="198">
        <f t="shared" si="3"/>
        <v>-10.332000000000001</v>
      </c>
      <c r="U27" s="199"/>
      <c r="V27" s="200"/>
      <c r="W27" s="195"/>
      <c r="X27" s="195"/>
      <c r="Y27" s="437" t="s">
        <v>94</v>
      </c>
      <c r="Z27" s="201"/>
      <c r="AA27" s="202"/>
      <c r="AB27" s="439"/>
    </row>
    <row r="28" spans="1:32" s="203" customFormat="1" ht="69.95" customHeight="1" thickBot="1" x14ac:dyDescent="0.2">
      <c r="A28" s="464"/>
      <c r="B28" s="191">
        <f>$I$6</f>
        <v>0</v>
      </c>
      <c r="C28" s="465">
        <f>$A$6</f>
        <v>0</v>
      </c>
      <c r="D28" s="465"/>
      <c r="E28" s="465"/>
      <c r="F28" s="465"/>
      <c r="G28" s="465"/>
      <c r="H28" s="465"/>
      <c r="I28" s="434"/>
      <c r="J28" s="192"/>
      <c r="K28" s="208">
        <v>1.8</v>
      </c>
      <c r="L28" s="194" t="s">
        <v>7</v>
      </c>
      <c r="M28" s="195">
        <f>K28*B28/100</f>
        <v>0</v>
      </c>
      <c r="N28" s="196"/>
      <c r="O28" s="210"/>
      <c r="P28" s="194" t="s">
        <v>7</v>
      </c>
      <c r="Q28" s="436"/>
      <c r="R28" s="200"/>
      <c r="S28" s="207" t="s">
        <v>9</v>
      </c>
      <c r="T28" s="198">
        <f t="shared" si="3"/>
        <v>0</v>
      </c>
      <c r="U28" s="211"/>
      <c r="V28" s="211"/>
      <c r="W28" s="212"/>
      <c r="X28" s="213"/>
      <c r="Y28" s="438"/>
      <c r="Z28" s="214"/>
      <c r="AA28" s="202"/>
      <c r="AB28" s="440"/>
      <c r="AC28" s="466"/>
      <c r="AD28" s="467"/>
      <c r="AE28" s="467"/>
      <c r="AF28" s="467"/>
    </row>
    <row r="29" spans="1:32" s="261" customFormat="1" ht="69.95" customHeight="1" thickTop="1" x14ac:dyDescent="0.15">
      <c r="A29" s="464" t="s">
        <v>86</v>
      </c>
      <c r="B29" s="182">
        <f>$I$5</f>
        <v>574</v>
      </c>
      <c r="C29" s="461" t="str">
        <f>$A$5</f>
        <v>BK</v>
      </c>
      <c r="D29" s="461"/>
      <c r="E29" s="461"/>
      <c r="F29" s="461"/>
      <c r="G29" s="461"/>
      <c r="H29" s="461"/>
      <c r="I29" s="441" t="s">
        <v>76</v>
      </c>
      <c r="J29" s="76"/>
      <c r="K29" s="136">
        <v>2.6</v>
      </c>
      <c r="L29" s="77" t="s">
        <v>7</v>
      </c>
      <c r="M29" s="78">
        <f>K29*B29/50</f>
        <v>29.848000000000003</v>
      </c>
      <c r="N29" s="79"/>
      <c r="O29" s="78"/>
      <c r="P29" s="80" t="s">
        <v>7</v>
      </c>
      <c r="Q29" s="443"/>
      <c r="R29" s="78"/>
      <c r="S29" s="80" t="s">
        <v>9</v>
      </c>
      <c r="T29" s="81">
        <f t="shared" si="3"/>
        <v>-29.848000000000003</v>
      </c>
      <c r="U29" s="82"/>
      <c r="V29" s="137"/>
      <c r="W29" s="78"/>
      <c r="X29" s="78"/>
      <c r="Y29" s="445" t="s">
        <v>94</v>
      </c>
      <c r="Z29" s="141"/>
      <c r="AA29" s="135"/>
      <c r="AB29" s="566" t="s">
        <v>319</v>
      </c>
    </row>
    <row r="30" spans="1:32" s="261" customFormat="1" ht="69.95" customHeight="1" x14ac:dyDescent="0.15">
      <c r="A30" s="464"/>
      <c r="B30" s="182">
        <f>$I$6</f>
        <v>0</v>
      </c>
      <c r="C30" s="461">
        <f>$A$6</f>
        <v>0</v>
      </c>
      <c r="D30" s="461"/>
      <c r="E30" s="461"/>
      <c r="F30" s="461"/>
      <c r="G30" s="461"/>
      <c r="H30" s="461"/>
      <c r="I30" s="442"/>
      <c r="J30" s="76"/>
      <c r="K30" s="83"/>
      <c r="L30" s="77" t="s">
        <v>7</v>
      </c>
      <c r="M30" s="78">
        <f>K30*B30/50</f>
        <v>0</v>
      </c>
      <c r="N30" s="79"/>
      <c r="O30" s="128"/>
      <c r="P30" s="77" t="s">
        <v>7</v>
      </c>
      <c r="Q30" s="444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2"/>
      <c r="AC30" s="462"/>
      <c r="AD30" s="463"/>
      <c r="AE30" s="463"/>
      <c r="AF30" s="463"/>
    </row>
    <row r="31" spans="1:32" s="203" customFormat="1" ht="69.95" customHeight="1" x14ac:dyDescent="0.15">
      <c r="A31" s="464" t="s">
        <v>116</v>
      </c>
      <c r="B31" s="191">
        <f>$I$5</f>
        <v>574</v>
      </c>
      <c r="C31" s="465" t="str">
        <f>$A$5</f>
        <v>BK</v>
      </c>
      <c r="D31" s="465"/>
      <c r="E31" s="465"/>
      <c r="F31" s="465"/>
      <c r="G31" s="465"/>
      <c r="H31" s="465"/>
      <c r="I31" s="433" t="s">
        <v>76</v>
      </c>
      <c r="J31" s="192"/>
      <c r="K31" s="209">
        <v>2.4</v>
      </c>
      <c r="L31" s="194" t="s">
        <v>7</v>
      </c>
      <c r="M31" s="195">
        <f>K31*B31/50</f>
        <v>27.552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-27.552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x14ac:dyDescent="0.15">
      <c r="A32" s="464"/>
      <c r="B32" s="191">
        <f>$I$6</f>
        <v>0</v>
      </c>
      <c r="C32" s="465">
        <f>$A$6</f>
        <v>0</v>
      </c>
      <c r="D32" s="465"/>
      <c r="E32" s="465"/>
      <c r="F32" s="465"/>
      <c r="G32" s="465"/>
      <c r="H32" s="465"/>
      <c r="I32" s="434"/>
      <c r="J32" s="192"/>
      <c r="K32" s="208">
        <v>2.4</v>
      </c>
      <c r="L32" s="194" t="s">
        <v>7</v>
      </c>
      <c r="M32" s="195">
        <f>K32*B32/50</f>
        <v>0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0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x14ac:dyDescent="0.15">
      <c r="A33" s="431" t="s">
        <v>88</v>
      </c>
      <c r="B33" s="239">
        <f>$I$5</f>
        <v>574</v>
      </c>
      <c r="C33" s="371" t="str">
        <f>$A$5</f>
        <v>BK</v>
      </c>
      <c r="D33" s="372"/>
      <c r="E33" s="373"/>
      <c r="F33" s="371" t="str">
        <f>$A$5</f>
        <v>BK</v>
      </c>
      <c r="G33" s="372"/>
      <c r="H33" s="373"/>
      <c r="I33" s="457" t="s">
        <v>62</v>
      </c>
      <c r="J33" s="240"/>
      <c r="K33" s="263">
        <v>130</v>
      </c>
      <c r="L33" s="168" t="s">
        <v>61</v>
      </c>
      <c r="M33" s="242">
        <f t="shared" ref="M33:M34" si="5">K33*B33/2500</f>
        <v>29.847999999999999</v>
      </c>
      <c r="N33" s="243"/>
      <c r="O33" s="242"/>
      <c r="P33" s="244" t="s">
        <v>10</v>
      </c>
      <c r="Q33" s="325"/>
      <c r="R33" s="242">
        <v>30</v>
      </c>
      <c r="S33" s="244" t="s">
        <v>10</v>
      </c>
      <c r="T33" s="245">
        <f>R33-M33</f>
        <v>0.15200000000000102</v>
      </c>
      <c r="U33" s="246"/>
      <c r="V33" s="247"/>
      <c r="W33" s="242"/>
      <c r="X33" s="242"/>
      <c r="Y33" s="459" t="s">
        <v>94</v>
      </c>
      <c r="Z33" s="260"/>
      <c r="AA33" s="249"/>
      <c r="AB33" s="360" t="s">
        <v>319</v>
      </c>
    </row>
    <row r="34" spans="1:32" s="176" customFormat="1" ht="69.95" customHeight="1" x14ac:dyDescent="0.15">
      <c r="A34" s="432"/>
      <c r="B34" s="264">
        <f>$I$6</f>
        <v>0</v>
      </c>
      <c r="C34" s="371">
        <f>$A$6</f>
        <v>0</v>
      </c>
      <c r="D34" s="372"/>
      <c r="E34" s="373"/>
      <c r="F34" s="371">
        <f>$A$6</f>
        <v>0</v>
      </c>
      <c r="G34" s="372"/>
      <c r="H34" s="373"/>
      <c r="I34" s="458"/>
      <c r="J34" s="265"/>
      <c r="K34" s="263"/>
      <c r="L34" s="266" t="s">
        <v>61</v>
      </c>
      <c r="M34" s="242">
        <f t="shared" si="5"/>
        <v>0</v>
      </c>
      <c r="N34" s="267"/>
      <c r="O34" s="268"/>
      <c r="P34" s="266" t="s">
        <v>10</v>
      </c>
      <c r="Q34" s="326"/>
      <c r="R34" s="269"/>
      <c r="S34" s="252" t="s">
        <v>10</v>
      </c>
      <c r="T34" s="270">
        <f>R34-M34</f>
        <v>0</v>
      </c>
      <c r="U34" s="271"/>
      <c r="V34" s="271"/>
      <c r="W34" s="272"/>
      <c r="X34" s="273"/>
      <c r="Y34" s="460"/>
      <c r="Z34" s="274"/>
      <c r="AA34" s="275"/>
      <c r="AB34" s="361"/>
      <c r="AC34" s="590"/>
      <c r="AD34" s="591"/>
      <c r="AE34" s="591"/>
      <c r="AF34" s="591"/>
    </row>
    <row r="35" spans="1:32" s="261" customFormat="1" ht="69.95" customHeight="1" x14ac:dyDescent="0.15">
      <c r="A35" s="431" t="s">
        <v>147</v>
      </c>
      <c r="B35" s="239">
        <f>$I$5</f>
        <v>574</v>
      </c>
      <c r="C35" s="371" t="str">
        <f>$A$5</f>
        <v>BK</v>
      </c>
      <c r="D35" s="372"/>
      <c r="E35" s="373"/>
      <c r="F35" s="371" t="str">
        <f>$A$5</f>
        <v>BK</v>
      </c>
      <c r="G35" s="372"/>
      <c r="H35" s="373"/>
      <c r="I35" s="457" t="s">
        <v>60</v>
      </c>
      <c r="J35" s="240"/>
      <c r="K35" s="263">
        <v>220</v>
      </c>
      <c r="L35" s="168" t="s">
        <v>61</v>
      </c>
      <c r="M35" s="242">
        <f t="shared" ref="M35:M36" si="6">K35*B35/4000</f>
        <v>31.57</v>
      </c>
      <c r="N35" s="243"/>
      <c r="O35" s="242"/>
      <c r="P35" s="244" t="s">
        <v>10</v>
      </c>
      <c r="Q35" s="326"/>
      <c r="R35" s="242">
        <v>32</v>
      </c>
      <c r="S35" s="244" t="s">
        <v>10</v>
      </c>
      <c r="T35" s="245">
        <f t="shared" si="3"/>
        <v>0.42999999999999972</v>
      </c>
      <c r="U35" s="246"/>
      <c r="V35" s="247"/>
      <c r="W35" s="242"/>
      <c r="X35" s="242"/>
      <c r="Y35" s="459" t="s">
        <v>94</v>
      </c>
      <c r="Z35" s="260"/>
      <c r="AA35" s="249"/>
      <c r="AB35" s="361"/>
    </row>
    <row r="36" spans="1:32" s="176" customFormat="1" ht="69.95" customHeight="1" x14ac:dyDescent="0.15">
      <c r="A36" s="432"/>
      <c r="B36" s="264">
        <f>$I$6</f>
        <v>0</v>
      </c>
      <c r="C36" s="371">
        <f>$A$6</f>
        <v>0</v>
      </c>
      <c r="D36" s="372"/>
      <c r="E36" s="373"/>
      <c r="F36" s="371">
        <f>$A$6</f>
        <v>0</v>
      </c>
      <c r="G36" s="372"/>
      <c r="H36" s="373"/>
      <c r="I36" s="458"/>
      <c r="J36" s="265"/>
      <c r="K36" s="263"/>
      <c r="L36" s="266" t="s">
        <v>61</v>
      </c>
      <c r="M36" s="242">
        <f t="shared" si="6"/>
        <v>0</v>
      </c>
      <c r="N36" s="267"/>
      <c r="O36" s="268"/>
      <c r="P36" s="266" t="s">
        <v>10</v>
      </c>
      <c r="Q36" s="326"/>
      <c r="R36" s="269"/>
      <c r="S36" s="252" t="s">
        <v>10</v>
      </c>
      <c r="T36" s="270">
        <f t="shared" si="3"/>
        <v>0</v>
      </c>
      <c r="U36" s="271"/>
      <c r="V36" s="271"/>
      <c r="W36" s="272"/>
      <c r="X36" s="273"/>
      <c r="Y36" s="460"/>
      <c r="Z36" s="274"/>
      <c r="AA36" s="275"/>
      <c r="AB36" s="361"/>
      <c r="AC36" s="592"/>
      <c r="AD36" s="593"/>
      <c r="AE36" s="593"/>
      <c r="AF36" s="593"/>
    </row>
    <row r="37" spans="1:32" s="261" customFormat="1" ht="69.95" customHeight="1" x14ac:dyDescent="0.15">
      <c r="A37" s="431" t="s">
        <v>314</v>
      </c>
      <c r="B37" s="182">
        <f>$I$5</f>
        <v>574</v>
      </c>
      <c r="C37" s="461" t="str">
        <f>$A$5</f>
        <v>BK</v>
      </c>
      <c r="D37" s="461"/>
      <c r="E37" s="461"/>
      <c r="F37" s="461" t="str">
        <f>$A$5</f>
        <v>BK</v>
      </c>
      <c r="G37" s="461"/>
      <c r="H37" s="461"/>
      <c r="I37" s="441" t="s">
        <v>60</v>
      </c>
      <c r="J37" s="76"/>
      <c r="K37" s="139">
        <v>15</v>
      </c>
      <c r="L37" s="77" t="s">
        <v>61</v>
      </c>
      <c r="M37" s="78">
        <f>K37*B37/4000</f>
        <v>2.1524999999999999</v>
      </c>
      <c r="N37" s="79"/>
      <c r="O37" s="78"/>
      <c r="P37" s="80" t="s">
        <v>10</v>
      </c>
      <c r="Q37" s="328"/>
      <c r="R37" s="78">
        <v>3</v>
      </c>
      <c r="S37" s="80" t="s">
        <v>10</v>
      </c>
      <c r="T37" s="81">
        <f t="shared" si="3"/>
        <v>0.84750000000000014</v>
      </c>
      <c r="U37" s="82"/>
      <c r="V37" s="137"/>
      <c r="W37" s="78"/>
      <c r="X37" s="78"/>
      <c r="Y37" s="445" t="s">
        <v>94</v>
      </c>
      <c r="Z37" s="141"/>
      <c r="AA37" s="135"/>
      <c r="AB37" s="361"/>
    </row>
    <row r="38" spans="1:32" s="176" customFormat="1" ht="69.95" customHeight="1" x14ac:dyDescent="0.15">
      <c r="A38" s="432"/>
      <c r="B38" s="186">
        <f>$I$6</f>
        <v>0</v>
      </c>
      <c r="C38" s="395">
        <f>$A$6</f>
        <v>0</v>
      </c>
      <c r="D38" s="396"/>
      <c r="E38" s="397"/>
      <c r="F38" s="395">
        <f>$A$6</f>
        <v>0</v>
      </c>
      <c r="G38" s="396"/>
      <c r="H38" s="397"/>
      <c r="I38" s="442"/>
      <c r="J38" s="144"/>
      <c r="K38" s="139"/>
      <c r="L38" s="145" t="s">
        <v>61</v>
      </c>
      <c r="M38" s="78">
        <f>K38*B38/4000</f>
        <v>0</v>
      </c>
      <c r="N38" s="146"/>
      <c r="O38" s="147"/>
      <c r="P38" s="145" t="s">
        <v>10</v>
      </c>
      <c r="Q38" s="328"/>
      <c r="R38" s="161"/>
      <c r="S38" s="148" t="s">
        <v>10</v>
      </c>
      <c r="T38" s="84">
        <f t="shared" si="3"/>
        <v>0</v>
      </c>
      <c r="U38" s="149"/>
      <c r="V38" s="149"/>
      <c r="W38" s="150"/>
      <c r="X38" s="151"/>
      <c r="Y38" s="446"/>
      <c r="Z38" s="216"/>
      <c r="AA38" s="217"/>
      <c r="AB38" s="361"/>
      <c r="AC38" s="451"/>
      <c r="AD38" s="452"/>
      <c r="AE38" s="452"/>
      <c r="AF38" s="452"/>
    </row>
    <row r="39" spans="1:32" s="261" customFormat="1" ht="69.95" customHeight="1" x14ac:dyDescent="0.15">
      <c r="A39" s="431" t="s">
        <v>305</v>
      </c>
      <c r="B39" s="191">
        <f>$I$5</f>
        <v>574</v>
      </c>
      <c r="C39" s="422" t="str">
        <f>$A$5</f>
        <v>BK</v>
      </c>
      <c r="D39" s="423"/>
      <c r="E39" s="424"/>
      <c r="F39" s="422"/>
      <c r="G39" s="423"/>
      <c r="H39" s="424"/>
      <c r="I39" s="433"/>
      <c r="J39" s="192"/>
      <c r="K39" s="193">
        <v>30</v>
      </c>
      <c r="L39" s="194" t="s">
        <v>61</v>
      </c>
      <c r="M39" s="195"/>
      <c r="N39" s="196"/>
      <c r="O39" s="195"/>
      <c r="P39" s="197" t="s">
        <v>10</v>
      </c>
      <c r="Q39" s="307"/>
      <c r="R39" s="195"/>
      <c r="S39" s="197" t="s">
        <v>10</v>
      </c>
      <c r="T39" s="198">
        <f t="shared" ref="T39:T40" si="7">R39-M39</f>
        <v>0</v>
      </c>
      <c r="U39" s="199"/>
      <c r="V39" s="200"/>
      <c r="W39" s="195"/>
      <c r="X39" s="195"/>
      <c r="Y39" s="437" t="s">
        <v>94</v>
      </c>
      <c r="Z39" s="201"/>
      <c r="AA39" s="202"/>
      <c r="AB39" s="327"/>
    </row>
    <row r="40" spans="1:32" s="176" customFormat="1" ht="69.95" customHeight="1" x14ac:dyDescent="0.15">
      <c r="A40" s="432"/>
      <c r="B40" s="204">
        <f>$I$6</f>
        <v>0</v>
      </c>
      <c r="C40" s="422">
        <f>$A$6</f>
        <v>0</v>
      </c>
      <c r="D40" s="423"/>
      <c r="E40" s="424"/>
      <c r="F40" s="422"/>
      <c r="G40" s="423"/>
      <c r="H40" s="424"/>
      <c r="I40" s="434"/>
      <c r="J40" s="218"/>
      <c r="K40" s="193">
        <v>30</v>
      </c>
      <c r="L40" s="219" t="s">
        <v>61</v>
      </c>
      <c r="M40" s="195"/>
      <c r="N40" s="220"/>
      <c r="O40" s="221"/>
      <c r="P40" s="219" t="s">
        <v>10</v>
      </c>
      <c r="Q40" s="307"/>
      <c r="R40" s="222"/>
      <c r="S40" s="197" t="s">
        <v>10</v>
      </c>
      <c r="T40" s="205">
        <f t="shared" si="7"/>
        <v>0</v>
      </c>
      <c r="U40" s="223"/>
      <c r="V40" s="223"/>
      <c r="W40" s="224"/>
      <c r="X40" s="225"/>
      <c r="Y40" s="438"/>
      <c r="Z40" s="226"/>
      <c r="AA40" s="227"/>
      <c r="AB40" s="327"/>
      <c r="AC40" s="590"/>
      <c r="AD40" s="591"/>
      <c r="AE40" s="591"/>
      <c r="AF40" s="591"/>
    </row>
    <row r="41" spans="1:32" s="55" customFormat="1" ht="69.95" customHeight="1" x14ac:dyDescent="0.15">
      <c r="A41" s="431" t="s">
        <v>123</v>
      </c>
      <c r="B41" s="182">
        <f t="shared" ref="B41:B59" si="8">$I$5</f>
        <v>574</v>
      </c>
      <c r="C41" s="368" t="str">
        <f t="shared" ref="C41:C59" si="9">$A$5</f>
        <v>BK</v>
      </c>
      <c r="D41" s="369"/>
      <c r="E41" s="370"/>
      <c r="F41" s="428"/>
      <c r="G41" s="429"/>
      <c r="H41" s="430"/>
      <c r="I41" s="75" t="s">
        <v>101</v>
      </c>
      <c r="J41" s="76"/>
      <c r="K41" s="139">
        <v>1</v>
      </c>
      <c r="L41" s="77" t="s">
        <v>63</v>
      </c>
      <c r="M41" s="78">
        <f>K41*B41</f>
        <v>574</v>
      </c>
      <c r="N41" s="79"/>
      <c r="O41" s="78"/>
      <c r="P41" s="80" t="s">
        <v>63</v>
      </c>
      <c r="Q41" s="377">
        <v>46101</v>
      </c>
      <c r="R41" s="78">
        <v>574</v>
      </c>
      <c r="S41" s="80" t="s">
        <v>63</v>
      </c>
      <c r="T41" s="84">
        <f t="shared" si="3"/>
        <v>0</v>
      </c>
      <c r="U41" s="82"/>
      <c r="V41" s="82"/>
      <c r="W41" s="83"/>
      <c r="X41" s="81"/>
      <c r="Y41" s="445" t="s">
        <v>94</v>
      </c>
      <c r="Z41" s="86"/>
      <c r="AA41" s="85"/>
      <c r="AB41" s="449" t="s">
        <v>319</v>
      </c>
    </row>
    <row r="42" spans="1:32" s="55" customFormat="1" ht="69.95" customHeight="1" x14ac:dyDescent="0.15">
      <c r="A42" s="432"/>
      <c r="B42" s="186">
        <f>$I$6</f>
        <v>0</v>
      </c>
      <c r="C42" s="368">
        <f>$A$6</f>
        <v>0</v>
      </c>
      <c r="D42" s="369"/>
      <c r="E42" s="370"/>
      <c r="F42" s="428"/>
      <c r="G42" s="429"/>
      <c r="H42" s="430"/>
      <c r="I42" s="75" t="s">
        <v>101</v>
      </c>
      <c r="J42" s="76"/>
      <c r="K42" s="139">
        <v>1</v>
      </c>
      <c r="L42" s="77" t="s">
        <v>63</v>
      </c>
      <c r="M42" s="78">
        <f>K42*B42</f>
        <v>0</v>
      </c>
      <c r="N42" s="140"/>
      <c r="O42" s="78"/>
      <c r="P42" s="80" t="s">
        <v>63</v>
      </c>
      <c r="Q42" s="377"/>
      <c r="R42" s="78"/>
      <c r="S42" s="80" t="s">
        <v>63</v>
      </c>
      <c r="T42" s="81">
        <f t="shared" si="3"/>
        <v>0</v>
      </c>
      <c r="U42" s="82"/>
      <c r="V42" s="137"/>
      <c r="W42" s="78"/>
      <c r="X42" s="78"/>
      <c r="Y42" s="446"/>
      <c r="Z42" s="141"/>
      <c r="AA42" s="135"/>
      <c r="AB42" s="449"/>
      <c r="AC42" s="142"/>
      <c r="AD42" s="179"/>
      <c r="AE42" s="179"/>
      <c r="AF42" s="179"/>
    </row>
    <row r="43" spans="1:32" s="55" customFormat="1" ht="69.95" customHeight="1" x14ac:dyDescent="0.15">
      <c r="A43" s="431" t="s">
        <v>136</v>
      </c>
      <c r="B43" s="182">
        <f t="shared" ref="B43" si="10">$I$5</f>
        <v>574</v>
      </c>
      <c r="C43" s="368" t="str">
        <f t="shared" ref="C43" si="11">$A$5</f>
        <v>BK</v>
      </c>
      <c r="D43" s="369"/>
      <c r="E43" s="370"/>
      <c r="F43" s="428"/>
      <c r="G43" s="429"/>
      <c r="H43" s="430"/>
      <c r="I43" s="75"/>
      <c r="J43" s="76"/>
      <c r="K43" s="139">
        <v>1</v>
      </c>
      <c r="L43" s="77" t="s">
        <v>65</v>
      </c>
      <c r="M43" s="78">
        <f>K43*B43</f>
        <v>574</v>
      </c>
      <c r="N43" s="79"/>
      <c r="O43" s="78"/>
      <c r="P43" s="80" t="s">
        <v>65</v>
      </c>
      <c r="Q43" s="377"/>
      <c r="R43" s="78">
        <v>574</v>
      </c>
      <c r="S43" s="80" t="s">
        <v>65</v>
      </c>
      <c r="T43" s="84">
        <f t="shared" si="3"/>
        <v>0</v>
      </c>
      <c r="U43" s="82"/>
      <c r="V43" s="82"/>
      <c r="W43" s="83"/>
      <c r="X43" s="81"/>
      <c r="Y43" s="445" t="s">
        <v>94</v>
      </c>
      <c r="Z43" s="86"/>
      <c r="AA43" s="85"/>
      <c r="AB43" s="449"/>
    </row>
    <row r="44" spans="1:32" s="55" customFormat="1" ht="69.95" customHeight="1" x14ac:dyDescent="0.15">
      <c r="A44" s="432"/>
      <c r="B44" s="186">
        <f>$I$6</f>
        <v>0</v>
      </c>
      <c r="C44" s="368">
        <f>$A$6</f>
        <v>0</v>
      </c>
      <c r="D44" s="369"/>
      <c r="E44" s="370"/>
      <c r="F44" s="428"/>
      <c r="G44" s="429"/>
      <c r="H44" s="430"/>
      <c r="I44" s="75"/>
      <c r="J44" s="76"/>
      <c r="K44" s="139">
        <v>1</v>
      </c>
      <c r="L44" s="77" t="s">
        <v>65</v>
      </c>
      <c r="M44" s="78">
        <f>K44*B44</f>
        <v>0</v>
      </c>
      <c r="N44" s="140"/>
      <c r="O44" s="78"/>
      <c r="P44" s="80" t="s">
        <v>65</v>
      </c>
      <c r="Q44" s="378"/>
      <c r="R44" s="78"/>
      <c r="S44" s="80" t="s">
        <v>65</v>
      </c>
      <c r="T44" s="81">
        <f t="shared" si="3"/>
        <v>0</v>
      </c>
      <c r="U44" s="82"/>
      <c r="V44" s="137"/>
      <c r="W44" s="78"/>
      <c r="X44" s="78"/>
      <c r="Y44" s="446"/>
      <c r="Z44" s="141"/>
      <c r="AA44" s="135"/>
      <c r="AB44" s="450"/>
      <c r="AC44" s="142"/>
      <c r="AD44" s="179"/>
      <c r="AE44" s="179"/>
      <c r="AF44" s="179"/>
    </row>
    <row r="45" spans="1:32" s="206" customFormat="1" ht="69.95" customHeight="1" x14ac:dyDescent="0.15">
      <c r="A45" s="431" t="s">
        <v>117</v>
      </c>
      <c r="B45" s="191">
        <f t="shared" ref="B45:B47" si="12">$I$5</f>
        <v>574</v>
      </c>
      <c r="C45" s="422" t="str">
        <f t="shared" ref="C45:C47" si="13">$A$5</f>
        <v>BK</v>
      </c>
      <c r="D45" s="423"/>
      <c r="E45" s="424"/>
      <c r="F45" s="425"/>
      <c r="G45" s="423"/>
      <c r="H45" s="424"/>
      <c r="I45" s="433" t="s">
        <v>80</v>
      </c>
      <c r="J45" s="192"/>
      <c r="K45" s="193">
        <v>1</v>
      </c>
      <c r="L45" s="194" t="s">
        <v>65</v>
      </c>
      <c r="M45" s="195">
        <f t="shared" ref="M45:M60" si="14">K45*B45</f>
        <v>574</v>
      </c>
      <c r="N45" s="196"/>
      <c r="O45" s="195"/>
      <c r="P45" s="194" t="s">
        <v>65</v>
      </c>
      <c r="Q45" s="435"/>
      <c r="R45" s="195"/>
      <c r="S45" s="194" t="s">
        <v>65</v>
      </c>
      <c r="T45" s="205">
        <f t="shared" si="3"/>
        <v>-574</v>
      </c>
      <c r="U45" s="199"/>
      <c r="V45" s="199"/>
      <c r="W45" s="208"/>
      <c r="X45" s="198"/>
      <c r="Y45" s="437" t="s">
        <v>57</v>
      </c>
      <c r="Z45" s="231"/>
      <c r="AA45" s="232"/>
      <c r="AB45" s="439"/>
    </row>
    <row r="46" spans="1:32" s="206" customFormat="1" ht="69.95" customHeight="1" x14ac:dyDescent="0.15">
      <c r="A46" s="432"/>
      <c r="B46" s="204">
        <f>$I$6</f>
        <v>0</v>
      </c>
      <c r="C46" s="453">
        <f>$A$6</f>
        <v>0</v>
      </c>
      <c r="D46" s="454"/>
      <c r="E46" s="455"/>
      <c r="F46" s="425"/>
      <c r="G46" s="423"/>
      <c r="H46" s="424"/>
      <c r="I46" s="434"/>
      <c r="J46" s="192"/>
      <c r="K46" s="193">
        <v>1</v>
      </c>
      <c r="L46" s="194" t="s">
        <v>65</v>
      </c>
      <c r="M46" s="195">
        <f t="shared" si="14"/>
        <v>0</v>
      </c>
      <c r="N46" s="233"/>
      <c r="O46" s="195"/>
      <c r="P46" s="194" t="s">
        <v>65</v>
      </c>
      <c r="Q46" s="436"/>
      <c r="R46" s="195"/>
      <c r="S46" s="194" t="s">
        <v>65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440"/>
      <c r="AC46" s="234"/>
      <c r="AD46" s="230"/>
      <c r="AE46" s="230"/>
      <c r="AF46" s="230"/>
    </row>
    <row r="47" spans="1:32" s="206" customFormat="1" ht="69.95" customHeight="1" x14ac:dyDescent="0.15">
      <c r="A47" s="431" t="s">
        <v>78</v>
      </c>
      <c r="B47" s="191">
        <f t="shared" si="12"/>
        <v>574</v>
      </c>
      <c r="C47" s="422" t="str">
        <f t="shared" si="13"/>
        <v>BK</v>
      </c>
      <c r="D47" s="423"/>
      <c r="E47" s="424"/>
      <c r="F47" s="425"/>
      <c r="G47" s="423"/>
      <c r="H47" s="424"/>
      <c r="I47" s="207"/>
      <c r="J47" s="192"/>
      <c r="K47" s="193">
        <v>1</v>
      </c>
      <c r="L47" s="194" t="s">
        <v>65</v>
      </c>
      <c r="M47" s="195">
        <f t="shared" si="14"/>
        <v>574</v>
      </c>
      <c r="N47" s="196"/>
      <c r="O47" s="195"/>
      <c r="P47" s="194" t="s">
        <v>65</v>
      </c>
      <c r="Q47" s="435"/>
      <c r="R47" s="195"/>
      <c r="S47" s="194" t="s">
        <v>65</v>
      </c>
      <c r="T47" s="205">
        <f t="shared" si="3"/>
        <v>-574</v>
      </c>
      <c r="U47" s="199"/>
      <c r="V47" s="199"/>
      <c r="W47" s="208"/>
      <c r="X47" s="198"/>
      <c r="Y47" s="437" t="s">
        <v>57</v>
      </c>
      <c r="Z47" s="231"/>
      <c r="AA47" s="232"/>
      <c r="AB47" s="439"/>
    </row>
    <row r="48" spans="1:32" s="206" customFormat="1" ht="69.95" customHeight="1" x14ac:dyDescent="0.15">
      <c r="A48" s="432"/>
      <c r="B48" s="204">
        <f>$I$6</f>
        <v>0</v>
      </c>
      <c r="C48" s="453">
        <f>$A$6</f>
        <v>0</v>
      </c>
      <c r="D48" s="454"/>
      <c r="E48" s="455"/>
      <c r="F48" s="425"/>
      <c r="G48" s="423"/>
      <c r="H48" s="424"/>
      <c r="I48" s="207"/>
      <c r="J48" s="192"/>
      <c r="K48" s="193">
        <v>1</v>
      </c>
      <c r="L48" s="194" t="s">
        <v>65</v>
      </c>
      <c r="M48" s="195">
        <f t="shared" si="14"/>
        <v>0</v>
      </c>
      <c r="N48" s="233"/>
      <c r="O48" s="195"/>
      <c r="P48" s="194" t="s">
        <v>65</v>
      </c>
      <c r="Q48" s="436"/>
      <c r="R48" s="195"/>
      <c r="S48" s="194" t="s">
        <v>65</v>
      </c>
      <c r="T48" s="198">
        <f t="shared" si="3"/>
        <v>0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55" customFormat="1" ht="69.95" customHeight="1" x14ac:dyDescent="0.15">
      <c r="A49" s="431" t="s">
        <v>146</v>
      </c>
      <c r="B49" s="191">
        <f t="shared" ref="B49:B51" si="15">$I$5</f>
        <v>574</v>
      </c>
      <c r="C49" s="422" t="str">
        <f t="shared" ref="C49:C51" si="16">$A$5</f>
        <v>BK</v>
      </c>
      <c r="D49" s="423"/>
      <c r="E49" s="424"/>
      <c r="F49" s="425"/>
      <c r="G49" s="426"/>
      <c r="H49" s="427"/>
      <c r="I49" s="433" t="s">
        <v>306</v>
      </c>
      <c r="J49" s="192"/>
      <c r="K49" s="209">
        <v>0.5</v>
      </c>
      <c r="L49" s="194" t="s">
        <v>129</v>
      </c>
      <c r="M49" s="195">
        <f t="shared" si="14"/>
        <v>287</v>
      </c>
      <c r="N49" s="196"/>
      <c r="O49" s="195"/>
      <c r="P49" s="197" t="s">
        <v>63</v>
      </c>
      <c r="Q49" s="435"/>
      <c r="R49" s="195"/>
      <c r="S49" s="197" t="s">
        <v>63</v>
      </c>
      <c r="T49" s="205">
        <f t="shared" si="3"/>
        <v>-287</v>
      </c>
      <c r="U49" s="199"/>
      <c r="V49" s="199"/>
      <c r="W49" s="208"/>
      <c r="X49" s="198"/>
      <c r="Y49" s="437" t="s">
        <v>130</v>
      </c>
      <c r="Z49" s="231"/>
      <c r="AA49" s="232"/>
      <c r="AB49" s="439"/>
    </row>
    <row r="50" spans="1:32" s="55" customFormat="1" ht="69.95" customHeight="1" x14ac:dyDescent="0.15">
      <c r="A50" s="432"/>
      <c r="B50" s="204">
        <f>$I$6</f>
        <v>0</v>
      </c>
      <c r="C50" s="422">
        <f>$A$6</f>
        <v>0</v>
      </c>
      <c r="D50" s="423"/>
      <c r="E50" s="424"/>
      <c r="F50" s="425"/>
      <c r="G50" s="426"/>
      <c r="H50" s="427"/>
      <c r="I50" s="434"/>
      <c r="J50" s="192"/>
      <c r="K50" s="304">
        <v>0.5</v>
      </c>
      <c r="L50" s="194" t="s">
        <v>129</v>
      </c>
      <c r="M50" s="195">
        <f t="shared" si="14"/>
        <v>0</v>
      </c>
      <c r="N50" s="233"/>
      <c r="O50" s="195"/>
      <c r="P50" s="197" t="s">
        <v>63</v>
      </c>
      <c r="Q50" s="561"/>
      <c r="R50" s="195"/>
      <c r="S50" s="197" t="s">
        <v>63</v>
      </c>
      <c r="T50" s="198">
        <f t="shared" si="3"/>
        <v>0</v>
      </c>
      <c r="U50" s="199"/>
      <c r="V50" s="200"/>
      <c r="W50" s="195"/>
      <c r="X50" s="195"/>
      <c r="Y50" s="438"/>
      <c r="Z50" s="201"/>
      <c r="AA50" s="202"/>
      <c r="AB50" s="558"/>
      <c r="AC50" s="142"/>
      <c r="AD50" s="179"/>
      <c r="AE50" s="179"/>
      <c r="AF50" s="179"/>
    </row>
    <row r="51" spans="1:32" s="55" customFormat="1" ht="69.95" customHeight="1" x14ac:dyDescent="0.15">
      <c r="A51" s="431" t="s">
        <v>141</v>
      </c>
      <c r="B51" s="191">
        <f t="shared" si="15"/>
        <v>574</v>
      </c>
      <c r="C51" s="422" t="str">
        <f t="shared" si="16"/>
        <v>BK</v>
      </c>
      <c r="D51" s="423"/>
      <c r="E51" s="424"/>
      <c r="F51" s="425"/>
      <c r="G51" s="426"/>
      <c r="H51" s="427"/>
      <c r="I51" s="433" t="s">
        <v>306</v>
      </c>
      <c r="J51" s="192"/>
      <c r="K51" s="209">
        <v>0.5</v>
      </c>
      <c r="L51" s="194" t="s">
        <v>129</v>
      </c>
      <c r="M51" s="195">
        <f t="shared" si="14"/>
        <v>287</v>
      </c>
      <c r="N51" s="196"/>
      <c r="O51" s="195"/>
      <c r="P51" s="197" t="s">
        <v>63</v>
      </c>
      <c r="Q51" s="561"/>
      <c r="R51" s="195"/>
      <c r="S51" s="197" t="s">
        <v>63</v>
      </c>
      <c r="T51" s="205">
        <f t="shared" si="3"/>
        <v>-287</v>
      </c>
      <c r="U51" s="199"/>
      <c r="V51" s="199"/>
      <c r="W51" s="208"/>
      <c r="X51" s="198"/>
      <c r="Y51" s="437" t="s">
        <v>130</v>
      </c>
      <c r="Z51" s="231"/>
      <c r="AA51" s="232"/>
      <c r="AB51" s="558"/>
    </row>
    <row r="52" spans="1:32" s="55" customFormat="1" ht="69.95" customHeight="1" x14ac:dyDescent="0.15">
      <c r="A52" s="432"/>
      <c r="B52" s="204">
        <f>$I$6</f>
        <v>0</v>
      </c>
      <c r="C52" s="422">
        <f>$A$6</f>
        <v>0</v>
      </c>
      <c r="D52" s="423"/>
      <c r="E52" s="424"/>
      <c r="F52" s="425"/>
      <c r="G52" s="426"/>
      <c r="H52" s="427"/>
      <c r="I52" s="434"/>
      <c r="J52" s="192"/>
      <c r="K52" s="304">
        <v>0.5</v>
      </c>
      <c r="L52" s="194" t="s">
        <v>129</v>
      </c>
      <c r="M52" s="195">
        <f t="shared" si="14"/>
        <v>0</v>
      </c>
      <c r="N52" s="233"/>
      <c r="O52" s="195"/>
      <c r="P52" s="197" t="s">
        <v>63</v>
      </c>
      <c r="Q52" s="436"/>
      <c r="R52" s="195"/>
      <c r="S52" s="197" t="s">
        <v>63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  <c r="AC52" s="142"/>
      <c r="AD52" s="179"/>
      <c r="AE52" s="179"/>
      <c r="AF52" s="179"/>
    </row>
    <row r="53" spans="1:32" s="55" customFormat="1" ht="69.95" customHeight="1" x14ac:dyDescent="0.15">
      <c r="A53" s="431" t="s">
        <v>134</v>
      </c>
      <c r="B53" s="191">
        <f t="shared" ref="B53" si="17">$I$5</f>
        <v>574</v>
      </c>
      <c r="C53" s="422" t="str">
        <f t="shared" ref="C53" si="18">$A$5</f>
        <v>BK</v>
      </c>
      <c r="D53" s="423"/>
      <c r="E53" s="424"/>
      <c r="F53" s="425"/>
      <c r="G53" s="426"/>
      <c r="H53" s="427"/>
      <c r="I53" s="207"/>
      <c r="J53" s="192"/>
      <c r="K53" s="193">
        <v>1</v>
      </c>
      <c r="L53" s="194" t="s">
        <v>65</v>
      </c>
      <c r="M53" s="195">
        <f t="shared" si="14"/>
        <v>574</v>
      </c>
      <c r="N53" s="196"/>
      <c r="O53" s="195"/>
      <c r="P53" s="197" t="s">
        <v>65</v>
      </c>
      <c r="Q53" s="435"/>
      <c r="R53" s="195"/>
      <c r="S53" s="197" t="s">
        <v>65</v>
      </c>
      <c r="T53" s="205">
        <f t="shared" si="3"/>
        <v>-574</v>
      </c>
      <c r="U53" s="199"/>
      <c r="V53" s="199"/>
      <c r="W53" s="208"/>
      <c r="X53" s="198"/>
      <c r="Y53" s="437" t="s">
        <v>135</v>
      </c>
      <c r="Z53" s="231"/>
      <c r="AA53" s="232"/>
      <c r="AB53" s="439"/>
    </row>
    <row r="54" spans="1:32" s="55" customFormat="1" ht="69.95" customHeight="1" x14ac:dyDescent="0.15">
      <c r="A54" s="432"/>
      <c r="B54" s="204">
        <f>$I$6</f>
        <v>0</v>
      </c>
      <c r="C54" s="422">
        <f>$A$6</f>
        <v>0</v>
      </c>
      <c r="D54" s="423"/>
      <c r="E54" s="424"/>
      <c r="F54" s="425"/>
      <c r="G54" s="426"/>
      <c r="H54" s="427"/>
      <c r="I54" s="207"/>
      <c r="J54" s="192"/>
      <c r="K54" s="193">
        <v>1</v>
      </c>
      <c r="L54" s="194" t="s">
        <v>65</v>
      </c>
      <c r="M54" s="195">
        <f t="shared" si="14"/>
        <v>0</v>
      </c>
      <c r="N54" s="233"/>
      <c r="O54" s="195"/>
      <c r="P54" s="197" t="s">
        <v>65</v>
      </c>
      <c r="Q54" s="436"/>
      <c r="R54" s="195"/>
      <c r="S54" s="197" t="s">
        <v>65</v>
      </c>
      <c r="T54" s="198">
        <f t="shared" si="3"/>
        <v>0</v>
      </c>
      <c r="U54" s="199"/>
      <c r="V54" s="200"/>
      <c r="W54" s="195"/>
      <c r="X54" s="195"/>
      <c r="Y54" s="438"/>
      <c r="Z54" s="201"/>
      <c r="AA54" s="202"/>
      <c r="AB54" s="440"/>
      <c r="AC54" s="142"/>
      <c r="AD54" s="179"/>
      <c r="AE54" s="179"/>
      <c r="AF54" s="179"/>
    </row>
    <row r="55" spans="1:32" s="206" customFormat="1" ht="69.95" customHeight="1" x14ac:dyDescent="0.15">
      <c r="A55" s="431" t="s">
        <v>308</v>
      </c>
      <c r="B55" s="182">
        <f t="shared" si="8"/>
        <v>574</v>
      </c>
      <c r="C55" s="368" t="str">
        <f t="shared" si="9"/>
        <v>BK</v>
      </c>
      <c r="D55" s="369"/>
      <c r="E55" s="370"/>
      <c r="F55" s="428"/>
      <c r="G55" s="429"/>
      <c r="H55" s="430"/>
      <c r="I55" s="75" t="s">
        <v>113</v>
      </c>
      <c r="J55" s="76"/>
      <c r="K55" s="139">
        <v>1</v>
      </c>
      <c r="L55" s="77" t="s">
        <v>63</v>
      </c>
      <c r="M55" s="78">
        <f t="shared" si="14"/>
        <v>574</v>
      </c>
      <c r="N55" s="79"/>
      <c r="O55" s="78"/>
      <c r="P55" s="80" t="s">
        <v>63</v>
      </c>
      <c r="Q55" s="443">
        <v>46101</v>
      </c>
      <c r="R55" s="78">
        <v>574</v>
      </c>
      <c r="S55" s="80" t="s">
        <v>63</v>
      </c>
      <c r="T55" s="84">
        <f t="shared" si="3"/>
        <v>0</v>
      </c>
      <c r="U55" s="82"/>
      <c r="V55" s="82"/>
      <c r="W55" s="83"/>
      <c r="X55" s="81"/>
      <c r="Y55" s="445" t="s">
        <v>64</v>
      </c>
      <c r="Z55" s="86"/>
      <c r="AA55" s="85"/>
      <c r="AB55" s="360" t="s">
        <v>319</v>
      </c>
    </row>
    <row r="56" spans="1:32" s="206" customFormat="1" ht="69.95" customHeight="1" x14ac:dyDescent="0.15">
      <c r="A56" s="432"/>
      <c r="B56" s="186">
        <f>$I$6</f>
        <v>0</v>
      </c>
      <c r="C56" s="368">
        <f>$A$6</f>
        <v>0</v>
      </c>
      <c r="D56" s="369"/>
      <c r="E56" s="370"/>
      <c r="F56" s="428"/>
      <c r="G56" s="429"/>
      <c r="H56" s="430"/>
      <c r="I56" s="75" t="s">
        <v>113</v>
      </c>
      <c r="J56" s="76"/>
      <c r="K56" s="139"/>
      <c r="L56" s="77" t="s">
        <v>63</v>
      </c>
      <c r="M56" s="78">
        <f t="shared" si="14"/>
        <v>0</v>
      </c>
      <c r="N56" s="140"/>
      <c r="O56" s="78"/>
      <c r="P56" s="80" t="s">
        <v>63</v>
      </c>
      <c r="Q56" s="444"/>
      <c r="R56" s="78"/>
      <c r="S56" s="80" t="s">
        <v>63</v>
      </c>
      <c r="T56" s="81">
        <f t="shared" si="3"/>
        <v>0</v>
      </c>
      <c r="U56" s="82"/>
      <c r="V56" s="137"/>
      <c r="W56" s="78"/>
      <c r="X56" s="78"/>
      <c r="Y56" s="446"/>
      <c r="Z56" s="141"/>
      <c r="AA56" s="135"/>
      <c r="AB56" s="362"/>
      <c r="AC56" s="234"/>
      <c r="AD56" s="230"/>
      <c r="AE56" s="230"/>
      <c r="AF56" s="230"/>
    </row>
    <row r="57" spans="1:32" s="206" customFormat="1" ht="69.95" customHeight="1" x14ac:dyDescent="0.15">
      <c r="A57" s="431" t="s">
        <v>90</v>
      </c>
      <c r="B57" s="191">
        <f t="shared" si="8"/>
        <v>574</v>
      </c>
      <c r="C57" s="422" t="str">
        <f t="shared" si="9"/>
        <v>BK</v>
      </c>
      <c r="D57" s="423"/>
      <c r="E57" s="424"/>
      <c r="F57" s="425"/>
      <c r="G57" s="426"/>
      <c r="H57" s="427"/>
      <c r="I57" s="207" t="s">
        <v>79</v>
      </c>
      <c r="J57" s="192"/>
      <c r="K57" s="193">
        <v>1</v>
      </c>
      <c r="L57" s="194" t="s">
        <v>63</v>
      </c>
      <c r="M57" s="195">
        <f t="shared" si="14"/>
        <v>574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si="3"/>
        <v>-574</v>
      </c>
      <c r="U57" s="199"/>
      <c r="V57" s="199"/>
      <c r="W57" s="208"/>
      <c r="X57" s="198"/>
      <c r="Y57" s="437" t="s">
        <v>64</v>
      </c>
      <c r="Z57" s="231"/>
      <c r="AA57" s="232"/>
      <c r="AB57" s="439"/>
    </row>
    <row r="58" spans="1:32" s="206" customFormat="1" ht="69.95" customHeight="1" x14ac:dyDescent="0.15">
      <c r="A58" s="432"/>
      <c r="B58" s="204">
        <f>$I$6</f>
        <v>0</v>
      </c>
      <c r="C58" s="422">
        <f>$A$6</f>
        <v>0</v>
      </c>
      <c r="D58" s="423"/>
      <c r="E58" s="424"/>
      <c r="F58" s="425"/>
      <c r="G58" s="426"/>
      <c r="H58" s="427"/>
      <c r="I58" s="207" t="s">
        <v>79</v>
      </c>
      <c r="J58" s="192"/>
      <c r="K58" s="193">
        <v>1</v>
      </c>
      <c r="L58" s="194" t="s">
        <v>63</v>
      </c>
      <c r="M58" s="195">
        <f t="shared" si="14"/>
        <v>0</v>
      </c>
      <c r="N58" s="233"/>
      <c r="O58" s="195"/>
      <c r="P58" s="197" t="s">
        <v>63</v>
      </c>
      <c r="Q58" s="436"/>
      <c r="R58" s="195"/>
      <c r="S58" s="197" t="s">
        <v>63</v>
      </c>
      <c r="T58" s="198">
        <f t="shared" si="3"/>
        <v>0</v>
      </c>
      <c r="U58" s="199"/>
      <c r="V58" s="200"/>
      <c r="W58" s="195"/>
      <c r="X58" s="195"/>
      <c r="Y58" s="438"/>
      <c r="Z58" s="201"/>
      <c r="AA58" s="202"/>
      <c r="AB58" s="440"/>
      <c r="AC58" s="234"/>
      <c r="AD58" s="230"/>
      <c r="AE58" s="230"/>
      <c r="AF58" s="230"/>
    </row>
    <row r="59" spans="1:32" s="55" customFormat="1" ht="69.95" customHeight="1" x14ac:dyDescent="0.15">
      <c r="A59" s="431" t="s">
        <v>91</v>
      </c>
      <c r="B59" s="191">
        <f t="shared" si="8"/>
        <v>574</v>
      </c>
      <c r="C59" s="422" t="str">
        <f t="shared" si="9"/>
        <v>BK</v>
      </c>
      <c r="D59" s="423"/>
      <c r="E59" s="424"/>
      <c r="F59" s="425"/>
      <c r="G59" s="426"/>
      <c r="H59" s="427"/>
      <c r="I59" s="207" t="s">
        <v>75</v>
      </c>
      <c r="J59" s="192"/>
      <c r="K59" s="193">
        <v>1</v>
      </c>
      <c r="L59" s="194" t="s">
        <v>63</v>
      </c>
      <c r="M59" s="195">
        <f t="shared" si="14"/>
        <v>574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-574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55" customFormat="1" ht="69.95" customHeight="1" x14ac:dyDescent="0.15">
      <c r="A60" s="432"/>
      <c r="B60" s="204">
        <f>$I$6</f>
        <v>0</v>
      </c>
      <c r="C60" s="422">
        <f>$A$6</f>
        <v>0</v>
      </c>
      <c r="D60" s="423"/>
      <c r="E60" s="424"/>
      <c r="F60" s="425"/>
      <c r="G60" s="426"/>
      <c r="H60" s="427"/>
      <c r="I60" s="207" t="s">
        <v>75</v>
      </c>
      <c r="J60" s="192"/>
      <c r="K60" s="193">
        <v>1</v>
      </c>
      <c r="L60" s="194" t="s">
        <v>63</v>
      </c>
      <c r="M60" s="195">
        <f t="shared" si="14"/>
        <v>0</v>
      </c>
      <c r="N60" s="233"/>
      <c r="O60" s="195"/>
      <c r="P60" s="197" t="s">
        <v>63</v>
      </c>
      <c r="Q60" s="436"/>
      <c r="R60" s="195"/>
      <c r="S60" s="197" t="s">
        <v>63</v>
      </c>
      <c r="T60" s="198">
        <f t="shared" si="3"/>
        <v>0</v>
      </c>
      <c r="U60" s="199"/>
      <c r="V60" s="200"/>
      <c r="W60" s="195"/>
      <c r="X60" s="195"/>
      <c r="Y60" s="438"/>
      <c r="Z60" s="201"/>
      <c r="AA60" s="202"/>
      <c r="AB60" s="440"/>
      <c r="AC60" s="142"/>
      <c r="AD60" s="179"/>
      <c r="AE60" s="179"/>
      <c r="AF60" s="179"/>
    </row>
    <row r="61" spans="1:32" s="206" customFormat="1" ht="69.95" customHeight="1" x14ac:dyDescent="0.15">
      <c r="A61" s="431" t="s">
        <v>119</v>
      </c>
      <c r="B61" s="191">
        <f t="shared" ref="B61:B63" si="19">$I$5</f>
        <v>574</v>
      </c>
      <c r="C61" s="422" t="str">
        <f t="shared" ref="C61:C63" si="20">$A$5</f>
        <v>BK</v>
      </c>
      <c r="D61" s="423"/>
      <c r="E61" s="424"/>
      <c r="F61" s="425"/>
      <c r="G61" s="426"/>
      <c r="H61" s="427"/>
      <c r="I61" s="433" t="s">
        <v>121</v>
      </c>
      <c r="J61" s="192"/>
      <c r="K61" s="193">
        <v>2</v>
      </c>
      <c r="L61" s="194" t="s">
        <v>63</v>
      </c>
      <c r="M61" s="195">
        <f t="shared" si="4"/>
        <v>1148</v>
      </c>
      <c r="N61" s="196"/>
      <c r="O61" s="195"/>
      <c r="P61" s="197" t="s">
        <v>63</v>
      </c>
      <c r="Q61" s="435"/>
      <c r="R61" s="195"/>
      <c r="S61" s="197" t="s">
        <v>63</v>
      </c>
      <c r="T61" s="205">
        <f t="shared" si="3"/>
        <v>-1148</v>
      </c>
      <c r="U61" s="199"/>
      <c r="V61" s="199"/>
      <c r="W61" s="208"/>
      <c r="X61" s="198"/>
      <c r="Y61" s="437" t="s">
        <v>64</v>
      </c>
      <c r="Z61" s="231"/>
      <c r="AA61" s="232"/>
      <c r="AB61" s="439"/>
    </row>
    <row r="62" spans="1:32" s="206" customFormat="1" ht="69.95" customHeight="1" x14ac:dyDescent="0.15">
      <c r="A62" s="432"/>
      <c r="B62" s="204">
        <f>$I$6</f>
        <v>0</v>
      </c>
      <c r="C62" s="422">
        <f>$A$6</f>
        <v>0</v>
      </c>
      <c r="D62" s="423"/>
      <c r="E62" s="424"/>
      <c r="F62" s="425"/>
      <c r="G62" s="426"/>
      <c r="H62" s="427"/>
      <c r="I62" s="434"/>
      <c r="J62" s="192"/>
      <c r="K62" s="193">
        <v>2</v>
      </c>
      <c r="L62" s="194" t="s">
        <v>63</v>
      </c>
      <c r="M62" s="195">
        <f t="shared" si="4"/>
        <v>0</v>
      </c>
      <c r="N62" s="233"/>
      <c r="O62" s="195"/>
      <c r="P62" s="197" t="s">
        <v>63</v>
      </c>
      <c r="Q62" s="436"/>
      <c r="R62" s="195"/>
      <c r="S62" s="197" t="s">
        <v>63</v>
      </c>
      <c r="T62" s="198">
        <f t="shared" si="3"/>
        <v>0</v>
      </c>
      <c r="U62" s="199"/>
      <c r="V62" s="200"/>
      <c r="W62" s="195"/>
      <c r="X62" s="195"/>
      <c r="Y62" s="438"/>
      <c r="Z62" s="201"/>
      <c r="AA62" s="202"/>
      <c r="AB62" s="440"/>
      <c r="AC62" s="234"/>
      <c r="AD62" s="230"/>
      <c r="AE62" s="230"/>
      <c r="AF62" s="230"/>
    </row>
    <row r="63" spans="1:32" s="206" customFormat="1" ht="69.95" customHeight="1" x14ac:dyDescent="0.15">
      <c r="A63" s="431" t="s">
        <v>120</v>
      </c>
      <c r="B63" s="191">
        <f t="shared" si="19"/>
        <v>574</v>
      </c>
      <c r="C63" s="422" t="str">
        <f t="shared" si="20"/>
        <v>BK</v>
      </c>
      <c r="D63" s="423"/>
      <c r="E63" s="424"/>
      <c r="F63" s="425"/>
      <c r="G63" s="426"/>
      <c r="H63" s="427"/>
      <c r="I63" s="433" t="s">
        <v>75</v>
      </c>
      <c r="J63" s="192"/>
      <c r="K63" s="193">
        <v>2</v>
      </c>
      <c r="L63" s="194" t="s">
        <v>63</v>
      </c>
      <c r="M63" s="195">
        <f t="shared" si="4"/>
        <v>1148</v>
      </c>
      <c r="N63" s="196"/>
      <c r="O63" s="195"/>
      <c r="P63" s="197" t="s">
        <v>63</v>
      </c>
      <c r="Q63" s="435"/>
      <c r="R63" s="195"/>
      <c r="S63" s="197" t="s">
        <v>63</v>
      </c>
      <c r="T63" s="205">
        <f t="shared" si="3"/>
        <v>-1148</v>
      </c>
      <c r="U63" s="199"/>
      <c r="V63" s="199"/>
      <c r="W63" s="208"/>
      <c r="X63" s="198"/>
      <c r="Y63" s="437" t="s">
        <v>64</v>
      </c>
      <c r="Z63" s="231"/>
      <c r="AA63" s="232"/>
      <c r="AB63" s="439"/>
    </row>
    <row r="64" spans="1:32" s="206" customFormat="1" ht="69.95" customHeight="1" x14ac:dyDescent="0.15">
      <c r="A64" s="432"/>
      <c r="B64" s="204">
        <f>$I$6</f>
        <v>0</v>
      </c>
      <c r="C64" s="422">
        <f>$A$6</f>
        <v>0</v>
      </c>
      <c r="D64" s="423"/>
      <c r="E64" s="424"/>
      <c r="F64" s="425"/>
      <c r="G64" s="426"/>
      <c r="H64" s="427"/>
      <c r="I64" s="434"/>
      <c r="J64" s="192"/>
      <c r="K64" s="193">
        <v>2</v>
      </c>
      <c r="L64" s="194" t="s">
        <v>63</v>
      </c>
      <c r="M64" s="195">
        <f t="shared" si="4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234"/>
      <c r="AD64" s="230"/>
      <c r="AE64" s="230"/>
      <c r="AF64" s="230"/>
    </row>
    <row r="65" spans="1:28" s="176" customFormat="1" ht="54.95" customHeight="1" x14ac:dyDescent="0.15">
      <c r="A65" s="386" t="s">
        <v>66</v>
      </c>
      <c r="B65" s="164">
        <f>C11</f>
        <v>250</v>
      </c>
      <c r="C65" s="407" t="e">
        <f>#REF!</f>
        <v>#REF!</v>
      </c>
      <c r="D65" s="408"/>
      <c r="E65" s="409"/>
      <c r="F65" s="371"/>
      <c r="G65" s="372"/>
      <c r="H65" s="373"/>
      <c r="I65" s="276"/>
      <c r="J65" s="255"/>
      <c r="K65" s="263">
        <v>1</v>
      </c>
      <c r="L65" s="168" t="s">
        <v>63</v>
      </c>
      <c r="M65" s="169">
        <f t="shared" si="4"/>
        <v>250</v>
      </c>
      <c r="N65" s="171"/>
      <c r="O65" s="277"/>
      <c r="P65" s="169" t="s">
        <v>63</v>
      </c>
      <c r="Q65" s="376">
        <v>46101</v>
      </c>
      <c r="R65" s="277">
        <v>250</v>
      </c>
      <c r="S65" s="169" t="s">
        <v>63</v>
      </c>
      <c r="T65" s="278">
        <f t="shared" si="3"/>
        <v>0</v>
      </c>
      <c r="U65" s="279"/>
      <c r="V65" s="280"/>
      <c r="W65" s="278"/>
      <c r="X65" s="278"/>
      <c r="Y65" s="374" t="s">
        <v>72</v>
      </c>
      <c r="Z65" s="374"/>
      <c r="AA65" s="374"/>
      <c r="AB65" s="404" t="s">
        <v>319</v>
      </c>
    </row>
    <row r="66" spans="1:28" s="176" customFormat="1" ht="54.95" customHeight="1" x14ac:dyDescent="0.15">
      <c r="A66" s="387"/>
      <c r="B66" s="164">
        <f>D11</f>
        <v>260</v>
      </c>
      <c r="C66" s="410"/>
      <c r="D66" s="411"/>
      <c r="E66" s="412"/>
      <c r="F66" s="371"/>
      <c r="G66" s="372"/>
      <c r="H66" s="373"/>
      <c r="I66" s="276"/>
      <c r="J66" s="255"/>
      <c r="K66" s="167">
        <v>1</v>
      </c>
      <c r="L66" s="168" t="s">
        <v>63</v>
      </c>
      <c r="M66" s="169">
        <f t="shared" si="4"/>
        <v>260</v>
      </c>
      <c r="N66" s="171"/>
      <c r="O66" s="277"/>
      <c r="P66" s="169" t="s">
        <v>63</v>
      </c>
      <c r="Q66" s="377"/>
      <c r="R66" s="277">
        <v>260</v>
      </c>
      <c r="S66" s="169" t="s">
        <v>63</v>
      </c>
      <c r="T66" s="278">
        <f t="shared" si="3"/>
        <v>0</v>
      </c>
      <c r="U66" s="279"/>
      <c r="V66" s="280"/>
      <c r="W66" s="278"/>
      <c r="X66" s="278"/>
      <c r="Y66" s="375"/>
      <c r="Z66" s="375"/>
      <c r="AA66" s="375"/>
      <c r="AB66" s="405"/>
    </row>
    <row r="67" spans="1:28" s="176" customFormat="1" ht="54.95" customHeight="1" x14ac:dyDescent="0.15">
      <c r="A67" s="387"/>
      <c r="B67" s="164">
        <f>E11</f>
        <v>64</v>
      </c>
      <c r="C67" s="410"/>
      <c r="D67" s="411"/>
      <c r="E67" s="412"/>
      <c r="F67" s="371"/>
      <c r="G67" s="372"/>
      <c r="H67" s="373"/>
      <c r="I67" s="276"/>
      <c r="J67" s="255"/>
      <c r="K67" s="167">
        <v>1</v>
      </c>
      <c r="L67" s="168" t="s">
        <v>63</v>
      </c>
      <c r="M67" s="169">
        <f t="shared" si="4"/>
        <v>64</v>
      </c>
      <c r="N67" s="171"/>
      <c r="O67" s="277"/>
      <c r="P67" s="169" t="s">
        <v>63</v>
      </c>
      <c r="Q67" s="377"/>
      <c r="R67" s="277">
        <v>64</v>
      </c>
      <c r="S67" s="169" t="s">
        <v>63</v>
      </c>
      <c r="T67" s="278">
        <f t="shared" si="3"/>
        <v>0</v>
      </c>
      <c r="U67" s="279"/>
      <c r="V67" s="280"/>
      <c r="W67" s="278"/>
      <c r="X67" s="278"/>
      <c r="Y67" s="375"/>
      <c r="Z67" s="375"/>
      <c r="AA67" s="375"/>
      <c r="AB67" s="405"/>
    </row>
    <row r="68" spans="1:28" s="176" customFormat="1" ht="54.95" customHeight="1" x14ac:dyDescent="0.15">
      <c r="A68" s="387"/>
      <c r="B68" s="164">
        <f>F11</f>
        <v>0</v>
      </c>
      <c r="C68" s="410"/>
      <c r="D68" s="411"/>
      <c r="E68" s="412"/>
      <c r="F68" s="371"/>
      <c r="G68" s="372"/>
      <c r="H68" s="373"/>
      <c r="I68" s="276"/>
      <c r="J68" s="255"/>
      <c r="K68" s="167">
        <v>1</v>
      </c>
      <c r="L68" s="168" t="s">
        <v>63</v>
      </c>
      <c r="M68" s="169">
        <f t="shared" si="4"/>
        <v>0</v>
      </c>
      <c r="N68" s="171"/>
      <c r="O68" s="277"/>
      <c r="P68" s="169" t="s">
        <v>63</v>
      </c>
      <c r="Q68" s="377"/>
      <c r="R68" s="277"/>
      <c r="S68" s="169" t="s">
        <v>63</v>
      </c>
      <c r="T68" s="278">
        <f t="shared" si="3"/>
        <v>0</v>
      </c>
      <c r="U68" s="279"/>
      <c r="V68" s="280"/>
      <c r="W68" s="278"/>
      <c r="X68" s="278"/>
      <c r="Y68" s="375"/>
      <c r="Z68" s="375"/>
      <c r="AA68" s="375"/>
      <c r="AB68" s="405"/>
    </row>
    <row r="69" spans="1:28" s="176" customFormat="1" ht="54.95" customHeight="1" x14ac:dyDescent="0.15">
      <c r="A69" s="388"/>
      <c r="B69" s="164">
        <f>G11</f>
        <v>0</v>
      </c>
      <c r="C69" s="413"/>
      <c r="D69" s="414"/>
      <c r="E69" s="415"/>
      <c r="F69" s="371"/>
      <c r="G69" s="372"/>
      <c r="H69" s="373"/>
      <c r="I69" s="276"/>
      <c r="J69" s="255"/>
      <c r="K69" s="167">
        <v>1</v>
      </c>
      <c r="L69" s="168" t="s">
        <v>63</v>
      </c>
      <c r="M69" s="169">
        <f t="shared" si="4"/>
        <v>0</v>
      </c>
      <c r="N69" s="171"/>
      <c r="O69" s="277"/>
      <c r="P69" s="169" t="s">
        <v>63</v>
      </c>
      <c r="Q69" s="378"/>
      <c r="R69" s="277"/>
      <c r="S69" s="169" t="s">
        <v>63</v>
      </c>
      <c r="T69" s="278">
        <f t="shared" si="3"/>
        <v>0</v>
      </c>
      <c r="U69" s="279"/>
      <c r="V69" s="280"/>
      <c r="W69" s="278"/>
      <c r="X69" s="278"/>
      <c r="Y69" s="379"/>
      <c r="Z69" s="379"/>
      <c r="AA69" s="379"/>
      <c r="AB69" s="406"/>
    </row>
    <row r="70" spans="1:28" s="176" customFormat="1" ht="54.95" customHeight="1" x14ac:dyDescent="0.15">
      <c r="A70" s="386" t="s">
        <v>68</v>
      </c>
      <c r="B70" s="164">
        <f>C5+C8</f>
        <v>250</v>
      </c>
      <c r="C70" s="407" t="str">
        <f>A5</f>
        <v>BK</v>
      </c>
      <c r="D70" s="408"/>
      <c r="E70" s="409"/>
      <c r="F70" s="371"/>
      <c r="G70" s="372"/>
      <c r="H70" s="373"/>
      <c r="I70" s="276"/>
      <c r="J70" s="276"/>
      <c r="K70" s="167">
        <v>1</v>
      </c>
      <c r="L70" s="168" t="s">
        <v>63</v>
      </c>
      <c r="M70" s="169">
        <f t="shared" si="4"/>
        <v>250</v>
      </c>
      <c r="N70" s="171"/>
      <c r="O70" s="277"/>
      <c r="P70" s="169" t="s">
        <v>63</v>
      </c>
      <c r="Q70" s="376">
        <v>46101</v>
      </c>
      <c r="R70" s="277">
        <v>250</v>
      </c>
      <c r="S70" s="169" t="s">
        <v>63</v>
      </c>
      <c r="T70" s="278">
        <f t="shared" si="3"/>
        <v>0</v>
      </c>
      <c r="U70" s="281"/>
      <c r="V70" s="282"/>
      <c r="W70" s="278"/>
      <c r="X70" s="278"/>
      <c r="Y70" s="374" t="s">
        <v>72</v>
      </c>
      <c r="Z70" s="374"/>
      <c r="AA70" s="374"/>
      <c r="AB70" s="404" t="s">
        <v>319</v>
      </c>
    </row>
    <row r="71" spans="1:28" s="176" customFormat="1" ht="54.95" customHeight="1" x14ac:dyDescent="0.15">
      <c r="A71" s="387"/>
      <c r="B71" s="164">
        <f>D5+D8</f>
        <v>260</v>
      </c>
      <c r="C71" s="410"/>
      <c r="D71" s="411"/>
      <c r="E71" s="412"/>
      <c r="F71" s="371"/>
      <c r="G71" s="372"/>
      <c r="H71" s="373"/>
      <c r="I71" s="276"/>
      <c r="J71" s="276"/>
      <c r="K71" s="167">
        <v>1</v>
      </c>
      <c r="L71" s="168" t="s">
        <v>63</v>
      </c>
      <c r="M71" s="169">
        <f t="shared" si="4"/>
        <v>260</v>
      </c>
      <c r="N71" s="171"/>
      <c r="O71" s="277"/>
      <c r="P71" s="169" t="s">
        <v>63</v>
      </c>
      <c r="Q71" s="377"/>
      <c r="R71" s="277">
        <v>260</v>
      </c>
      <c r="S71" s="169" t="s">
        <v>63</v>
      </c>
      <c r="T71" s="278">
        <f t="shared" si="3"/>
        <v>0</v>
      </c>
      <c r="U71" s="281"/>
      <c r="V71" s="282"/>
      <c r="W71" s="278"/>
      <c r="X71" s="278"/>
      <c r="Y71" s="375"/>
      <c r="Z71" s="375"/>
      <c r="AA71" s="375"/>
      <c r="AB71" s="405"/>
    </row>
    <row r="72" spans="1:28" s="176" customFormat="1" ht="54.95" customHeight="1" x14ac:dyDescent="0.15">
      <c r="A72" s="387"/>
      <c r="B72" s="164">
        <f>E5+E8</f>
        <v>64</v>
      </c>
      <c r="C72" s="410"/>
      <c r="D72" s="411"/>
      <c r="E72" s="412"/>
      <c r="F72" s="371"/>
      <c r="G72" s="372"/>
      <c r="H72" s="373"/>
      <c r="I72" s="276"/>
      <c r="J72" s="276"/>
      <c r="K72" s="167">
        <v>1</v>
      </c>
      <c r="L72" s="168" t="s">
        <v>63</v>
      </c>
      <c r="M72" s="169">
        <f t="shared" si="4"/>
        <v>64</v>
      </c>
      <c r="N72" s="171"/>
      <c r="O72" s="277"/>
      <c r="P72" s="169" t="s">
        <v>63</v>
      </c>
      <c r="Q72" s="377"/>
      <c r="R72" s="277">
        <v>64</v>
      </c>
      <c r="S72" s="169" t="s">
        <v>63</v>
      </c>
      <c r="T72" s="278">
        <f t="shared" si="3"/>
        <v>0</v>
      </c>
      <c r="U72" s="281"/>
      <c r="V72" s="282"/>
      <c r="W72" s="278"/>
      <c r="X72" s="278"/>
      <c r="Y72" s="375"/>
      <c r="Z72" s="375"/>
      <c r="AA72" s="375"/>
      <c r="AB72" s="405"/>
    </row>
    <row r="73" spans="1:28" s="176" customFormat="1" ht="54.95" customHeight="1" x14ac:dyDescent="0.15">
      <c r="A73" s="387"/>
      <c r="B73" s="164">
        <f>F5+F8</f>
        <v>0</v>
      </c>
      <c r="C73" s="410"/>
      <c r="D73" s="411"/>
      <c r="E73" s="412"/>
      <c r="F73" s="371"/>
      <c r="G73" s="372"/>
      <c r="H73" s="373"/>
      <c r="I73" s="276"/>
      <c r="J73" s="276"/>
      <c r="K73" s="167">
        <v>1</v>
      </c>
      <c r="L73" s="168" t="s">
        <v>63</v>
      </c>
      <c r="M73" s="169">
        <f t="shared" si="4"/>
        <v>0</v>
      </c>
      <c r="N73" s="171"/>
      <c r="O73" s="277"/>
      <c r="P73" s="169" t="s">
        <v>63</v>
      </c>
      <c r="Q73" s="377"/>
      <c r="R73" s="168"/>
      <c r="S73" s="169" t="s">
        <v>63</v>
      </c>
      <c r="T73" s="278">
        <f t="shared" si="3"/>
        <v>0</v>
      </c>
      <c r="U73" s="281"/>
      <c r="V73" s="282"/>
      <c r="W73" s="278"/>
      <c r="X73" s="278"/>
      <c r="Y73" s="375"/>
      <c r="Z73" s="375"/>
      <c r="AA73" s="375"/>
      <c r="AB73" s="405"/>
    </row>
    <row r="74" spans="1:28" s="176" customFormat="1" ht="54.95" customHeight="1" x14ac:dyDescent="0.15">
      <c r="A74" s="387"/>
      <c r="B74" s="164">
        <f>G5+G8</f>
        <v>0</v>
      </c>
      <c r="C74" s="413"/>
      <c r="D74" s="414"/>
      <c r="E74" s="415"/>
      <c r="F74" s="371"/>
      <c r="G74" s="372"/>
      <c r="H74" s="373"/>
      <c r="I74" s="276"/>
      <c r="J74" s="276"/>
      <c r="K74" s="167">
        <v>1</v>
      </c>
      <c r="L74" s="168" t="s">
        <v>63</v>
      </c>
      <c r="M74" s="169">
        <f t="shared" si="4"/>
        <v>0</v>
      </c>
      <c r="N74" s="171"/>
      <c r="O74" s="277"/>
      <c r="P74" s="169" t="s">
        <v>63</v>
      </c>
      <c r="Q74" s="377"/>
      <c r="R74" s="168"/>
      <c r="S74" s="169" t="s">
        <v>63</v>
      </c>
      <c r="T74" s="278">
        <f t="shared" si="3"/>
        <v>0</v>
      </c>
      <c r="U74" s="281"/>
      <c r="V74" s="282"/>
      <c r="W74" s="278"/>
      <c r="X74" s="278"/>
      <c r="Y74" s="375"/>
      <c r="Z74" s="375"/>
      <c r="AA74" s="375"/>
      <c r="AB74" s="405"/>
    </row>
    <row r="75" spans="1:28" s="176" customFormat="1" ht="54.95" customHeight="1" x14ac:dyDescent="0.15">
      <c r="A75" s="387"/>
      <c r="B75" s="164">
        <f>C6</f>
        <v>0</v>
      </c>
      <c r="C75" s="407">
        <f>A6</f>
        <v>0</v>
      </c>
      <c r="D75" s="408"/>
      <c r="E75" s="409"/>
      <c r="F75" s="371"/>
      <c r="G75" s="372"/>
      <c r="H75" s="373"/>
      <c r="I75" s="276"/>
      <c r="J75" s="276"/>
      <c r="K75" s="167">
        <v>1</v>
      </c>
      <c r="L75" s="168" t="s">
        <v>63</v>
      </c>
      <c r="M75" s="169">
        <f t="shared" si="4"/>
        <v>0</v>
      </c>
      <c r="N75" s="171"/>
      <c r="O75" s="277"/>
      <c r="P75" s="169" t="s">
        <v>63</v>
      </c>
      <c r="Q75" s="377"/>
      <c r="R75" s="277"/>
      <c r="S75" s="169" t="s">
        <v>63</v>
      </c>
      <c r="T75" s="278">
        <f>R75-M75</f>
        <v>0</v>
      </c>
      <c r="U75" s="281"/>
      <c r="V75" s="282"/>
      <c r="W75" s="278"/>
      <c r="X75" s="278"/>
      <c r="Y75" s="374" t="s">
        <v>72</v>
      </c>
      <c r="Z75" s="374"/>
      <c r="AA75" s="374"/>
      <c r="AB75" s="405"/>
    </row>
    <row r="76" spans="1:28" s="176" customFormat="1" ht="54.95" customHeight="1" x14ac:dyDescent="0.15">
      <c r="A76" s="387"/>
      <c r="B76" s="164">
        <f>D6</f>
        <v>0</v>
      </c>
      <c r="C76" s="410"/>
      <c r="D76" s="411"/>
      <c r="E76" s="412"/>
      <c r="F76" s="371"/>
      <c r="G76" s="372"/>
      <c r="H76" s="373"/>
      <c r="I76" s="276"/>
      <c r="J76" s="276"/>
      <c r="K76" s="167">
        <v>1</v>
      </c>
      <c r="L76" s="168" t="s">
        <v>63</v>
      </c>
      <c r="M76" s="169">
        <f t="shared" si="4"/>
        <v>0</v>
      </c>
      <c r="N76" s="171"/>
      <c r="O76" s="277"/>
      <c r="P76" s="169" t="s">
        <v>63</v>
      </c>
      <c r="Q76" s="377"/>
      <c r="R76" s="277"/>
      <c r="S76" s="169" t="s">
        <v>63</v>
      </c>
      <c r="T76" s="278">
        <f>R76-M76</f>
        <v>0</v>
      </c>
      <c r="U76" s="281"/>
      <c r="V76" s="282"/>
      <c r="W76" s="278"/>
      <c r="X76" s="278"/>
      <c r="Y76" s="375"/>
      <c r="Z76" s="375"/>
      <c r="AA76" s="375"/>
      <c r="AB76" s="405"/>
    </row>
    <row r="77" spans="1:28" s="176" customFormat="1" ht="54.95" customHeight="1" x14ac:dyDescent="0.15">
      <c r="A77" s="387"/>
      <c r="B77" s="164">
        <f>E6</f>
        <v>0</v>
      </c>
      <c r="C77" s="410"/>
      <c r="D77" s="411"/>
      <c r="E77" s="412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0</v>
      </c>
      <c r="N77" s="171"/>
      <c r="O77" s="277"/>
      <c r="P77" s="169" t="s">
        <v>63</v>
      </c>
      <c r="Q77" s="377"/>
      <c r="R77" s="277"/>
      <c r="S77" s="169" t="s">
        <v>63</v>
      </c>
      <c r="T77" s="278">
        <f>R77-M77</f>
        <v>0</v>
      </c>
      <c r="U77" s="281"/>
      <c r="V77" s="282"/>
      <c r="W77" s="278"/>
      <c r="X77" s="278"/>
      <c r="Y77" s="375"/>
      <c r="Z77" s="375"/>
      <c r="AA77" s="375"/>
      <c r="AB77" s="405"/>
    </row>
    <row r="78" spans="1:28" s="176" customFormat="1" ht="54.95" customHeight="1" x14ac:dyDescent="0.15">
      <c r="A78" s="387"/>
      <c r="B78" s="164"/>
      <c r="C78" s="410"/>
      <c r="D78" s="411"/>
      <c r="E78" s="412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0</v>
      </c>
      <c r="N78" s="171"/>
      <c r="O78" s="277"/>
      <c r="P78" s="169" t="s">
        <v>63</v>
      </c>
      <c r="Q78" s="377"/>
      <c r="R78" s="168"/>
      <c r="S78" s="169" t="s">
        <v>63</v>
      </c>
      <c r="T78" s="278">
        <f>R78-M78</f>
        <v>0</v>
      </c>
      <c r="U78" s="281"/>
      <c r="V78" s="282"/>
      <c r="W78" s="278"/>
      <c r="X78" s="278"/>
      <c r="Y78" s="375"/>
      <c r="Z78" s="375"/>
      <c r="AA78" s="375"/>
      <c r="AB78" s="405"/>
    </row>
    <row r="79" spans="1:28" s="176" customFormat="1" ht="54.95" customHeight="1" x14ac:dyDescent="0.15">
      <c r="A79" s="388"/>
      <c r="B79" s="164">
        <f>G10+G13</f>
        <v>0</v>
      </c>
      <c r="C79" s="413"/>
      <c r="D79" s="414"/>
      <c r="E79" s="415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0</v>
      </c>
      <c r="N79" s="171"/>
      <c r="O79" s="277"/>
      <c r="P79" s="169" t="s">
        <v>63</v>
      </c>
      <c r="Q79" s="378"/>
      <c r="R79" s="168"/>
      <c r="S79" s="169" t="s">
        <v>63</v>
      </c>
      <c r="T79" s="278">
        <f>R79-M79</f>
        <v>0</v>
      </c>
      <c r="U79" s="281"/>
      <c r="V79" s="282"/>
      <c r="W79" s="278"/>
      <c r="X79" s="278"/>
      <c r="Y79" s="375"/>
      <c r="Z79" s="375"/>
      <c r="AA79" s="375"/>
      <c r="AB79" s="406"/>
    </row>
    <row r="80" spans="1:28" s="176" customFormat="1" ht="54.95" customHeight="1" x14ac:dyDescent="0.15">
      <c r="A80" s="386" t="s">
        <v>69</v>
      </c>
      <c r="B80" s="164">
        <f>C5</f>
        <v>250</v>
      </c>
      <c r="C80" s="407" t="str">
        <f>A5</f>
        <v>BK</v>
      </c>
      <c r="D80" s="408"/>
      <c r="E80" s="409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250</v>
      </c>
      <c r="N80" s="171"/>
      <c r="O80" s="277"/>
      <c r="P80" s="169" t="s">
        <v>63</v>
      </c>
      <c r="Q80" s="376">
        <v>46154</v>
      </c>
      <c r="R80" s="277">
        <v>250</v>
      </c>
      <c r="S80" s="169" t="s">
        <v>63</v>
      </c>
      <c r="T80" s="278">
        <f t="shared" si="3"/>
        <v>0</v>
      </c>
      <c r="U80" s="281"/>
      <c r="V80" s="282"/>
      <c r="W80" s="278"/>
      <c r="X80" s="278"/>
      <c r="Y80" s="374" t="s">
        <v>67</v>
      </c>
      <c r="Z80" s="374"/>
      <c r="AA80" s="374"/>
      <c r="AB80" s="404" t="s">
        <v>333</v>
      </c>
    </row>
    <row r="81" spans="1:28" s="176" customFormat="1" ht="54.95" customHeight="1" x14ac:dyDescent="0.15">
      <c r="A81" s="387"/>
      <c r="B81" s="164">
        <f>D5</f>
        <v>260</v>
      </c>
      <c r="C81" s="410"/>
      <c r="D81" s="411"/>
      <c r="E81" s="412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260</v>
      </c>
      <c r="N81" s="171"/>
      <c r="O81" s="277"/>
      <c r="P81" s="169" t="s">
        <v>63</v>
      </c>
      <c r="Q81" s="377"/>
      <c r="R81" s="277">
        <v>260</v>
      </c>
      <c r="S81" s="169" t="s">
        <v>63</v>
      </c>
      <c r="T81" s="278">
        <f t="shared" si="3"/>
        <v>0</v>
      </c>
      <c r="U81" s="281"/>
      <c r="V81" s="282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387"/>
      <c r="B82" s="164">
        <f>E5</f>
        <v>64</v>
      </c>
      <c r="C82" s="410"/>
      <c r="D82" s="411"/>
      <c r="E82" s="412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64</v>
      </c>
      <c r="N82" s="171"/>
      <c r="O82" s="277"/>
      <c r="P82" s="169" t="s">
        <v>63</v>
      </c>
      <c r="Q82" s="377"/>
      <c r="R82" s="277">
        <v>64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387"/>
      <c r="B83" s="164">
        <f>F5</f>
        <v>0</v>
      </c>
      <c r="C83" s="410"/>
      <c r="D83" s="411"/>
      <c r="E83" s="412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7"/>
      <c r="R83" s="168"/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405"/>
    </row>
    <row r="84" spans="1:28" s="176" customFormat="1" ht="54.95" customHeight="1" x14ac:dyDescent="0.15">
      <c r="A84" s="387"/>
      <c r="B84" s="164">
        <f>G5</f>
        <v>0</v>
      </c>
      <c r="C84" s="413"/>
      <c r="D84" s="414"/>
      <c r="E84" s="415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7"/>
      <c r="R84" s="168"/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405"/>
    </row>
    <row r="85" spans="1:28" s="176" customFormat="1" ht="54.95" customHeight="1" x14ac:dyDescent="0.15">
      <c r="A85" s="387"/>
      <c r="B85" s="164">
        <f>C6</f>
        <v>0</v>
      </c>
      <c r="C85" s="407">
        <f>A6</f>
        <v>0</v>
      </c>
      <c r="D85" s="408"/>
      <c r="E85" s="409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7"/>
      <c r="R85" s="277"/>
      <c r="S85" s="169" t="s">
        <v>63</v>
      </c>
      <c r="T85" s="278">
        <f t="shared" si="3"/>
        <v>0</v>
      </c>
      <c r="U85" s="281"/>
      <c r="V85" s="282"/>
      <c r="W85" s="278"/>
      <c r="X85" s="278"/>
      <c r="Y85" s="374" t="s">
        <v>67</v>
      </c>
      <c r="Z85" s="374"/>
      <c r="AA85" s="374"/>
      <c r="AB85" s="405"/>
    </row>
    <row r="86" spans="1:28" s="176" customFormat="1" ht="54.95" customHeight="1" x14ac:dyDescent="0.15">
      <c r="A86" s="387"/>
      <c r="B86" s="164">
        <f>D6</f>
        <v>0</v>
      </c>
      <c r="C86" s="410"/>
      <c r="D86" s="411"/>
      <c r="E86" s="412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0</v>
      </c>
      <c r="N86" s="171"/>
      <c r="O86" s="277"/>
      <c r="P86" s="169" t="s">
        <v>63</v>
      </c>
      <c r="Q86" s="377"/>
      <c r="R86" s="277"/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405"/>
    </row>
    <row r="87" spans="1:28" s="176" customFormat="1" ht="54.95" customHeight="1" x14ac:dyDescent="0.15">
      <c r="A87" s="387"/>
      <c r="B87" s="164">
        <f>E6</f>
        <v>0</v>
      </c>
      <c r="C87" s="410"/>
      <c r="D87" s="411"/>
      <c r="E87" s="412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0</v>
      </c>
      <c r="N87" s="171"/>
      <c r="O87" s="277"/>
      <c r="P87" s="169" t="s">
        <v>63</v>
      </c>
      <c r="Q87" s="377"/>
      <c r="R87" s="277"/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405"/>
    </row>
    <row r="88" spans="1:28" s="176" customFormat="1" ht="54.95" customHeight="1" x14ac:dyDescent="0.15">
      <c r="A88" s="387"/>
      <c r="B88" s="164">
        <f>F10</f>
        <v>0</v>
      </c>
      <c r="C88" s="410"/>
      <c r="D88" s="411"/>
      <c r="E88" s="412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0</v>
      </c>
      <c r="N88" s="171"/>
      <c r="O88" s="277"/>
      <c r="P88" s="169" t="s">
        <v>63</v>
      </c>
      <c r="Q88" s="377"/>
      <c r="R88" s="168"/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405"/>
    </row>
    <row r="89" spans="1:28" s="176" customFormat="1" ht="54.95" customHeight="1" x14ac:dyDescent="0.15">
      <c r="A89" s="388"/>
      <c r="B89" s="164">
        <f>G10</f>
        <v>0</v>
      </c>
      <c r="C89" s="413"/>
      <c r="D89" s="414"/>
      <c r="E89" s="415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4"/>
        <v>0</v>
      </c>
      <c r="N89" s="171"/>
      <c r="O89" s="277"/>
      <c r="P89" s="169" t="s">
        <v>63</v>
      </c>
      <c r="Q89" s="378"/>
      <c r="R89" s="168"/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406"/>
    </row>
    <row r="90" spans="1:28" s="55" customFormat="1" ht="54.95" customHeight="1" x14ac:dyDescent="0.15">
      <c r="A90" s="386" t="s">
        <v>70</v>
      </c>
      <c r="B90" s="87">
        <f>C11</f>
        <v>250</v>
      </c>
      <c r="C90" s="389" t="s">
        <v>71</v>
      </c>
      <c r="D90" s="390"/>
      <c r="E90" s="391"/>
      <c r="F90" s="368"/>
      <c r="G90" s="369"/>
      <c r="H90" s="370"/>
      <c r="I90" s="152"/>
      <c r="J90" s="90"/>
      <c r="K90" s="156">
        <v>1</v>
      </c>
      <c r="L90" s="77" t="s">
        <v>63</v>
      </c>
      <c r="M90" s="88">
        <f t="shared" si="4"/>
        <v>250</v>
      </c>
      <c r="N90" s="89"/>
      <c r="O90" s="153"/>
      <c r="P90" s="88" t="s">
        <v>63</v>
      </c>
      <c r="Q90" s="398">
        <v>46101</v>
      </c>
      <c r="R90" s="93">
        <v>250</v>
      </c>
      <c r="S90" s="88" t="s">
        <v>63</v>
      </c>
      <c r="T90" s="154">
        <f t="shared" si="3"/>
        <v>0</v>
      </c>
      <c r="U90" s="91"/>
      <c r="V90" s="159"/>
      <c r="W90" s="159"/>
      <c r="X90" s="159"/>
      <c r="Y90" s="401" t="s">
        <v>94</v>
      </c>
      <c r="Z90" s="416"/>
      <c r="AA90" s="416"/>
      <c r="AB90" s="419" t="s">
        <v>319</v>
      </c>
    </row>
    <row r="91" spans="1:28" s="55" customFormat="1" ht="54.95" customHeight="1" x14ac:dyDescent="0.15">
      <c r="A91" s="387"/>
      <c r="B91" s="87">
        <f>D11</f>
        <v>260</v>
      </c>
      <c r="C91" s="392"/>
      <c r="D91" s="393"/>
      <c r="E91" s="394"/>
      <c r="F91" s="368"/>
      <c r="G91" s="369"/>
      <c r="H91" s="370"/>
      <c r="I91" s="152"/>
      <c r="J91" s="90"/>
      <c r="K91" s="156">
        <v>1</v>
      </c>
      <c r="L91" s="77" t="s">
        <v>63</v>
      </c>
      <c r="M91" s="88">
        <f t="shared" si="4"/>
        <v>260</v>
      </c>
      <c r="N91" s="89"/>
      <c r="O91" s="153"/>
      <c r="P91" s="88" t="s">
        <v>63</v>
      </c>
      <c r="Q91" s="399"/>
      <c r="R91" s="93">
        <v>260</v>
      </c>
      <c r="S91" s="88" t="s">
        <v>63</v>
      </c>
      <c r="T91" s="154">
        <f t="shared" si="3"/>
        <v>0</v>
      </c>
      <c r="U91" s="91"/>
      <c r="V91" s="159"/>
      <c r="W91" s="159"/>
      <c r="X91" s="159"/>
      <c r="Y91" s="402"/>
      <c r="Z91" s="417"/>
      <c r="AA91" s="417"/>
      <c r="AB91" s="420"/>
    </row>
    <row r="92" spans="1:28" s="55" customFormat="1" ht="54.95" customHeight="1" x14ac:dyDescent="0.15">
      <c r="A92" s="387"/>
      <c r="B92" s="87">
        <f>E11</f>
        <v>64</v>
      </c>
      <c r="C92" s="392"/>
      <c r="D92" s="393"/>
      <c r="E92" s="394"/>
      <c r="F92" s="368"/>
      <c r="G92" s="369"/>
      <c r="H92" s="370"/>
      <c r="I92" s="152"/>
      <c r="J92" s="90"/>
      <c r="K92" s="156">
        <v>1</v>
      </c>
      <c r="L92" s="77" t="s">
        <v>63</v>
      </c>
      <c r="M92" s="88">
        <f t="shared" si="4"/>
        <v>64</v>
      </c>
      <c r="N92" s="89"/>
      <c r="O92" s="153"/>
      <c r="P92" s="88" t="s">
        <v>63</v>
      </c>
      <c r="Q92" s="399"/>
      <c r="R92" s="93">
        <v>64</v>
      </c>
      <c r="S92" s="88" t="s">
        <v>63</v>
      </c>
      <c r="T92" s="154">
        <f t="shared" si="3"/>
        <v>0</v>
      </c>
      <c r="U92" s="91"/>
      <c r="V92" s="159"/>
      <c r="W92" s="159"/>
      <c r="X92" s="159"/>
      <c r="Y92" s="402"/>
      <c r="Z92" s="417"/>
      <c r="AA92" s="417"/>
      <c r="AB92" s="420"/>
    </row>
    <row r="93" spans="1:28" s="55" customFormat="1" ht="54.95" customHeight="1" x14ac:dyDescent="0.15">
      <c r="A93" s="388"/>
      <c r="B93" s="87">
        <f>F11</f>
        <v>0</v>
      </c>
      <c r="C93" s="395"/>
      <c r="D93" s="396"/>
      <c r="E93" s="397"/>
      <c r="F93" s="368"/>
      <c r="G93" s="369"/>
      <c r="H93" s="370"/>
      <c r="I93" s="152"/>
      <c r="J93" s="90"/>
      <c r="K93" s="156"/>
      <c r="L93" s="77" t="s">
        <v>63</v>
      </c>
      <c r="M93" s="88">
        <f t="shared" si="4"/>
        <v>0</v>
      </c>
      <c r="N93" s="89"/>
      <c r="O93" s="153"/>
      <c r="P93" s="88" t="s">
        <v>63</v>
      </c>
      <c r="Q93" s="400"/>
      <c r="R93" s="162"/>
      <c r="S93" s="88" t="s">
        <v>63</v>
      </c>
      <c r="T93" s="154">
        <f t="shared" si="3"/>
        <v>0</v>
      </c>
      <c r="U93" s="91"/>
      <c r="V93" s="159"/>
      <c r="W93" s="159"/>
      <c r="X93" s="159"/>
      <c r="Y93" s="403"/>
      <c r="Z93" s="418"/>
      <c r="AA93" s="418"/>
      <c r="AB93" s="421"/>
    </row>
    <row r="94" spans="1:28" s="176" customFormat="1" ht="54.95" customHeight="1" x14ac:dyDescent="0.15">
      <c r="A94" s="163" t="s">
        <v>73</v>
      </c>
      <c r="B94" s="164">
        <f>I11</f>
        <v>574</v>
      </c>
      <c r="C94" s="371" t="s">
        <v>71</v>
      </c>
      <c r="D94" s="372"/>
      <c r="E94" s="373"/>
      <c r="F94" s="371"/>
      <c r="G94" s="372"/>
      <c r="H94" s="373"/>
      <c r="I94" s="165"/>
      <c r="J94" s="166"/>
      <c r="K94" s="167">
        <v>1</v>
      </c>
      <c r="L94" s="168" t="s">
        <v>63</v>
      </c>
      <c r="M94" s="88">
        <f t="shared" si="4"/>
        <v>574</v>
      </c>
      <c r="N94" s="170"/>
      <c r="O94" s="170"/>
      <c r="P94" s="169" t="s">
        <v>63</v>
      </c>
      <c r="Q94" s="363">
        <v>46101</v>
      </c>
      <c r="R94" s="165">
        <v>574</v>
      </c>
      <c r="S94" s="169" t="s">
        <v>63</v>
      </c>
      <c r="T94" s="154">
        <f t="shared" si="3"/>
        <v>0</v>
      </c>
      <c r="U94" s="170"/>
      <c r="V94" s="172"/>
      <c r="W94" s="172"/>
      <c r="X94" s="172"/>
      <c r="Y94" s="374" t="s">
        <v>72</v>
      </c>
      <c r="Z94" s="380"/>
      <c r="AA94" s="383"/>
      <c r="AB94" s="586" t="s">
        <v>319</v>
      </c>
    </row>
    <row r="95" spans="1:28" s="55" customFormat="1" ht="54.95" customHeight="1" x14ac:dyDescent="0.15">
      <c r="A95" s="163" t="s">
        <v>81</v>
      </c>
      <c r="B95" s="87">
        <f>I11</f>
        <v>574</v>
      </c>
      <c r="C95" s="368" t="s">
        <v>71</v>
      </c>
      <c r="D95" s="369"/>
      <c r="E95" s="370"/>
      <c r="F95" s="368"/>
      <c r="G95" s="369"/>
      <c r="H95" s="370"/>
      <c r="I95" s="93"/>
      <c r="J95" s="90"/>
      <c r="K95" s="156">
        <v>1</v>
      </c>
      <c r="L95" s="77" t="s">
        <v>63</v>
      </c>
      <c r="M95" s="88">
        <f>K95*B95</f>
        <v>574</v>
      </c>
      <c r="N95" s="91"/>
      <c r="O95" s="91"/>
      <c r="P95" s="169" t="s">
        <v>63</v>
      </c>
      <c r="Q95" s="364"/>
      <c r="R95" s="93">
        <v>574</v>
      </c>
      <c r="S95" s="169" t="s">
        <v>63</v>
      </c>
      <c r="T95" s="154">
        <f t="shared" si="3"/>
        <v>0</v>
      </c>
      <c r="U95" s="91"/>
      <c r="V95" s="91"/>
      <c r="W95" s="91"/>
      <c r="X95" s="91"/>
      <c r="Y95" s="375"/>
      <c r="Z95" s="381"/>
      <c r="AA95" s="384"/>
      <c r="AB95" s="587"/>
    </row>
    <row r="96" spans="1:28" s="55" customFormat="1" ht="54.95" customHeight="1" x14ac:dyDescent="0.15">
      <c r="A96" s="284" t="s">
        <v>74</v>
      </c>
      <c r="B96" s="87">
        <f>I11</f>
        <v>574</v>
      </c>
      <c r="C96" s="368" t="s">
        <v>71</v>
      </c>
      <c r="D96" s="369"/>
      <c r="E96" s="370"/>
      <c r="F96" s="368"/>
      <c r="G96" s="369"/>
      <c r="H96" s="370"/>
      <c r="I96" s="93" t="s">
        <v>199</v>
      </c>
      <c r="J96" s="93"/>
      <c r="K96" s="156">
        <v>1</v>
      </c>
      <c r="L96" s="77" t="s">
        <v>63</v>
      </c>
      <c r="M96" s="88">
        <f t="shared" si="4"/>
        <v>574</v>
      </c>
      <c r="N96" s="91"/>
      <c r="O96" s="91"/>
      <c r="P96" s="89" t="s">
        <v>63</v>
      </c>
      <c r="Q96" s="365"/>
      <c r="R96" s="93">
        <v>700</v>
      </c>
      <c r="S96" s="89" t="s">
        <v>63</v>
      </c>
      <c r="T96" s="154">
        <f t="shared" si="3"/>
        <v>126</v>
      </c>
      <c r="U96" s="91"/>
      <c r="V96" s="91"/>
      <c r="W96" s="91"/>
      <c r="X96" s="91"/>
      <c r="Y96" s="379"/>
      <c r="Z96" s="382"/>
      <c r="AA96" s="385"/>
      <c r="AB96" s="588"/>
    </row>
    <row r="97" spans="1:29" x14ac:dyDescent="0.15">
      <c r="A97" s="285"/>
      <c r="B97" s="366"/>
      <c r="C97" s="366"/>
      <c r="D97" s="177"/>
      <c r="E97" s="177"/>
      <c r="F97" s="100"/>
      <c r="G97" s="100"/>
      <c r="H97" s="100"/>
      <c r="I97" s="177"/>
      <c r="J97" s="177"/>
      <c r="K97" s="101"/>
      <c r="L97" s="102"/>
      <c r="M97" s="103"/>
      <c r="N97" s="104"/>
      <c r="O97" s="104"/>
      <c r="P97" s="177"/>
      <c r="Q97" s="105"/>
      <c r="R97" s="105"/>
      <c r="S97" s="106"/>
      <c r="T97" s="107"/>
      <c r="U97" s="108"/>
      <c r="V97" s="108"/>
      <c r="W97" s="109"/>
      <c r="X97" s="107"/>
      <c r="Y97" s="110"/>
      <c r="Z97" s="111"/>
      <c r="AA97" s="111"/>
    </row>
    <row r="98" spans="1:29" x14ac:dyDescent="0.15">
      <c r="A98" s="285"/>
      <c r="B98" s="366"/>
      <c r="C98" s="366"/>
      <c r="D98" s="177"/>
      <c r="E98" s="177"/>
      <c r="F98" s="367"/>
      <c r="G98" s="367"/>
      <c r="H98" s="367"/>
      <c r="I98" s="177"/>
      <c r="J98" s="177"/>
      <c r="K98" s="101"/>
      <c r="L98" s="102"/>
      <c r="M98" s="103"/>
      <c r="N98" s="104"/>
      <c r="O98" s="104"/>
      <c r="P98" s="177"/>
      <c r="Q98" s="105"/>
      <c r="R98" s="105"/>
      <c r="S98" s="106"/>
      <c r="T98" s="107"/>
      <c r="U98" s="108"/>
      <c r="V98" s="108"/>
      <c r="W98" s="109"/>
      <c r="X98" s="107"/>
      <c r="Y98" s="112"/>
      <c r="Z98" s="111"/>
      <c r="AA98" s="111"/>
    </row>
    <row r="99" spans="1:29" x14ac:dyDescent="0.15">
      <c r="J99" s="177"/>
    </row>
    <row r="100" spans="1:29" x14ac:dyDescent="0.15">
      <c r="J100" s="177"/>
    </row>
    <row r="107" spans="1:29" s="114" customFormat="1" x14ac:dyDescent="0.15">
      <c r="A107" s="286"/>
      <c r="B107" s="113"/>
      <c r="C107" s="1"/>
      <c r="D107" s="1"/>
      <c r="E107" s="1"/>
      <c r="F107" s="1"/>
      <c r="G107" s="1"/>
      <c r="H107" s="1"/>
      <c r="I107" s="1"/>
      <c r="J107" s="1"/>
      <c r="L107" s="115"/>
      <c r="M107" s="116"/>
      <c r="N107" s="117"/>
      <c r="O107" s="117"/>
      <c r="P107" s="1"/>
      <c r="Q107" s="118"/>
      <c r="R107" s="118"/>
      <c r="S107" s="115"/>
      <c r="T107" s="119"/>
      <c r="U107" s="1"/>
      <c r="V107" s="1"/>
      <c r="W107" s="120"/>
      <c r="X107" s="121"/>
      <c r="Y107" s="1"/>
      <c r="Z107" s="1"/>
      <c r="AA107" s="1"/>
      <c r="AB107" s="1"/>
      <c r="AC107" s="1"/>
    </row>
    <row r="108" spans="1:29" s="114" customFormat="1" x14ac:dyDescent="0.15">
      <c r="A108" s="286"/>
      <c r="B108" s="113"/>
      <c r="C108" s="1"/>
      <c r="D108" s="1"/>
      <c r="E108" s="1"/>
      <c r="F108" s="1"/>
      <c r="G108" s="1"/>
      <c r="H108" s="1"/>
      <c r="I108" s="1"/>
      <c r="J108" s="1"/>
      <c r="L108" s="115"/>
      <c r="M108" s="116"/>
      <c r="N108" s="117"/>
      <c r="O108" s="117"/>
      <c r="P108" s="1"/>
      <c r="Q108" s="118"/>
      <c r="R108" s="118"/>
      <c r="S108" s="115"/>
      <c r="T108" s="119"/>
      <c r="U108" s="1"/>
      <c r="V108" s="1"/>
      <c r="W108" s="120"/>
      <c r="X108" s="121"/>
      <c r="Y108" s="1"/>
      <c r="Z108" s="1"/>
      <c r="AA108" s="1"/>
      <c r="AB108" s="1"/>
      <c r="AC108" s="1"/>
    </row>
  </sheetData>
  <mergeCells count="352">
    <mergeCell ref="AB33:AB38"/>
    <mergeCell ref="AB23:AB26"/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N13:P13"/>
    <mergeCell ref="C20:E20"/>
    <mergeCell ref="F20:H20"/>
    <mergeCell ref="A21:A22"/>
    <mergeCell ref="C21:E21"/>
    <mergeCell ref="F21:H21"/>
    <mergeCell ref="I21:I22"/>
    <mergeCell ref="AB17:AB18"/>
    <mergeCell ref="C18:E18"/>
    <mergeCell ref="F18:H18"/>
    <mergeCell ref="A19:A20"/>
    <mergeCell ref="C19:E19"/>
    <mergeCell ref="F19:H19"/>
    <mergeCell ref="I19:I20"/>
    <mergeCell ref="Q19:Q20"/>
    <mergeCell ref="Y19:Y20"/>
    <mergeCell ref="AB19:AB20"/>
    <mergeCell ref="Q21:Q22"/>
    <mergeCell ref="Y21:Y22"/>
    <mergeCell ref="AB21:AB22"/>
    <mergeCell ref="C22:E22"/>
    <mergeCell ref="F22:H22"/>
    <mergeCell ref="AB15:AB16"/>
    <mergeCell ref="A23:A24"/>
    <mergeCell ref="C23:E23"/>
    <mergeCell ref="F23:H23"/>
    <mergeCell ref="I23:I24"/>
    <mergeCell ref="Q23:Q24"/>
    <mergeCell ref="Y23:Y24"/>
    <mergeCell ref="C24:E24"/>
    <mergeCell ref="F24:H24"/>
    <mergeCell ref="AC26:AF26"/>
    <mergeCell ref="AC28:AF28"/>
    <mergeCell ref="A25:A26"/>
    <mergeCell ref="C25:E25"/>
    <mergeCell ref="F25:H25"/>
    <mergeCell ref="I25:I26"/>
    <mergeCell ref="Q25:Q26"/>
    <mergeCell ref="Y25:Y26"/>
    <mergeCell ref="C26:E26"/>
    <mergeCell ref="F26:H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33:A34"/>
    <mergeCell ref="C33:E33"/>
    <mergeCell ref="F33:H33"/>
    <mergeCell ref="I33:I34"/>
    <mergeCell ref="Y33:Y34"/>
    <mergeCell ref="A35:A36"/>
    <mergeCell ref="C35:E35"/>
    <mergeCell ref="F35:H35"/>
    <mergeCell ref="I35:I36"/>
    <mergeCell ref="Y35:Y36"/>
    <mergeCell ref="C36:E36"/>
    <mergeCell ref="F36:H36"/>
    <mergeCell ref="AC36:AF36"/>
    <mergeCell ref="C34:E34"/>
    <mergeCell ref="F34:H34"/>
    <mergeCell ref="AC34:AF34"/>
    <mergeCell ref="AC38:AF38"/>
    <mergeCell ref="A41:A42"/>
    <mergeCell ref="C41:E41"/>
    <mergeCell ref="F41:H41"/>
    <mergeCell ref="Q41:Q44"/>
    <mergeCell ref="Y41:Y42"/>
    <mergeCell ref="AB41:AB44"/>
    <mergeCell ref="C42:E42"/>
    <mergeCell ref="F42:H42"/>
    <mergeCell ref="A43:A44"/>
    <mergeCell ref="A37:A38"/>
    <mergeCell ref="C37:E37"/>
    <mergeCell ref="F37:H37"/>
    <mergeCell ref="I37:I38"/>
    <mergeCell ref="Y37:Y38"/>
    <mergeCell ref="C38:E38"/>
    <mergeCell ref="F38:H38"/>
    <mergeCell ref="C43:E43"/>
    <mergeCell ref="F43:H43"/>
    <mergeCell ref="Y43:Y44"/>
    <mergeCell ref="C44:E44"/>
    <mergeCell ref="F44:H44"/>
    <mergeCell ref="A45:A46"/>
    <mergeCell ref="C45:E45"/>
    <mergeCell ref="F45:H45"/>
    <mergeCell ref="I45:I46"/>
    <mergeCell ref="Q45:Q46"/>
    <mergeCell ref="C48:E48"/>
    <mergeCell ref="F48:H48"/>
    <mergeCell ref="Y45:Y46"/>
    <mergeCell ref="AB45:AB46"/>
    <mergeCell ref="C46:E46"/>
    <mergeCell ref="F46:H46"/>
    <mergeCell ref="A47:A48"/>
    <mergeCell ref="C47:E47"/>
    <mergeCell ref="F47:H47"/>
    <mergeCell ref="Q47:Q48"/>
    <mergeCell ref="Y47:Y48"/>
    <mergeCell ref="AB47:AB48"/>
    <mergeCell ref="C52:E52"/>
    <mergeCell ref="F52:H52"/>
    <mergeCell ref="A53:A54"/>
    <mergeCell ref="C53:E53"/>
    <mergeCell ref="F53:H53"/>
    <mergeCell ref="Q53:Q54"/>
    <mergeCell ref="Q49:Q52"/>
    <mergeCell ref="Y49:Y50"/>
    <mergeCell ref="AB49:AB52"/>
    <mergeCell ref="C50:E50"/>
    <mergeCell ref="F50:H50"/>
    <mergeCell ref="A51:A52"/>
    <mergeCell ref="C51:E51"/>
    <mergeCell ref="F51:H51"/>
    <mergeCell ref="I51:I52"/>
    <mergeCell ref="Y51:Y52"/>
    <mergeCell ref="A49:A50"/>
    <mergeCell ref="C49:E49"/>
    <mergeCell ref="F49:H49"/>
    <mergeCell ref="I49:I50"/>
    <mergeCell ref="C56:E56"/>
    <mergeCell ref="F56:H56"/>
    <mergeCell ref="A57:A58"/>
    <mergeCell ref="C57:E57"/>
    <mergeCell ref="F57:H57"/>
    <mergeCell ref="Q57:Q58"/>
    <mergeCell ref="Y53:Y54"/>
    <mergeCell ref="AB53:AB54"/>
    <mergeCell ref="C54:E54"/>
    <mergeCell ref="F54:H54"/>
    <mergeCell ref="A55:A56"/>
    <mergeCell ref="C55:E55"/>
    <mergeCell ref="F55:H55"/>
    <mergeCell ref="Q55:Q56"/>
    <mergeCell ref="Y55:Y56"/>
    <mergeCell ref="AB55:AB56"/>
    <mergeCell ref="Y57:Y58"/>
    <mergeCell ref="AB57:AB58"/>
    <mergeCell ref="C58:E58"/>
    <mergeCell ref="F58:H58"/>
    <mergeCell ref="A59:A60"/>
    <mergeCell ref="C59:E59"/>
    <mergeCell ref="F59:H59"/>
    <mergeCell ref="Q59:Q60"/>
    <mergeCell ref="Y59:Y60"/>
    <mergeCell ref="AB59:AB60"/>
    <mergeCell ref="AA65:AA69"/>
    <mergeCell ref="AB65:AB69"/>
    <mergeCell ref="F66:H66"/>
    <mergeCell ref="F67:H67"/>
    <mergeCell ref="F68:H68"/>
    <mergeCell ref="F69:H69"/>
    <mergeCell ref="Y63:Y64"/>
    <mergeCell ref="AB63:AB64"/>
    <mergeCell ref="C60:E60"/>
    <mergeCell ref="F60:H60"/>
    <mergeCell ref="C61:E61"/>
    <mergeCell ref="F61:H61"/>
    <mergeCell ref="I61:I62"/>
    <mergeCell ref="Q61:Q62"/>
    <mergeCell ref="Y61:Y62"/>
    <mergeCell ref="AB61:AB62"/>
    <mergeCell ref="C62:E62"/>
    <mergeCell ref="F62:H62"/>
    <mergeCell ref="A63:A64"/>
    <mergeCell ref="C63:E63"/>
    <mergeCell ref="F63:H63"/>
    <mergeCell ref="I63:I64"/>
    <mergeCell ref="Q63:Q64"/>
    <mergeCell ref="A61:A62"/>
    <mergeCell ref="AA70:AA74"/>
    <mergeCell ref="F71:H71"/>
    <mergeCell ref="F72:H72"/>
    <mergeCell ref="F73:H73"/>
    <mergeCell ref="F74:H74"/>
    <mergeCell ref="C64:E64"/>
    <mergeCell ref="F64:H64"/>
    <mergeCell ref="A70:A79"/>
    <mergeCell ref="C70:E74"/>
    <mergeCell ref="F70:H70"/>
    <mergeCell ref="Q70:Q79"/>
    <mergeCell ref="Y70:Y74"/>
    <mergeCell ref="Z70:Z74"/>
    <mergeCell ref="C75:E79"/>
    <mergeCell ref="F75:H75"/>
    <mergeCell ref="Y75:Y79"/>
    <mergeCell ref="Z75:Z79"/>
    <mergeCell ref="A65:A69"/>
    <mergeCell ref="C65:E69"/>
    <mergeCell ref="F65:H65"/>
    <mergeCell ref="Q65:Q69"/>
    <mergeCell ref="Y65:Y69"/>
    <mergeCell ref="Z65:Z69"/>
    <mergeCell ref="Q80:Q89"/>
    <mergeCell ref="Y80:Y84"/>
    <mergeCell ref="Z80:Z84"/>
    <mergeCell ref="F86:H86"/>
    <mergeCell ref="F87:H87"/>
    <mergeCell ref="F88:H88"/>
    <mergeCell ref="AA75:AA79"/>
    <mergeCell ref="F76:H76"/>
    <mergeCell ref="F77:H77"/>
    <mergeCell ref="F78:H78"/>
    <mergeCell ref="F79:H79"/>
    <mergeCell ref="AB90:AB93"/>
    <mergeCell ref="F91:H91"/>
    <mergeCell ref="F92:H92"/>
    <mergeCell ref="F93:H93"/>
    <mergeCell ref="F89:H89"/>
    <mergeCell ref="AB80:AB89"/>
    <mergeCell ref="AB70:AB79"/>
    <mergeCell ref="A90:A93"/>
    <mergeCell ref="C90:E93"/>
    <mergeCell ref="F90:H90"/>
    <mergeCell ref="Q90:Q93"/>
    <mergeCell ref="Y90:Y93"/>
    <mergeCell ref="A80:A89"/>
    <mergeCell ref="C80:E84"/>
    <mergeCell ref="C85:E89"/>
    <mergeCell ref="AA80:AA84"/>
    <mergeCell ref="F81:H81"/>
    <mergeCell ref="F82:H82"/>
    <mergeCell ref="F83:H83"/>
    <mergeCell ref="F84:H84"/>
    <mergeCell ref="F85:H85"/>
    <mergeCell ref="Y85:Y89"/>
    <mergeCell ref="Z85:Z89"/>
    <mergeCell ref="AA85:AA89"/>
    <mergeCell ref="F80:H80"/>
    <mergeCell ref="Y39:Y40"/>
    <mergeCell ref="C40:E40"/>
    <mergeCell ref="F40:H40"/>
    <mergeCell ref="AC40:AF40"/>
    <mergeCell ref="B98:C98"/>
    <mergeCell ref="F98:H98"/>
    <mergeCell ref="A39:A40"/>
    <mergeCell ref="C39:E39"/>
    <mergeCell ref="F39:H39"/>
    <mergeCell ref="I39:I40"/>
    <mergeCell ref="AB94:AB96"/>
    <mergeCell ref="C95:E95"/>
    <mergeCell ref="F95:H95"/>
    <mergeCell ref="C96:E96"/>
    <mergeCell ref="F96:H96"/>
    <mergeCell ref="B97:C97"/>
    <mergeCell ref="C94:E94"/>
    <mergeCell ref="F94:H94"/>
    <mergeCell ref="Q94:Q96"/>
    <mergeCell ref="Y94:Y96"/>
    <mergeCell ref="Z94:Z96"/>
    <mergeCell ref="AA94:AA96"/>
    <mergeCell ref="Z90:Z93"/>
    <mergeCell ref="AA90:AA9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3" orientation="portrait" r:id="rId1"/>
  <headerFooter alignWithMargins="0"/>
  <rowBreaks count="1" manualBreakCount="1">
    <brk id="69" max="27" man="1"/>
  </rowBreaks>
  <colBreaks count="1" manualBreakCount="1">
    <brk id="2" max="46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397A-417A-4FCA-A86F-E4423158D410}">
  <sheetPr>
    <pageSetUpPr fitToPage="1"/>
  </sheetPr>
  <dimension ref="A1:AF108"/>
  <sheetViews>
    <sheetView view="pageBreakPreview" topLeftCell="A28" zoomScale="75" zoomScaleNormal="100" zoomScaleSheetLayoutView="75" workbookViewId="0">
      <selection activeCell="C65" sqref="C65:E69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309</v>
      </c>
      <c r="C2" s="548"/>
      <c r="D2" s="548"/>
      <c r="E2" s="548"/>
      <c r="F2" s="548"/>
      <c r="G2" s="549"/>
      <c r="H2" s="180" t="s">
        <v>1</v>
      </c>
      <c r="I2" s="550">
        <f>I11</f>
        <v>551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261</v>
      </c>
      <c r="B5" s="480"/>
      <c r="C5" s="182">
        <v>231</v>
      </c>
      <c r="D5" s="182">
        <v>250</v>
      </c>
      <c r="E5" s="182">
        <v>70</v>
      </c>
      <c r="F5" s="182"/>
      <c r="G5" s="182"/>
      <c r="H5" s="542" t="s">
        <v>24</v>
      </c>
      <c r="I5" s="524">
        <f t="shared" ref="I5:I11" si="0">SUM(C5:G5)</f>
        <v>551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480"/>
      <c r="B6" s="480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46091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231</v>
      </c>
      <c r="D11" s="181">
        <f>SUM(D5:D10)</f>
        <v>250</v>
      </c>
      <c r="E11" s="181">
        <f>SUM(E5:E10)</f>
        <v>70</v>
      </c>
      <c r="F11" s="181">
        <f>SUM(F5:F10)</f>
        <v>0</v>
      </c>
      <c r="G11" s="181">
        <f>SUM(G5:G10)</f>
        <v>0</v>
      </c>
      <c r="H11" s="182"/>
      <c r="I11" s="481">
        <f t="shared" si="0"/>
        <v>551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46197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235.62</v>
      </c>
      <c r="D12" s="43">
        <f>D11*1.02</f>
        <v>255</v>
      </c>
      <c r="E12" s="43">
        <f>E11*1.02</f>
        <v>71.400000000000006</v>
      </c>
      <c r="F12" s="43">
        <f>F11*1.02</f>
        <v>0</v>
      </c>
      <c r="G12" s="43">
        <f>G11*1.02</f>
        <v>0</v>
      </c>
      <c r="H12" s="44"/>
      <c r="I12" s="486">
        <f>I11*1.02</f>
        <v>562.02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3" si="1">$I$5</f>
        <v>551</v>
      </c>
      <c r="C15" s="474" t="str">
        <f t="shared" ref="C15:C23" si="2">$A$5</f>
        <v>MG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1.83</v>
      </c>
      <c r="L15" s="67" t="s">
        <v>7</v>
      </c>
      <c r="M15" s="68">
        <f>K15*B15</f>
        <v>1008.33</v>
      </c>
      <c r="N15" s="69"/>
      <c r="O15" s="70"/>
      <c r="P15" s="67" t="s">
        <v>7</v>
      </c>
      <c r="Q15" s="478">
        <v>46101</v>
      </c>
      <c r="R15" s="293">
        <v>1010</v>
      </c>
      <c r="S15" s="71" t="s">
        <v>7</v>
      </c>
      <c r="T15" s="123">
        <f t="shared" ref="T15:T96" si="3">R15-M15</f>
        <v>1.6699999999999591</v>
      </c>
      <c r="U15" s="72"/>
      <c r="V15" s="72"/>
      <c r="W15" s="73"/>
      <c r="X15" s="74"/>
      <c r="Y15" s="479" t="s">
        <v>310</v>
      </c>
      <c r="Z15" s="63"/>
      <c r="AA15" s="64"/>
      <c r="AB15" s="566" t="s">
        <v>320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442"/>
      <c r="J16" s="76" t="s">
        <v>6</v>
      </c>
      <c r="K16" s="83"/>
      <c r="L16" s="77" t="s">
        <v>7</v>
      </c>
      <c r="M16" s="78">
        <f t="shared" ref="M16:M96" si="4">K16*B16</f>
        <v>0</v>
      </c>
      <c r="N16" s="79"/>
      <c r="O16" s="128"/>
      <c r="P16" s="77" t="s">
        <v>7</v>
      </c>
      <c r="Q16" s="444"/>
      <c r="R16" s="137"/>
      <c r="S16" s="75" t="s">
        <v>7</v>
      </c>
      <c r="T16" s="81">
        <f t="shared" si="3"/>
        <v>0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551</v>
      </c>
      <c r="C17" s="461" t="str">
        <f t="shared" si="2"/>
        <v>MG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1"/>
      <c r="AC18" s="178"/>
      <c r="AD18" s="179"/>
      <c r="AE18" s="179"/>
      <c r="AF18" s="179"/>
    </row>
    <row r="19" spans="1:32" s="55" customFormat="1" ht="69.95" customHeight="1" x14ac:dyDescent="0.15">
      <c r="A19" s="431" t="s">
        <v>85</v>
      </c>
      <c r="B19" s="182">
        <f t="shared" si="1"/>
        <v>551</v>
      </c>
      <c r="C19" s="461" t="str">
        <f t="shared" si="2"/>
        <v>MG</v>
      </c>
      <c r="D19" s="461"/>
      <c r="E19" s="461"/>
      <c r="F19" s="461"/>
      <c r="G19" s="461"/>
      <c r="H19" s="461"/>
      <c r="I19" s="441" t="s">
        <v>144</v>
      </c>
      <c r="J19" s="76" t="s">
        <v>6</v>
      </c>
      <c r="K19" s="136">
        <v>1.25</v>
      </c>
      <c r="L19" s="77" t="s">
        <v>7</v>
      </c>
      <c r="M19" s="78">
        <f t="shared" si="4"/>
        <v>688.75</v>
      </c>
      <c r="N19" s="79"/>
      <c r="O19" s="78"/>
      <c r="P19" s="80" t="s">
        <v>7</v>
      </c>
      <c r="Q19" s="443">
        <v>46101</v>
      </c>
      <c r="R19" s="78">
        <v>689</v>
      </c>
      <c r="S19" s="80" t="s">
        <v>7</v>
      </c>
      <c r="T19" s="81">
        <f t="shared" si="3"/>
        <v>0.25</v>
      </c>
      <c r="U19" s="82"/>
      <c r="V19" s="137"/>
      <c r="W19" s="78"/>
      <c r="X19" s="78"/>
      <c r="Y19" s="445" t="s">
        <v>93</v>
      </c>
      <c r="Z19" s="138"/>
      <c r="AA19" s="135"/>
      <c r="AB19" s="595" t="s">
        <v>320</v>
      </c>
      <c r="AC19" s="178"/>
      <c r="AD19" s="179"/>
      <c r="AE19" s="179"/>
      <c r="AF19" s="179"/>
    </row>
    <row r="20" spans="1:32" s="55" customFormat="1" ht="69.95" customHeight="1" x14ac:dyDescent="0.15">
      <c r="A20" s="432"/>
      <c r="B20" s="182">
        <f>$I$6</f>
        <v>0</v>
      </c>
      <c r="C20" s="461">
        <f>$A$6</f>
        <v>0</v>
      </c>
      <c r="D20" s="461"/>
      <c r="E20" s="461"/>
      <c r="F20" s="461"/>
      <c r="G20" s="461"/>
      <c r="H20" s="461"/>
      <c r="I20" s="442"/>
      <c r="J20" s="76" t="s">
        <v>6</v>
      </c>
      <c r="K20" s="136"/>
      <c r="L20" s="77" t="s">
        <v>7</v>
      </c>
      <c r="M20" s="78">
        <f t="shared" si="4"/>
        <v>0</v>
      </c>
      <c r="N20" s="79"/>
      <c r="O20" s="128"/>
      <c r="P20" s="77" t="s">
        <v>7</v>
      </c>
      <c r="Q20" s="444"/>
      <c r="R20" s="137"/>
      <c r="S20" s="75" t="s">
        <v>7</v>
      </c>
      <c r="T20" s="81">
        <f t="shared" si="3"/>
        <v>0</v>
      </c>
      <c r="U20" s="131"/>
      <c r="V20" s="131"/>
      <c r="W20" s="132"/>
      <c r="X20" s="133"/>
      <c r="Y20" s="446"/>
      <c r="Z20" s="228"/>
      <c r="AA20" s="228"/>
      <c r="AB20" s="595"/>
      <c r="AC20" s="178"/>
      <c r="AD20" s="179"/>
      <c r="AE20" s="179"/>
      <c r="AF20" s="179"/>
    </row>
    <row r="21" spans="1:32" s="206" customFormat="1" ht="69.95" customHeight="1" x14ac:dyDescent="0.15">
      <c r="A21" s="431" t="s">
        <v>115</v>
      </c>
      <c r="B21" s="191">
        <f t="shared" si="1"/>
        <v>551</v>
      </c>
      <c r="C21" s="465" t="str">
        <f t="shared" si="2"/>
        <v>MG</v>
      </c>
      <c r="D21" s="465"/>
      <c r="E21" s="465"/>
      <c r="F21" s="465"/>
      <c r="G21" s="465"/>
      <c r="H21" s="465"/>
      <c r="I21" s="433" t="s">
        <v>8</v>
      </c>
      <c r="J21" s="192" t="s">
        <v>6</v>
      </c>
      <c r="K21" s="209">
        <v>0.61</v>
      </c>
      <c r="L21" s="194" t="s">
        <v>7</v>
      </c>
      <c r="M21" s="195">
        <f t="shared" si="4"/>
        <v>336.11</v>
      </c>
      <c r="N21" s="196"/>
      <c r="O21" s="195"/>
      <c r="P21" s="197" t="s">
        <v>7</v>
      </c>
      <c r="Q21" s="435"/>
      <c r="R21" s="195"/>
      <c r="S21" s="197" t="s">
        <v>7</v>
      </c>
      <c r="T21" s="198">
        <f t="shared" si="3"/>
        <v>-336.11</v>
      </c>
      <c r="U21" s="199"/>
      <c r="V21" s="200"/>
      <c r="W21" s="195"/>
      <c r="X21" s="195"/>
      <c r="Y21" s="437" t="s">
        <v>93</v>
      </c>
      <c r="Z21" s="235"/>
      <c r="AA21" s="202"/>
      <c r="AB21" s="606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$I$6</f>
        <v>0</v>
      </c>
      <c r="C22" s="465">
        <f>$A$6</f>
        <v>0</v>
      </c>
      <c r="D22" s="465"/>
      <c r="E22" s="465"/>
      <c r="F22" s="465"/>
      <c r="G22" s="465"/>
      <c r="H22" s="465"/>
      <c r="I22" s="434"/>
      <c r="J22" s="192" t="s">
        <v>6</v>
      </c>
      <c r="K22" s="209">
        <v>0.61</v>
      </c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38"/>
      <c r="AA22" s="238"/>
      <c r="AB22" s="606"/>
      <c r="AC22" s="229"/>
      <c r="AD22" s="230"/>
      <c r="AE22" s="230"/>
      <c r="AF22" s="230"/>
    </row>
    <row r="23" spans="1:32" s="176" customFormat="1" ht="69.95" customHeight="1" x14ac:dyDescent="0.15">
      <c r="A23" s="431" t="s">
        <v>107</v>
      </c>
      <c r="B23" s="239">
        <f t="shared" si="1"/>
        <v>551</v>
      </c>
      <c r="C23" s="456" t="str">
        <f t="shared" si="2"/>
        <v>MG</v>
      </c>
      <c r="D23" s="456"/>
      <c r="E23" s="456"/>
      <c r="F23" s="456"/>
      <c r="G23" s="456"/>
      <c r="H23" s="456"/>
      <c r="I23" s="457" t="s">
        <v>58</v>
      </c>
      <c r="J23" s="240" t="s">
        <v>6</v>
      </c>
      <c r="K23" s="241">
        <v>1.72</v>
      </c>
      <c r="L23" s="168" t="s">
        <v>7</v>
      </c>
      <c r="M23" s="242">
        <f t="shared" si="4"/>
        <v>947.72</v>
      </c>
      <c r="N23" s="243"/>
      <c r="O23" s="242"/>
      <c r="P23" s="244" t="s">
        <v>7</v>
      </c>
      <c r="Q23" s="376">
        <v>46101</v>
      </c>
      <c r="R23" s="245">
        <v>948</v>
      </c>
      <c r="S23" s="244" t="s">
        <v>7</v>
      </c>
      <c r="T23" s="245">
        <f t="shared" si="3"/>
        <v>0.27999999999997272</v>
      </c>
      <c r="U23" s="246"/>
      <c r="V23" s="247"/>
      <c r="W23" s="242"/>
      <c r="X23" s="242"/>
      <c r="Y23" s="459" t="s">
        <v>59</v>
      </c>
      <c r="Z23" s="248"/>
      <c r="AA23" s="249"/>
      <c r="AB23" s="360" t="s">
        <v>320</v>
      </c>
      <c r="AC23" s="250"/>
      <c r="AD23" s="251"/>
      <c r="AE23" s="251"/>
      <c r="AF23" s="251"/>
    </row>
    <row r="24" spans="1:32" s="176" customFormat="1" ht="69.95" customHeight="1" x14ac:dyDescent="0.15">
      <c r="A24" s="432"/>
      <c r="B24" s="239">
        <f>$I$6</f>
        <v>0</v>
      </c>
      <c r="C24" s="456">
        <f>$A$6</f>
        <v>0</v>
      </c>
      <c r="D24" s="456"/>
      <c r="E24" s="456"/>
      <c r="F24" s="456"/>
      <c r="G24" s="456"/>
      <c r="H24" s="456"/>
      <c r="I24" s="458"/>
      <c r="J24" s="240" t="s">
        <v>6</v>
      </c>
      <c r="K24" s="241"/>
      <c r="L24" s="168" t="s">
        <v>7</v>
      </c>
      <c r="M24" s="242">
        <f t="shared" si="4"/>
        <v>0</v>
      </c>
      <c r="N24" s="243"/>
      <c r="O24" s="253"/>
      <c r="P24" s="168" t="s">
        <v>7</v>
      </c>
      <c r="Q24" s="378"/>
      <c r="R24" s="254"/>
      <c r="S24" s="255" t="s">
        <v>7</v>
      </c>
      <c r="T24" s="245">
        <f t="shared" si="3"/>
        <v>0</v>
      </c>
      <c r="U24" s="256"/>
      <c r="V24" s="256"/>
      <c r="W24" s="257"/>
      <c r="X24" s="258"/>
      <c r="Y24" s="460"/>
      <c r="Z24" s="259"/>
      <c r="AA24" s="249"/>
      <c r="AB24" s="361"/>
      <c r="AC24" s="250"/>
      <c r="AD24" s="251"/>
      <c r="AE24" s="251"/>
      <c r="AF24" s="251"/>
    </row>
    <row r="25" spans="1:32" s="261" customFormat="1" ht="69.95" customHeight="1" x14ac:dyDescent="0.15">
      <c r="A25" s="431" t="s">
        <v>108</v>
      </c>
      <c r="B25" s="182">
        <f>$I$5</f>
        <v>551</v>
      </c>
      <c r="C25" s="461" t="str">
        <f>$A$5</f>
        <v>MG</v>
      </c>
      <c r="D25" s="461"/>
      <c r="E25" s="461"/>
      <c r="F25" s="461"/>
      <c r="G25" s="461"/>
      <c r="H25" s="461"/>
      <c r="I25" s="441" t="s">
        <v>8</v>
      </c>
      <c r="J25" s="76" t="s">
        <v>6</v>
      </c>
      <c r="K25" s="136">
        <v>0.15</v>
      </c>
      <c r="L25" s="77" t="s">
        <v>7</v>
      </c>
      <c r="M25" s="78">
        <f>K25*B25</f>
        <v>82.649999999999991</v>
      </c>
      <c r="N25" s="79"/>
      <c r="O25" s="78"/>
      <c r="P25" s="80" t="s">
        <v>7</v>
      </c>
      <c r="Q25" s="376">
        <v>46101</v>
      </c>
      <c r="R25" s="78">
        <v>83</v>
      </c>
      <c r="S25" s="80" t="s">
        <v>9</v>
      </c>
      <c r="T25" s="81">
        <f t="shared" si="3"/>
        <v>0.35000000000000853</v>
      </c>
      <c r="U25" s="82"/>
      <c r="V25" s="137"/>
      <c r="W25" s="78"/>
      <c r="X25" s="78"/>
      <c r="Y25" s="445" t="s">
        <v>59</v>
      </c>
      <c r="Z25" s="141"/>
      <c r="AA25" s="135"/>
      <c r="AB25" s="361"/>
    </row>
    <row r="26" spans="1:32" s="261" customFormat="1" ht="69.95" customHeight="1" x14ac:dyDescent="0.15">
      <c r="A26" s="432"/>
      <c r="B26" s="182">
        <f>$I$6</f>
        <v>0</v>
      </c>
      <c r="C26" s="461">
        <f>$A$6</f>
        <v>0</v>
      </c>
      <c r="D26" s="461"/>
      <c r="E26" s="461"/>
      <c r="F26" s="461"/>
      <c r="G26" s="461"/>
      <c r="H26" s="461"/>
      <c r="I26" s="442"/>
      <c r="J26" s="76" t="s">
        <v>6</v>
      </c>
      <c r="K26" s="83"/>
      <c r="L26" s="77" t="s">
        <v>7</v>
      </c>
      <c r="M26" s="78">
        <f>K26*B26</f>
        <v>0</v>
      </c>
      <c r="N26" s="79"/>
      <c r="O26" s="128"/>
      <c r="P26" s="77" t="s">
        <v>7</v>
      </c>
      <c r="Q26" s="378"/>
      <c r="R26" s="137"/>
      <c r="S26" s="75" t="s">
        <v>9</v>
      </c>
      <c r="T26" s="81">
        <f t="shared" si="3"/>
        <v>0</v>
      </c>
      <c r="U26" s="131"/>
      <c r="V26" s="131"/>
      <c r="W26" s="132"/>
      <c r="X26" s="133"/>
      <c r="Y26" s="446"/>
      <c r="Z26" s="134"/>
      <c r="AA26" s="135"/>
      <c r="AB26" s="362"/>
      <c r="AC26" s="462"/>
      <c r="AD26" s="463"/>
      <c r="AE26" s="463"/>
      <c r="AF26" s="463"/>
    </row>
    <row r="27" spans="1:32" s="203" customFormat="1" ht="69.95" customHeight="1" x14ac:dyDescent="0.15">
      <c r="A27" s="464" t="s">
        <v>77</v>
      </c>
      <c r="B27" s="191">
        <f>$I$5</f>
        <v>551</v>
      </c>
      <c r="C27" s="465" t="str">
        <f>$A$5</f>
        <v>MG</v>
      </c>
      <c r="D27" s="465"/>
      <c r="E27" s="465"/>
      <c r="F27" s="465"/>
      <c r="G27" s="465"/>
      <c r="H27" s="465"/>
      <c r="I27" s="433" t="s">
        <v>110</v>
      </c>
      <c r="J27" s="192"/>
      <c r="K27" s="209">
        <v>1.8</v>
      </c>
      <c r="L27" s="194" t="s">
        <v>7</v>
      </c>
      <c r="M27" s="195">
        <f>K27*B27/100</f>
        <v>9.918000000000001</v>
      </c>
      <c r="N27" s="196"/>
      <c r="O27" s="195"/>
      <c r="P27" s="197" t="s">
        <v>7</v>
      </c>
      <c r="Q27" s="435"/>
      <c r="R27" s="195"/>
      <c r="S27" s="197" t="s">
        <v>9</v>
      </c>
      <c r="T27" s="198">
        <f t="shared" si="3"/>
        <v>-9.918000000000001</v>
      </c>
      <c r="U27" s="199"/>
      <c r="V27" s="200"/>
      <c r="W27" s="195"/>
      <c r="X27" s="195"/>
      <c r="Y27" s="437" t="s">
        <v>94</v>
      </c>
      <c r="Z27" s="201"/>
      <c r="AA27" s="202"/>
      <c r="AB27" s="439"/>
    </row>
    <row r="28" spans="1:32" s="203" customFormat="1" ht="69.95" customHeight="1" thickBot="1" x14ac:dyDescent="0.2">
      <c r="A28" s="464"/>
      <c r="B28" s="191">
        <f>$I$6</f>
        <v>0</v>
      </c>
      <c r="C28" s="465">
        <f>$A$6</f>
        <v>0</v>
      </c>
      <c r="D28" s="465"/>
      <c r="E28" s="465"/>
      <c r="F28" s="465"/>
      <c r="G28" s="465"/>
      <c r="H28" s="465"/>
      <c r="I28" s="434"/>
      <c r="J28" s="192"/>
      <c r="K28" s="208">
        <v>1.8</v>
      </c>
      <c r="L28" s="194" t="s">
        <v>7</v>
      </c>
      <c r="M28" s="195">
        <f>K28*B28/100</f>
        <v>0</v>
      </c>
      <c r="N28" s="196"/>
      <c r="O28" s="210"/>
      <c r="P28" s="194" t="s">
        <v>7</v>
      </c>
      <c r="Q28" s="436"/>
      <c r="R28" s="200"/>
      <c r="S28" s="207" t="s">
        <v>9</v>
      </c>
      <c r="T28" s="198">
        <f t="shared" si="3"/>
        <v>0</v>
      </c>
      <c r="U28" s="211"/>
      <c r="V28" s="211"/>
      <c r="W28" s="212"/>
      <c r="X28" s="213"/>
      <c r="Y28" s="438"/>
      <c r="Z28" s="214"/>
      <c r="AA28" s="202"/>
      <c r="AB28" s="440"/>
      <c r="AC28" s="466"/>
      <c r="AD28" s="467"/>
      <c r="AE28" s="467"/>
      <c r="AF28" s="467"/>
    </row>
    <row r="29" spans="1:32" s="261" customFormat="1" ht="69.95" customHeight="1" thickTop="1" x14ac:dyDescent="0.15">
      <c r="A29" s="464" t="s">
        <v>86</v>
      </c>
      <c r="B29" s="182">
        <f>$I$5</f>
        <v>551</v>
      </c>
      <c r="C29" s="461" t="str">
        <f>$A$5</f>
        <v>MG</v>
      </c>
      <c r="D29" s="461"/>
      <c r="E29" s="461"/>
      <c r="F29" s="461"/>
      <c r="G29" s="461"/>
      <c r="H29" s="461"/>
      <c r="I29" s="441" t="s">
        <v>76</v>
      </c>
      <c r="J29" s="76"/>
      <c r="K29" s="136">
        <v>2.8</v>
      </c>
      <c r="L29" s="77" t="s">
        <v>7</v>
      </c>
      <c r="M29" s="78">
        <f>K29*B29/50</f>
        <v>30.855999999999998</v>
      </c>
      <c r="N29" s="79"/>
      <c r="O29" s="78"/>
      <c r="P29" s="80" t="s">
        <v>7</v>
      </c>
      <c r="Q29" s="443">
        <v>46101</v>
      </c>
      <c r="R29" s="78">
        <v>31</v>
      </c>
      <c r="S29" s="80" t="s">
        <v>9</v>
      </c>
      <c r="T29" s="81">
        <f t="shared" si="3"/>
        <v>0.1440000000000019</v>
      </c>
      <c r="U29" s="82"/>
      <c r="V29" s="137"/>
      <c r="W29" s="78"/>
      <c r="X29" s="78"/>
      <c r="Y29" s="445" t="s">
        <v>94</v>
      </c>
      <c r="Z29" s="141"/>
      <c r="AA29" s="135"/>
      <c r="AB29" s="566" t="s">
        <v>293</v>
      </c>
    </row>
    <row r="30" spans="1:32" s="261" customFormat="1" ht="69.95" customHeight="1" x14ac:dyDescent="0.15">
      <c r="A30" s="464"/>
      <c r="B30" s="182">
        <f>$I$6</f>
        <v>0</v>
      </c>
      <c r="C30" s="461">
        <f>$A$6</f>
        <v>0</v>
      </c>
      <c r="D30" s="461"/>
      <c r="E30" s="461"/>
      <c r="F30" s="461"/>
      <c r="G30" s="461"/>
      <c r="H30" s="461"/>
      <c r="I30" s="442"/>
      <c r="J30" s="76"/>
      <c r="K30" s="83"/>
      <c r="L30" s="77" t="s">
        <v>7</v>
      </c>
      <c r="M30" s="78">
        <f>K30*B30/50</f>
        <v>0</v>
      </c>
      <c r="N30" s="79"/>
      <c r="O30" s="128"/>
      <c r="P30" s="77" t="s">
        <v>7</v>
      </c>
      <c r="Q30" s="444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2"/>
      <c r="AC30" s="462"/>
      <c r="AD30" s="463"/>
      <c r="AE30" s="463"/>
      <c r="AF30" s="463"/>
    </row>
    <row r="31" spans="1:32" s="203" customFormat="1" ht="69.95" customHeight="1" x14ac:dyDescent="0.15">
      <c r="A31" s="464" t="s">
        <v>116</v>
      </c>
      <c r="B31" s="191">
        <f>$I$5</f>
        <v>551</v>
      </c>
      <c r="C31" s="465" t="str">
        <f>$A$5</f>
        <v>MG</v>
      </c>
      <c r="D31" s="465"/>
      <c r="E31" s="465"/>
      <c r="F31" s="465"/>
      <c r="G31" s="465"/>
      <c r="H31" s="465"/>
      <c r="I31" s="433" t="s">
        <v>76</v>
      </c>
      <c r="J31" s="192"/>
      <c r="K31" s="209">
        <v>2.4</v>
      </c>
      <c r="L31" s="194" t="s">
        <v>7</v>
      </c>
      <c r="M31" s="195">
        <f>K31*B31/50</f>
        <v>26.447999999999997</v>
      </c>
      <c r="N31" s="196"/>
      <c r="O31" s="195"/>
      <c r="P31" s="197" t="s">
        <v>7</v>
      </c>
      <c r="Q31" s="435"/>
      <c r="R31" s="195"/>
      <c r="S31" s="197" t="s">
        <v>9</v>
      </c>
      <c r="T31" s="198">
        <f t="shared" si="3"/>
        <v>-26.447999999999997</v>
      </c>
      <c r="U31" s="199"/>
      <c r="V31" s="200"/>
      <c r="W31" s="195"/>
      <c r="X31" s="195"/>
      <c r="Y31" s="437" t="s">
        <v>94</v>
      </c>
      <c r="Z31" s="201"/>
      <c r="AA31" s="202"/>
      <c r="AB31" s="439"/>
    </row>
    <row r="32" spans="1:32" s="203" customFormat="1" ht="69.95" customHeight="1" x14ac:dyDescent="0.15">
      <c r="A32" s="464"/>
      <c r="B32" s="191">
        <f>$I$6</f>
        <v>0</v>
      </c>
      <c r="C32" s="465">
        <f>$A$6</f>
        <v>0</v>
      </c>
      <c r="D32" s="465"/>
      <c r="E32" s="465"/>
      <c r="F32" s="465"/>
      <c r="G32" s="465"/>
      <c r="H32" s="465"/>
      <c r="I32" s="434"/>
      <c r="J32" s="192"/>
      <c r="K32" s="208">
        <v>2.4</v>
      </c>
      <c r="L32" s="194" t="s">
        <v>7</v>
      </c>
      <c r="M32" s="195">
        <f>K32*B32/50</f>
        <v>0</v>
      </c>
      <c r="N32" s="196"/>
      <c r="O32" s="210"/>
      <c r="P32" s="194" t="s">
        <v>7</v>
      </c>
      <c r="Q32" s="436"/>
      <c r="R32" s="200"/>
      <c r="S32" s="207" t="s">
        <v>9</v>
      </c>
      <c r="T32" s="198">
        <f t="shared" si="3"/>
        <v>0</v>
      </c>
      <c r="U32" s="211"/>
      <c r="V32" s="211"/>
      <c r="W32" s="212"/>
      <c r="X32" s="213"/>
      <c r="Y32" s="438"/>
      <c r="Z32" s="214"/>
      <c r="AA32" s="202"/>
      <c r="AB32" s="440"/>
      <c r="AC32" s="466"/>
      <c r="AD32" s="467"/>
      <c r="AE32" s="467"/>
      <c r="AF32" s="467"/>
    </row>
    <row r="33" spans="1:32" s="261" customFormat="1" ht="69.95" customHeight="1" x14ac:dyDescent="0.15">
      <c r="A33" s="431" t="s">
        <v>88</v>
      </c>
      <c r="B33" s="239">
        <f>$I$5</f>
        <v>551</v>
      </c>
      <c r="C33" s="371" t="str">
        <f>$A$5</f>
        <v>MG</v>
      </c>
      <c r="D33" s="372"/>
      <c r="E33" s="373"/>
      <c r="F33" s="371" t="str">
        <f>$A$5</f>
        <v>MG</v>
      </c>
      <c r="G33" s="372"/>
      <c r="H33" s="373"/>
      <c r="I33" s="457" t="s">
        <v>62</v>
      </c>
      <c r="J33" s="240"/>
      <c r="K33" s="263">
        <v>150</v>
      </c>
      <c r="L33" s="168" t="s">
        <v>61</v>
      </c>
      <c r="M33" s="242">
        <f t="shared" ref="M33:M34" si="5">K33*B33/2500</f>
        <v>33.06</v>
      </c>
      <c r="N33" s="243"/>
      <c r="O33" s="242"/>
      <c r="P33" s="244" t="s">
        <v>10</v>
      </c>
      <c r="Q33" s="325"/>
      <c r="R33" s="242">
        <v>34</v>
      </c>
      <c r="S33" s="244" t="s">
        <v>10</v>
      </c>
      <c r="T33" s="245">
        <f>R33-M33</f>
        <v>0.93999999999999773</v>
      </c>
      <c r="U33" s="246"/>
      <c r="V33" s="247"/>
      <c r="W33" s="242"/>
      <c r="X33" s="242"/>
      <c r="Y33" s="459" t="s">
        <v>94</v>
      </c>
      <c r="Z33" s="260"/>
      <c r="AA33" s="249"/>
      <c r="AB33" s="448" t="s">
        <v>320</v>
      </c>
    </row>
    <row r="34" spans="1:32" s="176" customFormat="1" ht="69.95" customHeight="1" x14ac:dyDescent="0.15">
      <c r="A34" s="432"/>
      <c r="B34" s="264">
        <f>$I$6</f>
        <v>0</v>
      </c>
      <c r="C34" s="371">
        <f>$A$6</f>
        <v>0</v>
      </c>
      <c r="D34" s="372"/>
      <c r="E34" s="373"/>
      <c r="F34" s="371">
        <f>$A$6</f>
        <v>0</v>
      </c>
      <c r="G34" s="372"/>
      <c r="H34" s="373"/>
      <c r="I34" s="458"/>
      <c r="J34" s="265"/>
      <c r="K34" s="263"/>
      <c r="L34" s="266" t="s">
        <v>61</v>
      </c>
      <c r="M34" s="242">
        <f t="shared" si="5"/>
        <v>0</v>
      </c>
      <c r="N34" s="267"/>
      <c r="O34" s="268"/>
      <c r="P34" s="266" t="s">
        <v>10</v>
      </c>
      <c r="Q34" s="326"/>
      <c r="R34" s="269"/>
      <c r="S34" s="252" t="s">
        <v>10</v>
      </c>
      <c r="T34" s="270">
        <f>R34-M34</f>
        <v>0</v>
      </c>
      <c r="U34" s="271"/>
      <c r="V34" s="271"/>
      <c r="W34" s="272"/>
      <c r="X34" s="273"/>
      <c r="Y34" s="460"/>
      <c r="Z34" s="274"/>
      <c r="AA34" s="275"/>
      <c r="AB34" s="449"/>
      <c r="AC34" s="590"/>
      <c r="AD34" s="591"/>
      <c r="AE34" s="591"/>
      <c r="AF34" s="591"/>
    </row>
    <row r="35" spans="1:32" s="261" customFormat="1" ht="69.95" customHeight="1" x14ac:dyDescent="0.15">
      <c r="A35" s="431" t="s">
        <v>147</v>
      </c>
      <c r="B35" s="239">
        <f>$I$5</f>
        <v>551</v>
      </c>
      <c r="C35" s="371" t="str">
        <f>$A$5</f>
        <v>MG</v>
      </c>
      <c r="D35" s="372"/>
      <c r="E35" s="373"/>
      <c r="F35" s="371" t="str">
        <f>$A$5</f>
        <v>MG</v>
      </c>
      <c r="G35" s="372"/>
      <c r="H35" s="373"/>
      <c r="I35" s="457" t="s">
        <v>60</v>
      </c>
      <c r="J35" s="240"/>
      <c r="K35" s="263">
        <v>220</v>
      </c>
      <c r="L35" s="168" t="s">
        <v>61</v>
      </c>
      <c r="M35" s="242">
        <f t="shared" ref="M35:M36" si="6">K35*B35/4000</f>
        <v>30.305</v>
      </c>
      <c r="N35" s="243"/>
      <c r="O35" s="242"/>
      <c r="P35" s="244" t="s">
        <v>10</v>
      </c>
      <c r="Q35" s="326"/>
      <c r="R35" s="242">
        <v>31</v>
      </c>
      <c r="S35" s="244" t="s">
        <v>10</v>
      </c>
      <c r="T35" s="245">
        <f t="shared" si="3"/>
        <v>0.69500000000000028</v>
      </c>
      <c r="U35" s="246"/>
      <c r="V35" s="247"/>
      <c r="W35" s="242"/>
      <c r="X35" s="242"/>
      <c r="Y35" s="459" t="s">
        <v>94</v>
      </c>
      <c r="Z35" s="260"/>
      <c r="AA35" s="249"/>
      <c r="AB35" s="449"/>
    </row>
    <row r="36" spans="1:32" s="176" customFormat="1" ht="69.95" customHeight="1" x14ac:dyDescent="0.15">
      <c r="A36" s="432"/>
      <c r="B36" s="264">
        <f>$I$6</f>
        <v>0</v>
      </c>
      <c r="C36" s="371">
        <f>$A$6</f>
        <v>0</v>
      </c>
      <c r="D36" s="372"/>
      <c r="E36" s="373"/>
      <c r="F36" s="371">
        <f>$A$6</f>
        <v>0</v>
      </c>
      <c r="G36" s="372"/>
      <c r="H36" s="373"/>
      <c r="I36" s="458"/>
      <c r="J36" s="265"/>
      <c r="K36" s="263"/>
      <c r="L36" s="266" t="s">
        <v>61</v>
      </c>
      <c r="M36" s="242">
        <f t="shared" si="6"/>
        <v>0</v>
      </c>
      <c r="N36" s="267"/>
      <c r="O36" s="268"/>
      <c r="P36" s="266" t="s">
        <v>10</v>
      </c>
      <c r="Q36" s="326"/>
      <c r="R36" s="269"/>
      <c r="S36" s="252" t="s">
        <v>10</v>
      </c>
      <c r="T36" s="270">
        <f t="shared" si="3"/>
        <v>0</v>
      </c>
      <c r="U36" s="271"/>
      <c r="V36" s="271"/>
      <c r="W36" s="272"/>
      <c r="X36" s="273"/>
      <c r="Y36" s="460"/>
      <c r="Z36" s="274"/>
      <c r="AA36" s="275"/>
      <c r="AB36" s="449"/>
      <c r="AC36" s="592"/>
      <c r="AD36" s="593"/>
      <c r="AE36" s="593"/>
      <c r="AF36" s="593"/>
    </row>
    <row r="37" spans="1:32" s="261" customFormat="1" ht="69.95" customHeight="1" x14ac:dyDescent="0.15">
      <c r="A37" s="431" t="s">
        <v>313</v>
      </c>
      <c r="B37" s="182">
        <f>$I$5</f>
        <v>551</v>
      </c>
      <c r="C37" s="461" t="str">
        <f>$A$5</f>
        <v>MG</v>
      </c>
      <c r="D37" s="461"/>
      <c r="E37" s="461"/>
      <c r="F37" s="461" t="str">
        <f>$A$5</f>
        <v>MG</v>
      </c>
      <c r="G37" s="461"/>
      <c r="H37" s="461"/>
      <c r="I37" s="457" t="s">
        <v>60</v>
      </c>
      <c r="J37" s="76"/>
      <c r="K37" s="139">
        <v>20</v>
      </c>
      <c r="L37" s="77" t="s">
        <v>61</v>
      </c>
      <c r="M37" s="78">
        <f>K37*B37/4000</f>
        <v>2.7549999999999999</v>
      </c>
      <c r="N37" s="79"/>
      <c r="O37" s="78"/>
      <c r="P37" s="80" t="s">
        <v>10</v>
      </c>
      <c r="Q37" s="328"/>
      <c r="R37" s="78">
        <v>3</v>
      </c>
      <c r="S37" s="80" t="s">
        <v>10</v>
      </c>
      <c r="T37" s="81">
        <f t="shared" si="3"/>
        <v>0.24500000000000011</v>
      </c>
      <c r="U37" s="82"/>
      <c r="V37" s="137"/>
      <c r="W37" s="78"/>
      <c r="X37" s="78"/>
      <c r="Y37" s="445" t="s">
        <v>94</v>
      </c>
      <c r="Z37" s="141"/>
      <c r="AA37" s="135"/>
      <c r="AB37" s="449"/>
    </row>
    <row r="38" spans="1:32" s="176" customFormat="1" ht="69.95" customHeight="1" x14ac:dyDescent="0.15">
      <c r="A38" s="432"/>
      <c r="B38" s="186">
        <f>$I$6</f>
        <v>0</v>
      </c>
      <c r="C38" s="395">
        <f>$A$6</f>
        <v>0</v>
      </c>
      <c r="D38" s="396"/>
      <c r="E38" s="397"/>
      <c r="F38" s="395">
        <f>$A$6</f>
        <v>0</v>
      </c>
      <c r="G38" s="396"/>
      <c r="H38" s="397"/>
      <c r="I38" s="458"/>
      <c r="J38" s="144"/>
      <c r="K38" s="139"/>
      <c r="L38" s="145" t="s">
        <v>61</v>
      </c>
      <c r="M38" s="78">
        <f>K38*B38/4000</f>
        <v>0</v>
      </c>
      <c r="N38" s="146"/>
      <c r="O38" s="147"/>
      <c r="P38" s="145" t="s">
        <v>10</v>
      </c>
      <c r="Q38" s="328"/>
      <c r="R38" s="161"/>
      <c r="S38" s="148" t="s">
        <v>10</v>
      </c>
      <c r="T38" s="84">
        <f t="shared" si="3"/>
        <v>0</v>
      </c>
      <c r="U38" s="149"/>
      <c r="V38" s="149"/>
      <c r="W38" s="150"/>
      <c r="X38" s="151"/>
      <c r="Y38" s="446"/>
      <c r="Z38" s="216"/>
      <c r="AA38" s="217"/>
      <c r="AB38" s="449"/>
      <c r="AC38" s="451"/>
      <c r="AD38" s="452"/>
      <c r="AE38" s="452"/>
      <c r="AF38" s="452"/>
    </row>
    <row r="39" spans="1:32" s="261" customFormat="1" ht="69.95" customHeight="1" x14ac:dyDescent="0.15">
      <c r="A39" s="431" t="s">
        <v>305</v>
      </c>
      <c r="B39" s="191">
        <f>$I$5</f>
        <v>551</v>
      </c>
      <c r="C39" s="422" t="str">
        <f>$A$5</f>
        <v>MG</v>
      </c>
      <c r="D39" s="423"/>
      <c r="E39" s="424"/>
      <c r="F39" s="422"/>
      <c r="G39" s="423"/>
      <c r="H39" s="424"/>
      <c r="I39" s="433"/>
      <c r="J39" s="192"/>
      <c r="K39" s="193">
        <v>30</v>
      </c>
      <c r="L39" s="194" t="s">
        <v>61</v>
      </c>
      <c r="M39" s="195"/>
      <c r="N39" s="196"/>
      <c r="O39" s="195"/>
      <c r="P39" s="197" t="s">
        <v>10</v>
      </c>
      <c r="Q39" s="307"/>
      <c r="R39" s="195"/>
      <c r="S39" s="197" t="s">
        <v>10</v>
      </c>
      <c r="T39" s="198">
        <f t="shared" si="3"/>
        <v>0</v>
      </c>
      <c r="U39" s="199"/>
      <c r="V39" s="200"/>
      <c r="W39" s="195"/>
      <c r="X39" s="195"/>
      <c r="Y39" s="437" t="s">
        <v>94</v>
      </c>
      <c r="Z39" s="201"/>
      <c r="AA39" s="202"/>
      <c r="AB39" s="327"/>
    </row>
    <row r="40" spans="1:32" s="176" customFormat="1" ht="69.95" customHeight="1" x14ac:dyDescent="0.15">
      <c r="A40" s="432"/>
      <c r="B40" s="204">
        <f>$I$6</f>
        <v>0</v>
      </c>
      <c r="C40" s="422">
        <f>$A$6</f>
        <v>0</v>
      </c>
      <c r="D40" s="423"/>
      <c r="E40" s="424"/>
      <c r="F40" s="422"/>
      <c r="G40" s="423"/>
      <c r="H40" s="424"/>
      <c r="I40" s="434"/>
      <c r="J40" s="218"/>
      <c r="K40" s="193">
        <v>30</v>
      </c>
      <c r="L40" s="219" t="s">
        <v>61</v>
      </c>
      <c r="M40" s="195"/>
      <c r="N40" s="220"/>
      <c r="O40" s="221"/>
      <c r="P40" s="219" t="s">
        <v>10</v>
      </c>
      <c r="Q40" s="307"/>
      <c r="R40" s="222"/>
      <c r="S40" s="197" t="s">
        <v>10</v>
      </c>
      <c r="T40" s="205">
        <f t="shared" si="3"/>
        <v>0</v>
      </c>
      <c r="U40" s="223"/>
      <c r="V40" s="223"/>
      <c r="W40" s="224"/>
      <c r="X40" s="225"/>
      <c r="Y40" s="438"/>
      <c r="Z40" s="226"/>
      <c r="AA40" s="227"/>
      <c r="AB40" s="327"/>
      <c r="AC40" s="590"/>
      <c r="AD40" s="591"/>
      <c r="AE40" s="591"/>
      <c r="AF40" s="591"/>
    </row>
    <row r="41" spans="1:32" s="55" customFormat="1" ht="69.95" customHeight="1" x14ac:dyDescent="0.15">
      <c r="A41" s="431" t="s">
        <v>123</v>
      </c>
      <c r="B41" s="182">
        <f t="shared" ref="B41:B59" si="7">$I$5</f>
        <v>551</v>
      </c>
      <c r="C41" s="368" t="str">
        <f t="shared" ref="C41:C59" si="8">$A$5</f>
        <v>MG</v>
      </c>
      <c r="D41" s="369"/>
      <c r="E41" s="370"/>
      <c r="F41" s="428"/>
      <c r="G41" s="429"/>
      <c r="H41" s="430"/>
      <c r="I41" s="75" t="s">
        <v>101</v>
      </c>
      <c r="J41" s="76"/>
      <c r="K41" s="139">
        <v>1</v>
      </c>
      <c r="L41" s="77" t="s">
        <v>63</v>
      </c>
      <c r="M41" s="78">
        <f>K41*B41</f>
        <v>551</v>
      </c>
      <c r="N41" s="79"/>
      <c r="O41" s="78"/>
      <c r="P41" s="80" t="s">
        <v>63</v>
      </c>
      <c r="Q41" s="377">
        <v>46101</v>
      </c>
      <c r="R41" s="78">
        <v>551</v>
      </c>
      <c r="S41" s="80" t="s">
        <v>63</v>
      </c>
      <c r="T41" s="84">
        <f t="shared" si="3"/>
        <v>0</v>
      </c>
      <c r="U41" s="82"/>
      <c r="V41" s="82"/>
      <c r="W41" s="83"/>
      <c r="X41" s="81"/>
      <c r="Y41" s="445" t="s">
        <v>94</v>
      </c>
      <c r="Z41" s="86"/>
      <c r="AA41" s="85"/>
      <c r="AB41" s="449" t="s">
        <v>320</v>
      </c>
    </row>
    <row r="42" spans="1:32" s="55" customFormat="1" ht="69.95" customHeight="1" x14ac:dyDescent="0.15">
      <c r="A42" s="432"/>
      <c r="B42" s="186">
        <f>$I$6</f>
        <v>0</v>
      </c>
      <c r="C42" s="368">
        <f>$A$6</f>
        <v>0</v>
      </c>
      <c r="D42" s="369"/>
      <c r="E42" s="370"/>
      <c r="F42" s="428"/>
      <c r="G42" s="429"/>
      <c r="H42" s="430"/>
      <c r="I42" s="75" t="s">
        <v>101</v>
      </c>
      <c r="J42" s="76"/>
      <c r="K42" s="139"/>
      <c r="L42" s="77" t="s">
        <v>63</v>
      </c>
      <c r="M42" s="78">
        <f>K42*B42</f>
        <v>0</v>
      </c>
      <c r="N42" s="140"/>
      <c r="O42" s="78"/>
      <c r="P42" s="80" t="s">
        <v>63</v>
      </c>
      <c r="Q42" s="377"/>
      <c r="R42" s="78"/>
      <c r="S42" s="80" t="s">
        <v>63</v>
      </c>
      <c r="T42" s="81">
        <f t="shared" si="3"/>
        <v>0</v>
      </c>
      <c r="U42" s="82"/>
      <c r="V42" s="137"/>
      <c r="W42" s="78"/>
      <c r="X42" s="78"/>
      <c r="Y42" s="446"/>
      <c r="Z42" s="141"/>
      <c r="AA42" s="135"/>
      <c r="AB42" s="449"/>
      <c r="AC42" s="142"/>
      <c r="AD42" s="179"/>
      <c r="AE42" s="179"/>
      <c r="AF42" s="179"/>
    </row>
    <row r="43" spans="1:32" s="55" customFormat="1" ht="69.95" customHeight="1" x14ac:dyDescent="0.15">
      <c r="A43" s="431" t="s">
        <v>136</v>
      </c>
      <c r="B43" s="182">
        <f t="shared" ref="B43" si="9">$I$5</f>
        <v>551</v>
      </c>
      <c r="C43" s="368" t="str">
        <f t="shared" ref="C43" si="10">$A$5</f>
        <v>MG</v>
      </c>
      <c r="D43" s="369"/>
      <c r="E43" s="370"/>
      <c r="F43" s="428"/>
      <c r="G43" s="429"/>
      <c r="H43" s="430"/>
      <c r="I43" s="75"/>
      <c r="J43" s="76"/>
      <c r="K43" s="139">
        <v>1</v>
      </c>
      <c r="L43" s="77" t="s">
        <v>65</v>
      </c>
      <c r="M43" s="78">
        <f>K43*B43</f>
        <v>551</v>
      </c>
      <c r="N43" s="79"/>
      <c r="O43" s="78"/>
      <c r="P43" s="80" t="s">
        <v>65</v>
      </c>
      <c r="Q43" s="377"/>
      <c r="R43" s="78">
        <v>551</v>
      </c>
      <c r="S43" s="80" t="s">
        <v>65</v>
      </c>
      <c r="T43" s="84">
        <f t="shared" si="3"/>
        <v>0</v>
      </c>
      <c r="U43" s="82"/>
      <c r="V43" s="82"/>
      <c r="W43" s="83"/>
      <c r="X43" s="81"/>
      <c r="Y43" s="445" t="s">
        <v>94</v>
      </c>
      <c r="Z43" s="86"/>
      <c r="AA43" s="85"/>
      <c r="AB43" s="449"/>
    </row>
    <row r="44" spans="1:32" s="55" customFormat="1" ht="69.95" customHeight="1" x14ac:dyDescent="0.15">
      <c r="A44" s="432"/>
      <c r="B44" s="186">
        <f>$I$6</f>
        <v>0</v>
      </c>
      <c r="C44" s="368">
        <f>$A$6</f>
        <v>0</v>
      </c>
      <c r="D44" s="369"/>
      <c r="E44" s="370"/>
      <c r="F44" s="428"/>
      <c r="G44" s="429"/>
      <c r="H44" s="430"/>
      <c r="I44" s="75"/>
      <c r="J44" s="76"/>
      <c r="K44" s="139"/>
      <c r="L44" s="77" t="s">
        <v>65</v>
      </c>
      <c r="M44" s="78">
        <f>K44*B44</f>
        <v>0</v>
      </c>
      <c r="N44" s="140"/>
      <c r="O44" s="78"/>
      <c r="P44" s="80" t="s">
        <v>65</v>
      </c>
      <c r="Q44" s="378"/>
      <c r="R44" s="78"/>
      <c r="S44" s="80" t="s">
        <v>65</v>
      </c>
      <c r="T44" s="81">
        <f t="shared" si="3"/>
        <v>0</v>
      </c>
      <c r="U44" s="82"/>
      <c r="V44" s="137"/>
      <c r="W44" s="78"/>
      <c r="X44" s="78"/>
      <c r="Y44" s="446"/>
      <c r="Z44" s="141"/>
      <c r="AA44" s="135"/>
      <c r="AB44" s="450"/>
      <c r="AC44" s="142"/>
      <c r="AD44" s="179"/>
      <c r="AE44" s="179"/>
      <c r="AF44" s="179"/>
    </row>
    <row r="45" spans="1:32" s="206" customFormat="1" ht="69.95" customHeight="1" x14ac:dyDescent="0.15">
      <c r="A45" s="431" t="s">
        <v>117</v>
      </c>
      <c r="B45" s="191">
        <f t="shared" ref="B45:B47" si="11">$I$5</f>
        <v>551</v>
      </c>
      <c r="C45" s="422" t="str">
        <f t="shared" ref="C45:C47" si="12">$A$5</f>
        <v>MG</v>
      </c>
      <c r="D45" s="423"/>
      <c r="E45" s="424"/>
      <c r="F45" s="425"/>
      <c r="G45" s="423"/>
      <c r="H45" s="424"/>
      <c r="I45" s="433" t="s">
        <v>80</v>
      </c>
      <c r="J45" s="192"/>
      <c r="K45" s="193">
        <v>1</v>
      </c>
      <c r="L45" s="194" t="s">
        <v>65</v>
      </c>
      <c r="M45" s="195">
        <f t="shared" ref="M45:M60" si="13">K45*B45</f>
        <v>551</v>
      </c>
      <c r="N45" s="196"/>
      <c r="O45" s="195"/>
      <c r="P45" s="194" t="s">
        <v>65</v>
      </c>
      <c r="Q45" s="435"/>
      <c r="R45" s="195"/>
      <c r="S45" s="194" t="s">
        <v>65</v>
      </c>
      <c r="T45" s="205">
        <f t="shared" si="3"/>
        <v>-551</v>
      </c>
      <c r="U45" s="199"/>
      <c r="V45" s="199"/>
      <c r="W45" s="208"/>
      <c r="X45" s="198"/>
      <c r="Y45" s="437" t="s">
        <v>57</v>
      </c>
      <c r="Z45" s="231"/>
      <c r="AA45" s="232"/>
      <c r="AB45" s="439"/>
    </row>
    <row r="46" spans="1:32" s="206" customFormat="1" ht="69.95" customHeight="1" x14ac:dyDescent="0.15">
      <c r="A46" s="432"/>
      <c r="B46" s="204">
        <f>$I$6</f>
        <v>0</v>
      </c>
      <c r="C46" s="453">
        <f>$A$6</f>
        <v>0</v>
      </c>
      <c r="D46" s="454"/>
      <c r="E46" s="455"/>
      <c r="F46" s="425"/>
      <c r="G46" s="423"/>
      <c r="H46" s="424"/>
      <c r="I46" s="434"/>
      <c r="J46" s="192"/>
      <c r="K46" s="193">
        <v>1</v>
      </c>
      <c r="L46" s="194" t="s">
        <v>65</v>
      </c>
      <c r="M46" s="195">
        <f t="shared" si="13"/>
        <v>0</v>
      </c>
      <c r="N46" s="233"/>
      <c r="O46" s="195"/>
      <c r="P46" s="194" t="s">
        <v>65</v>
      </c>
      <c r="Q46" s="436"/>
      <c r="R46" s="195"/>
      <c r="S46" s="194" t="s">
        <v>65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440"/>
      <c r="AC46" s="234"/>
      <c r="AD46" s="230"/>
      <c r="AE46" s="230"/>
      <c r="AF46" s="230"/>
    </row>
    <row r="47" spans="1:32" s="206" customFormat="1" ht="69.95" customHeight="1" x14ac:dyDescent="0.15">
      <c r="A47" s="431" t="s">
        <v>78</v>
      </c>
      <c r="B47" s="191">
        <f t="shared" si="11"/>
        <v>551</v>
      </c>
      <c r="C47" s="422" t="str">
        <f t="shared" si="12"/>
        <v>MG</v>
      </c>
      <c r="D47" s="423"/>
      <c r="E47" s="424"/>
      <c r="F47" s="425"/>
      <c r="G47" s="423"/>
      <c r="H47" s="424"/>
      <c r="I47" s="207"/>
      <c r="J47" s="192"/>
      <c r="K47" s="193">
        <v>1</v>
      </c>
      <c r="L47" s="194" t="s">
        <v>65</v>
      </c>
      <c r="M47" s="195">
        <f t="shared" si="13"/>
        <v>551</v>
      </c>
      <c r="N47" s="196"/>
      <c r="O47" s="195"/>
      <c r="P47" s="194" t="s">
        <v>65</v>
      </c>
      <c r="Q47" s="435"/>
      <c r="R47" s="195"/>
      <c r="S47" s="194" t="s">
        <v>65</v>
      </c>
      <c r="T47" s="205">
        <f t="shared" si="3"/>
        <v>-551</v>
      </c>
      <c r="U47" s="199"/>
      <c r="V47" s="199"/>
      <c r="W47" s="208"/>
      <c r="X47" s="198"/>
      <c r="Y47" s="437" t="s">
        <v>57</v>
      </c>
      <c r="Z47" s="231"/>
      <c r="AA47" s="232"/>
      <c r="AB47" s="439"/>
    </row>
    <row r="48" spans="1:32" s="206" customFormat="1" ht="69.95" customHeight="1" x14ac:dyDescent="0.15">
      <c r="A48" s="432"/>
      <c r="B48" s="204">
        <f>$I$6</f>
        <v>0</v>
      </c>
      <c r="C48" s="453">
        <f>$A$6</f>
        <v>0</v>
      </c>
      <c r="D48" s="454"/>
      <c r="E48" s="455"/>
      <c r="F48" s="425"/>
      <c r="G48" s="423"/>
      <c r="H48" s="424"/>
      <c r="I48" s="207"/>
      <c r="J48" s="192"/>
      <c r="K48" s="193">
        <v>1</v>
      </c>
      <c r="L48" s="194" t="s">
        <v>65</v>
      </c>
      <c r="M48" s="195">
        <f t="shared" si="13"/>
        <v>0</v>
      </c>
      <c r="N48" s="233"/>
      <c r="O48" s="195"/>
      <c r="P48" s="194" t="s">
        <v>65</v>
      </c>
      <c r="Q48" s="436"/>
      <c r="R48" s="195"/>
      <c r="S48" s="194" t="s">
        <v>65</v>
      </c>
      <c r="T48" s="198">
        <f t="shared" si="3"/>
        <v>0</v>
      </c>
      <c r="U48" s="199"/>
      <c r="V48" s="200"/>
      <c r="W48" s="195"/>
      <c r="X48" s="195"/>
      <c r="Y48" s="438"/>
      <c r="Z48" s="201"/>
      <c r="AA48" s="202"/>
      <c r="AB48" s="440"/>
      <c r="AC48" s="234"/>
      <c r="AD48" s="230"/>
      <c r="AE48" s="230"/>
      <c r="AF48" s="230"/>
    </row>
    <row r="49" spans="1:32" s="55" customFormat="1" ht="69.95" customHeight="1" x14ac:dyDescent="0.15">
      <c r="A49" s="431" t="s">
        <v>146</v>
      </c>
      <c r="B49" s="191">
        <f t="shared" ref="B49:B51" si="14">$I$5</f>
        <v>551</v>
      </c>
      <c r="C49" s="422" t="str">
        <f t="shared" ref="C49:C51" si="15">$A$5</f>
        <v>MG</v>
      </c>
      <c r="D49" s="423"/>
      <c r="E49" s="424"/>
      <c r="F49" s="425"/>
      <c r="G49" s="426"/>
      <c r="H49" s="427"/>
      <c r="I49" s="433" t="s">
        <v>306</v>
      </c>
      <c r="J49" s="192"/>
      <c r="K49" s="209">
        <v>0.5</v>
      </c>
      <c r="L49" s="194" t="s">
        <v>129</v>
      </c>
      <c r="M49" s="195">
        <f t="shared" si="13"/>
        <v>275.5</v>
      </c>
      <c r="N49" s="196"/>
      <c r="O49" s="195"/>
      <c r="P49" s="197" t="s">
        <v>63</v>
      </c>
      <c r="Q49" s="435"/>
      <c r="R49" s="195"/>
      <c r="S49" s="197" t="s">
        <v>63</v>
      </c>
      <c r="T49" s="205">
        <f t="shared" si="3"/>
        <v>-275.5</v>
      </c>
      <c r="U49" s="199"/>
      <c r="V49" s="199"/>
      <c r="W49" s="208"/>
      <c r="X49" s="198"/>
      <c r="Y49" s="437" t="s">
        <v>130</v>
      </c>
      <c r="Z49" s="231"/>
      <c r="AA49" s="232"/>
      <c r="AB49" s="439"/>
    </row>
    <row r="50" spans="1:32" s="55" customFormat="1" ht="69.95" customHeight="1" x14ac:dyDescent="0.15">
      <c r="A50" s="432"/>
      <c r="B50" s="204">
        <f>$I$6</f>
        <v>0</v>
      </c>
      <c r="C50" s="422">
        <f>$A$6</f>
        <v>0</v>
      </c>
      <c r="D50" s="423"/>
      <c r="E50" s="424"/>
      <c r="F50" s="425"/>
      <c r="G50" s="426"/>
      <c r="H50" s="427"/>
      <c r="I50" s="434"/>
      <c r="J50" s="192"/>
      <c r="K50" s="304">
        <v>0.5</v>
      </c>
      <c r="L50" s="194" t="s">
        <v>129</v>
      </c>
      <c r="M50" s="195">
        <f t="shared" si="13"/>
        <v>0</v>
      </c>
      <c r="N50" s="233"/>
      <c r="O50" s="195"/>
      <c r="P50" s="197" t="s">
        <v>63</v>
      </c>
      <c r="Q50" s="561"/>
      <c r="R50" s="195"/>
      <c r="S50" s="197" t="s">
        <v>63</v>
      </c>
      <c r="T50" s="198">
        <f t="shared" si="3"/>
        <v>0</v>
      </c>
      <c r="U50" s="199"/>
      <c r="V50" s="200"/>
      <c r="W50" s="195"/>
      <c r="X50" s="195"/>
      <c r="Y50" s="438"/>
      <c r="Z50" s="201"/>
      <c r="AA50" s="202"/>
      <c r="AB50" s="558"/>
      <c r="AC50" s="142"/>
      <c r="AD50" s="179"/>
      <c r="AE50" s="179"/>
      <c r="AF50" s="179"/>
    </row>
    <row r="51" spans="1:32" s="55" customFormat="1" ht="69.95" customHeight="1" x14ac:dyDescent="0.15">
      <c r="A51" s="431" t="s">
        <v>141</v>
      </c>
      <c r="B51" s="191">
        <f t="shared" si="14"/>
        <v>551</v>
      </c>
      <c r="C51" s="422" t="str">
        <f t="shared" si="15"/>
        <v>MG</v>
      </c>
      <c r="D51" s="423"/>
      <c r="E51" s="424"/>
      <c r="F51" s="425"/>
      <c r="G51" s="426"/>
      <c r="H51" s="427"/>
      <c r="I51" s="433" t="s">
        <v>306</v>
      </c>
      <c r="J51" s="192"/>
      <c r="K51" s="209">
        <v>0.5</v>
      </c>
      <c r="L51" s="194" t="s">
        <v>129</v>
      </c>
      <c r="M51" s="195">
        <f t="shared" si="13"/>
        <v>275.5</v>
      </c>
      <c r="N51" s="196"/>
      <c r="O51" s="195"/>
      <c r="P51" s="197" t="s">
        <v>63</v>
      </c>
      <c r="Q51" s="561"/>
      <c r="R51" s="195"/>
      <c r="S51" s="197" t="s">
        <v>63</v>
      </c>
      <c r="T51" s="205">
        <f t="shared" si="3"/>
        <v>-275.5</v>
      </c>
      <c r="U51" s="199"/>
      <c r="V51" s="199"/>
      <c r="W51" s="208"/>
      <c r="X51" s="198"/>
      <c r="Y51" s="437" t="s">
        <v>130</v>
      </c>
      <c r="Z51" s="231"/>
      <c r="AA51" s="232"/>
      <c r="AB51" s="558"/>
    </row>
    <row r="52" spans="1:32" s="55" customFormat="1" ht="69.95" customHeight="1" x14ac:dyDescent="0.15">
      <c r="A52" s="432"/>
      <c r="B52" s="204">
        <f>$I$6</f>
        <v>0</v>
      </c>
      <c r="C52" s="422">
        <f>$A$6</f>
        <v>0</v>
      </c>
      <c r="D52" s="423"/>
      <c r="E52" s="424"/>
      <c r="F52" s="425"/>
      <c r="G52" s="426"/>
      <c r="H52" s="427"/>
      <c r="I52" s="434"/>
      <c r="J52" s="192"/>
      <c r="K52" s="304">
        <v>0.5</v>
      </c>
      <c r="L52" s="194" t="s">
        <v>129</v>
      </c>
      <c r="M52" s="195">
        <f t="shared" si="13"/>
        <v>0</v>
      </c>
      <c r="N52" s="233"/>
      <c r="O52" s="195"/>
      <c r="P52" s="197" t="s">
        <v>63</v>
      </c>
      <c r="Q52" s="436"/>
      <c r="R52" s="195"/>
      <c r="S52" s="197" t="s">
        <v>63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  <c r="AC52" s="142"/>
      <c r="AD52" s="179"/>
      <c r="AE52" s="179"/>
      <c r="AF52" s="179"/>
    </row>
    <row r="53" spans="1:32" s="55" customFormat="1" ht="69.95" customHeight="1" x14ac:dyDescent="0.15">
      <c r="A53" s="431" t="s">
        <v>134</v>
      </c>
      <c r="B53" s="191">
        <f t="shared" ref="B53" si="16">$I$5</f>
        <v>551</v>
      </c>
      <c r="C53" s="422" t="str">
        <f t="shared" ref="C53" si="17">$A$5</f>
        <v>MG</v>
      </c>
      <c r="D53" s="423"/>
      <c r="E53" s="424"/>
      <c r="F53" s="425"/>
      <c r="G53" s="426"/>
      <c r="H53" s="427"/>
      <c r="I53" s="207"/>
      <c r="J53" s="192"/>
      <c r="K53" s="193">
        <v>1</v>
      </c>
      <c r="L53" s="194" t="s">
        <v>65</v>
      </c>
      <c r="M53" s="195">
        <f t="shared" si="13"/>
        <v>551</v>
      </c>
      <c r="N53" s="196"/>
      <c r="O53" s="195"/>
      <c r="P53" s="197" t="s">
        <v>65</v>
      </c>
      <c r="Q53" s="435"/>
      <c r="R53" s="195"/>
      <c r="S53" s="197" t="s">
        <v>65</v>
      </c>
      <c r="T53" s="205">
        <f t="shared" si="3"/>
        <v>-551</v>
      </c>
      <c r="U53" s="199"/>
      <c r="V53" s="199"/>
      <c r="W53" s="208"/>
      <c r="X53" s="198"/>
      <c r="Y53" s="437" t="s">
        <v>135</v>
      </c>
      <c r="Z53" s="231"/>
      <c r="AA53" s="232"/>
      <c r="AB53" s="439"/>
    </row>
    <row r="54" spans="1:32" s="55" customFormat="1" ht="69.95" customHeight="1" x14ac:dyDescent="0.15">
      <c r="A54" s="432"/>
      <c r="B54" s="204">
        <f>$I$6</f>
        <v>0</v>
      </c>
      <c r="C54" s="422">
        <f>$A$6</f>
        <v>0</v>
      </c>
      <c r="D54" s="423"/>
      <c r="E54" s="424"/>
      <c r="F54" s="425"/>
      <c r="G54" s="426"/>
      <c r="H54" s="427"/>
      <c r="I54" s="207"/>
      <c r="J54" s="192"/>
      <c r="K54" s="193">
        <v>1</v>
      </c>
      <c r="L54" s="194" t="s">
        <v>65</v>
      </c>
      <c r="M54" s="195">
        <f t="shared" si="13"/>
        <v>0</v>
      </c>
      <c r="N54" s="233"/>
      <c r="O54" s="195"/>
      <c r="P54" s="197" t="s">
        <v>65</v>
      </c>
      <c r="Q54" s="436"/>
      <c r="R54" s="195"/>
      <c r="S54" s="197" t="s">
        <v>65</v>
      </c>
      <c r="T54" s="198">
        <f t="shared" si="3"/>
        <v>0</v>
      </c>
      <c r="U54" s="199"/>
      <c r="V54" s="200"/>
      <c r="W54" s="195"/>
      <c r="X54" s="195"/>
      <c r="Y54" s="438"/>
      <c r="Z54" s="201"/>
      <c r="AA54" s="202"/>
      <c r="AB54" s="440"/>
      <c r="AC54" s="142"/>
      <c r="AD54" s="179"/>
      <c r="AE54" s="179"/>
      <c r="AF54" s="179"/>
    </row>
    <row r="55" spans="1:32" s="206" customFormat="1" ht="69.95" customHeight="1" x14ac:dyDescent="0.15">
      <c r="A55" s="431" t="s">
        <v>308</v>
      </c>
      <c r="B55" s="191">
        <f t="shared" si="7"/>
        <v>551</v>
      </c>
      <c r="C55" s="422" t="str">
        <f t="shared" si="8"/>
        <v>MG</v>
      </c>
      <c r="D55" s="423"/>
      <c r="E55" s="424"/>
      <c r="F55" s="425"/>
      <c r="G55" s="426"/>
      <c r="H55" s="427"/>
      <c r="I55" s="207" t="s">
        <v>113</v>
      </c>
      <c r="J55" s="192"/>
      <c r="K55" s="193">
        <v>1</v>
      </c>
      <c r="L55" s="194" t="s">
        <v>63</v>
      </c>
      <c r="M55" s="195">
        <f t="shared" si="13"/>
        <v>551</v>
      </c>
      <c r="N55" s="196"/>
      <c r="O55" s="195"/>
      <c r="P55" s="197" t="s">
        <v>63</v>
      </c>
      <c r="Q55" s="435"/>
      <c r="R55" s="195"/>
      <c r="S55" s="197" t="s">
        <v>63</v>
      </c>
      <c r="T55" s="205">
        <f t="shared" si="3"/>
        <v>-551</v>
      </c>
      <c r="U55" s="199"/>
      <c r="V55" s="199"/>
      <c r="W55" s="208"/>
      <c r="X55" s="198"/>
      <c r="Y55" s="437" t="s">
        <v>64</v>
      </c>
      <c r="Z55" s="231"/>
      <c r="AA55" s="232"/>
      <c r="AB55" s="439"/>
    </row>
    <row r="56" spans="1:32" s="206" customFormat="1" ht="69.95" customHeight="1" x14ac:dyDescent="0.15">
      <c r="A56" s="432"/>
      <c r="B56" s="204">
        <f>$I$6</f>
        <v>0</v>
      </c>
      <c r="C56" s="422">
        <f>$A$6</f>
        <v>0</v>
      </c>
      <c r="D56" s="423"/>
      <c r="E56" s="424"/>
      <c r="F56" s="425"/>
      <c r="G56" s="426"/>
      <c r="H56" s="427"/>
      <c r="I56" s="207" t="s">
        <v>113</v>
      </c>
      <c r="J56" s="192"/>
      <c r="K56" s="193"/>
      <c r="L56" s="194" t="s">
        <v>63</v>
      </c>
      <c r="M56" s="195">
        <f t="shared" si="13"/>
        <v>0</v>
      </c>
      <c r="N56" s="233"/>
      <c r="O56" s="195"/>
      <c r="P56" s="197" t="s">
        <v>63</v>
      </c>
      <c r="Q56" s="436"/>
      <c r="R56" s="195"/>
      <c r="S56" s="197" t="s">
        <v>63</v>
      </c>
      <c r="T56" s="198">
        <f t="shared" si="3"/>
        <v>0</v>
      </c>
      <c r="U56" s="199"/>
      <c r="V56" s="200"/>
      <c r="W56" s="195"/>
      <c r="X56" s="195"/>
      <c r="Y56" s="438"/>
      <c r="Z56" s="201"/>
      <c r="AA56" s="202"/>
      <c r="AB56" s="440"/>
      <c r="AC56" s="234"/>
      <c r="AD56" s="230"/>
      <c r="AE56" s="230"/>
      <c r="AF56" s="230"/>
    </row>
    <row r="57" spans="1:32" s="206" customFormat="1" ht="69.95" customHeight="1" x14ac:dyDescent="0.15">
      <c r="A57" s="431" t="s">
        <v>90</v>
      </c>
      <c r="B57" s="191">
        <f t="shared" si="7"/>
        <v>551</v>
      </c>
      <c r="C57" s="422" t="str">
        <f t="shared" si="8"/>
        <v>MG</v>
      </c>
      <c r="D57" s="423"/>
      <c r="E57" s="424"/>
      <c r="F57" s="425"/>
      <c r="G57" s="426"/>
      <c r="H57" s="427"/>
      <c r="I57" s="207" t="s">
        <v>79</v>
      </c>
      <c r="J57" s="192"/>
      <c r="K57" s="193">
        <v>1</v>
      </c>
      <c r="L57" s="194" t="s">
        <v>63</v>
      </c>
      <c r="M57" s="195">
        <f t="shared" si="13"/>
        <v>551</v>
      </c>
      <c r="N57" s="196"/>
      <c r="O57" s="195"/>
      <c r="P57" s="197" t="s">
        <v>63</v>
      </c>
      <c r="Q57" s="435"/>
      <c r="R57" s="195"/>
      <c r="S57" s="197" t="s">
        <v>63</v>
      </c>
      <c r="T57" s="205">
        <f t="shared" si="3"/>
        <v>-551</v>
      </c>
      <c r="U57" s="199"/>
      <c r="V57" s="199"/>
      <c r="W57" s="208"/>
      <c r="X57" s="198"/>
      <c r="Y57" s="437" t="s">
        <v>64</v>
      </c>
      <c r="Z57" s="231"/>
      <c r="AA57" s="232"/>
      <c r="AB57" s="439"/>
    </row>
    <row r="58" spans="1:32" s="206" customFormat="1" ht="69.95" customHeight="1" x14ac:dyDescent="0.15">
      <c r="A58" s="432"/>
      <c r="B58" s="204">
        <f>$I$6</f>
        <v>0</v>
      </c>
      <c r="C58" s="422">
        <f>$A$6</f>
        <v>0</v>
      </c>
      <c r="D58" s="423"/>
      <c r="E58" s="424"/>
      <c r="F58" s="425"/>
      <c r="G58" s="426"/>
      <c r="H58" s="427"/>
      <c r="I58" s="207" t="s">
        <v>79</v>
      </c>
      <c r="J58" s="192"/>
      <c r="K58" s="193">
        <v>1</v>
      </c>
      <c r="L58" s="194" t="s">
        <v>63</v>
      </c>
      <c r="M58" s="195">
        <f t="shared" si="13"/>
        <v>0</v>
      </c>
      <c r="N58" s="233"/>
      <c r="O58" s="195"/>
      <c r="P58" s="197" t="s">
        <v>63</v>
      </c>
      <c r="Q58" s="436"/>
      <c r="R58" s="195"/>
      <c r="S58" s="197" t="s">
        <v>63</v>
      </c>
      <c r="T58" s="198">
        <f t="shared" si="3"/>
        <v>0</v>
      </c>
      <c r="U58" s="199"/>
      <c r="V58" s="200"/>
      <c r="W58" s="195"/>
      <c r="X58" s="195"/>
      <c r="Y58" s="438"/>
      <c r="Z58" s="201"/>
      <c r="AA58" s="202"/>
      <c r="AB58" s="440"/>
      <c r="AC58" s="234"/>
      <c r="AD58" s="230"/>
      <c r="AE58" s="230"/>
      <c r="AF58" s="230"/>
    </row>
    <row r="59" spans="1:32" s="55" customFormat="1" ht="69.95" customHeight="1" x14ac:dyDescent="0.15">
      <c r="A59" s="431" t="s">
        <v>91</v>
      </c>
      <c r="B59" s="191">
        <f t="shared" si="7"/>
        <v>551</v>
      </c>
      <c r="C59" s="422" t="str">
        <f t="shared" si="8"/>
        <v>MG</v>
      </c>
      <c r="D59" s="423"/>
      <c r="E59" s="424"/>
      <c r="F59" s="425"/>
      <c r="G59" s="426"/>
      <c r="H59" s="427"/>
      <c r="I59" s="207" t="s">
        <v>75</v>
      </c>
      <c r="J59" s="192"/>
      <c r="K59" s="193">
        <v>1</v>
      </c>
      <c r="L59" s="194" t="s">
        <v>63</v>
      </c>
      <c r="M59" s="195">
        <f t="shared" si="13"/>
        <v>551</v>
      </c>
      <c r="N59" s="196"/>
      <c r="O59" s="195"/>
      <c r="P59" s="197" t="s">
        <v>63</v>
      </c>
      <c r="Q59" s="435"/>
      <c r="R59" s="195"/>
      <c r="S59" s="197" t="s">
        <v>63</v>
      </c>
      <c r="T59" s="205">
        <f t="shared" si="3"/>
        <v>-551</v>
      </c>
      <c r="U59" s="199"/>
      <c r="V59" s="199"/>
      <c r="W59" s="208"/>
      <c r="X59" s="198"/>
      <c r="Y59" s="437" t="s">
        <v>64</v>
      </c>
      <c r="Z59" s="231"/>
      <c r="AA59" s="232"/>
      <c r="AB59" s="439"/>
    </row>
    <row r="60" spans="1:32" s="55" customFormat="1" ht="69.95" customHeight="1" x14ac:dyDescent="0.15">
      <c r="A60" s="432"/>
      <c r="B60" s="204">
        <f>$I$6</f>
        <v>0</v>
      </c>
      <c r="C60" s="422">
        <f>$A$6</f>
        <v>0</v>
      </c>
      <c r="D60" s="423"/>
      <c r="E60" s="424"/>
      <c r="F60" s="425"/>
      <c r="G60" s="426"/>
      <c r="H60" s="427"/>
      <c r="I60" s="207" t="s">
        <v>75</v>
      </c>
      <c r="J60" s="192"/>
      <c r="K60" s="193">
        <v>1</v>
      </c>
      <c r="L60" s="194" t="s">
        <v>63</v>
      </c>
      <c r="M60" s="195">
        <f t="shared" si="13"/>
        <v>0</v>
      </c>
      <c r="N60" s="233"/>
      <c r="O60" s="195"/>
      <c r="P60" s="197" t="s">
        <v>63</v>
      </c>
      <c r="Q60" s="436"/>
      <c r="R60" s="195"/>
      <c r="S60" s="197" t="s">
        <v>63</v>
      </c>
      <c r="T60" s="198">
        <f t="shared" si="3"/>
        <v>0</v>
      </c>
      <c r="U60" s="199"/>
      <c r="V60" s="200"/>
      <c r="W60" s="195"/>
      <c r="X60" s="195"/>
      <c r="Y60" s="438"/>
      <c r="Z60" s="201"/>
      <c r="AA60" s="202"/>
      <c r="AB60" s="440"/>
      <c r="AC60" s="142"/>
      <c r="AD60" s="179"/>
      <c r="AE60" s="179"/>
      <c r="AF60" s="179"/>
    </row>
    <row r="61" spans="1:32" s="206" customFormat="1" ht="69.95" customHeight="1" x14ac:dyDescent="0.15">
      <c r="A61" s="431" t="s">
        <v>119</v>
      </c>
      <c r="B61" s="191">
        <f t="shared" ref="B61:B63" si="18">$I$5</f>
        <v>551</v>
      </c>
      <c r="C61" s="422" t="str">
        <f t="shared" ref="C61:C63" si="19">$A$5</f>
        <v>MG</v>
      </c>
      <c r="D61" s="423"/>
      <c r="E61" s="424"/>
      <c r="F61" s="425"/>
      <c r="G61" s="426"/>
      <c r="H61" s="427"/>
      <c r="I61" s="433" t="s">
        <v>121</v>
      </c>
      <c r="J61" s="192"/>
      <c r="K61" s="193">
        <v>2</v>
      </c>
      <c r="L61" s="194" t="s">
        <v>63</v>
      </c>
      <c r="M61" s="195">
        <f t="shared" si="4"/>
        <v>1102</v>
      </c>
      <c r="N61" s="196"/>
      <c r="O61" s="195"/>
      <c r="P61" s="197" t="s">
        <v>63</v>
      </c>
      <c r="Q61" s="435"/>
      <c r="R61" s="195"/>
      <c r="S61" s="197" t="s">
        <v>63</v>
      </c>
      <c r="T61" s="205">
        <f t="shared" si="3"/>
        <v>-1102</v>
      </c>
      <c r="U61" s="199"/>
      <c r="V61" s="199"/>
      <c r="W61" s="208"/>
      <c r="X61" s="198"/>
      <c r="Y61" s="437" t="s">
        <v>64</v>
      </c>
      <c r="Z61" s="231"/>
      <c r="AA61" s="232"/>
      <c r="AB61" s="439"/>
    </row>
    <row r="62" spans="1:32" s="206" customFormat="1" ht="69.95" customHeight="1" x14ac:dyDescent="0.15">
      <c r="A62" s="432"/>
      <c r="B62" s="204">
        <f>$I$6</f>
        <v>0</v>
      </c>
      <c r="C62" s="422">
        <f>$A$6</f>
        <v>0</v>
      </c>
      <c r="D62" s="423"/>
      <c r="E62" s="424"/>
      <c r="F62" s="425"/>
      <c r="G62" s="426"/>
      <c r="H62" s="427"/>
      <c r="I62" s="434"/>
      <c r="J62" s="192"/>
      <c r="K62" s="193">
        <v>2</v>
      </c>
      <c r="L62" s="194" t="s">
        <v>63</v>
      </c>
      <c r="M62" s="195">
        <f t="shared" si="4"/>
        <v>0</v>
      </c>
      <c r="N62" s="233"/>
      <c r="O62" s="195"/>
      <c r="P62" s="197" t="s">
        <v>63</v>
      </c>
      <c r="Q62" s="436"/>
      <c r="R62" s="195"/>
      <c r="S62" s="197" t="s">
        <v>63</v>
      </c>
      <c r="T62" s="198">
        <f t="shared" si="3"/>
        <v>0</v>
      </c>
      <c r="U62" s="199"/>
      <c r="V62" s="200"/>
      <c r="W62" s="195"/>
      <c r="X62" s="195"/>
      <c r="Y62" s="438"/>
      <c r="Z62" s="201"/>
      <c r="AA62" s="202"/>
      <c r="AB62" s="440"/>
      <c r="AC62" s="234"/>
      <c r="AD62" s="230"/>
      <c r="AE62" s="230"/>
      <c r="AF62" s="230"/>
    </row>
    <row r="63" spans="1:32" s="206" customFormat="1" ht="69.95" customHeight="1" x14ac:dyDescent="0.15">
      <c r="A63" s="431" t="s">
        <v>120</v>
      </c>
      <c r="B63" s="191">
        <f t="shared" si="18"/>
        <v>551</v>
      </c>
      <c r="C63" s="422" t="str">
        <f t="shared" si="19"/>
        <v>MG</v>
      </c>
      <c r="D63" s="423"/>
      <c r="E63" s="424"/>
      <c r="F63" s="425"/>
      <c r="G63" s="426"/>
      <c r="H63" s="427"/>
      <c r="I63" s="433" t="s">
        <v>75</v>
      </c>
      <c r="J63" s="192"/>
      <c r="K63" s="193">
        <v>2</v>
      </c>
      <c r="L63" s="194" t="s">
        <v>63</v>
      </c>
      <c r="M63" s="195">
        <f t="shared" si="4"/>
        <v>1102</v>
      </c>
      <c r="N63" s="196"/>
      <c r="O63" s="195"/>
      <c r="P63" s="197" t="s">
        <v>63</v>
      </c>
      <c r="Q63" s="435"/>
      <c r="R63" s="195"/>
      <c r="S63" s="197" t="s">
        <v>63</v>
      </c>
      <c r="T63" s="205">
        <f t="shared" si="3"/>
        <v>-1102</v>
      </c>
      <c r="U63" s="199"/>
      <c r="V63" s="199"/>
      <c r="W63" s="208"/>
      <c r="X63" s="198"/>
      <c r="Y63" s="437" t="s">
        <v>64</v>
      </c>
      <c r="Z63" s="231"/>
      <c r="AA63" s="232"/>
      <c r="AB63" s="439"/>
    </row>
    <row r="64" spans="1:32" s="206" customFormat="1" ht="69.95" customHeight="1" x14ac:dyDescent="0.15">
      <c r="A64" s="432"/>
      <c r="B64" s="204">
        <f>$I$6</f>
        <v>0</v>
      </c>
      <c r="C64" s="422">
        <f>$A$6</f>
        <v>0</v>
      </c>
      <c r="D64" s="423"/>
      <c r="E64" s="424"/>
      <c r="F64" s="425"/>
      <c r="G64" s="426"/>
      <c r="H64" s="427"/>
      <c r="I64" s="434"/>
      <c r="J64" s="192"/>
      <c r="K64" s="193">
        <v>2</v>
      </c>
      <c r="L64" s="194" t="s">
        <v>63</v>
      </c>
      <c r="M64" s="195">
        <f t="shared" si="4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234"/>
      <c r="AD64" s="230"/>
      <c r="AE64" s="230"/>
      <c r="AF64" s="230"/>
    </row>
    <row r="65" spans="1:28" s="176" customFormat="1" ht="54.95" customHeight="1" x14ac:dyDescent="0.15">
      <c r="A65" s="386" t="s">
        <v>66</v>
      </c>
      <c r="B65" s="164">
        <f>C11</f>
        <v>231</v>
      </c>
      <c r="C65" s="407" t="e">
        <f>#REF!</f>
        <v>#REF!</v>
      </c>
      <c r="D65" s="408"/>
      <c r="E65" s="409"/>
      <c r="F65" s="371"/>
      <c r="G65" s="372"/>
      <c r="H65" s="373"/>
      <c r="I65" s="276"/>
      <c r="J65" s="255"/>
      <c r="K65" s="263">
        <v>1</v>
      </c>
      <c r="L65" s="168" t="s">
        <v>63</v>
      </c>
      <c r="M65" s="169">
        <f t="shared" si="4"/>
        <v>231</v>
      </c>
      <c r="N65" s="171"/>
      <c r="O65" s="277"/>
      <c r="P65" s="169" t="s">
        <v>63</v>
      </c>
      <c r="Q65" s="376">
        <v>46101</v>
      </c>
      <c r="R65" s="277">
        <v>231</v>
      </c>
      <c r="S65" s="169" t="s">
        <v>63</v>
      </c>
      <c r="T65" s="278">
        <f t="shared" si="3"/>
        <v>0</v>
      </c>
      <c r="U65" s="279"/>
      <c r="V65" s="280"/>
      <c r="W65" s="278"/>
      <c r="X65" s="278"/>
      <c r="Y65" s="374" t="s">
        <v>72</v>
      </c>
      <c r="Z65" s="374"/>
      <c r="AA65" s="374"/>
      <c r="AB65" s="404" t="s">
        <v>320</v>
      </c>
    </row>
    <row r="66" spans="1:28" s="176" customFormat="1" ht="54.95" customHeight="1" x14ac:dyDescent="0.15">
      <c r="A66" s="387"/>
      <c r="B66" s="164">
        <f>D11</f>
        <v>250</v>
      </c>
      <c r="C66" s="410"/>
      <c r="D66" s="411"/>
      <c r="E66" s="412"/>
      <c r="F66" s="371"/>
      <c r="G66" s="372"/>
      <c r="H66" s="373"/>
      <c r="I66" s="276"/>
      <c r="J66" s="255"/>
      <c r="K66" s="167">
        <v>1</v>
      </c>
      <c r="L66" s="168" t="s">
        <v>63</v>
      </c>
      <c r="M66" s="169">
        <f t="shared" si="4"/>
        <v>250</v>
      </c>
      <c r="N66" s="171"/>
      <c r="O66" s="277"/>
      <c r="P66" s="169" t="s">
        <v>63</v>
      </c>
      <c r="Q66" s="377"/>
      <c r="R66" s="277">
        <v>250</v>
      </c>
      <c r="S66" s="169" t="s">
        <v>63</v>
      </c>
      <c r="T66" s="278">
        <f t="shared" si="3"/>
        <v>0</v>
      </c>
      <c r="U66" s="279"/>
      <c r="V66" s="280"/>
      <c r="W66" s="278"/>
      <c r="X66" s="278"/>
      <c r="Y66" s="375"/>
      <c r="Z66" s="375"/>
      <c r="AA66" s="375"/>
      <c r="AB66" s="405"/>
    </row>
    <row r="67" spans="1:28" s="176" customFormat="1" ht="54.95" customHeight="1" x14ac:dyDescent="0.15">
      <c r="A67" s="387"/>
      <c r="B67" s="164">
        <f>E11</f>
        <v>70</v>
      </c>
      <c r="C67" s="410"/>
      <c r="D67" s="411"/>
      <c r="E67" s="412"/>
      <c r="F67" s="371"/>
      <c r="G67" s="372"/>
      <c r="H67" s="373"/>
      <c r="I67" s="276"/>
      <c r="J67" s="255"/>
      <c r="K67" s="167">
        <v>1</v>
      </c>
      <c r="L67" s="168" t="s">
        <v>63</v>
      </c>
      <c r="M67" s="169">
        <f t="shared" si="4"/>
        <v>70</v>
      </c>
      <c r="N67" s="171"/>
      <c r="O67" s="277"/>
      <c r="P67" s="169" t="s">
        <v>63</v>
      </c>
      <c r="Q67" s="377"/>
      <c r="R67" s="277">
        <v>70</v>
      </c>
      <c r="S67" s="169" t="s">
        <v>63</v>
      </c>
      <c r="T67" s="278">
        <f t="shared" si="3"/>
        <v>0</v>
      </c>
      <c r="U67" s="279"/>
      <c r="V67" s="280"/>
      <c r="W67" s="278"/>
      <c r="X67" s="278"/>
      <c r="Y67" s="375"/>
      <c r="Z67" s="375"/>
      <c r="AA67" s="375"/>
      <c r="AB67" s="405"/>
    </row>
    <row r="68" spans="1:28" s="176" customFormat="1" ht="54.95" customHeight="1" x14ac:dyDescent="0.15">
      <c r="A68" s="387"/>
      <c r="B68" s="164">
        <f>F11</f>
        <v>0</v>
      </c>
      <c r="C68" s="410"/>
      <c r="D68" s="411"/>
      <c r="E68" s="412"/>
      <c r="F68" s="371"/>
      <c r="G68" s="372"/>
      <c r="H68" s="373"/>
      <c r="I68" s="276"/>
      <c r="J68" s="255"/>
      <c r="K68" s="167">
        <v>1</v>
      </c>
      <c r="L68" s="168" t="s">
        <v>63</v>
      </c>
      <c r="M68" s="169">
        <f t="shared" si="4"/>
        <v>0</v>
      </c>
      <c r="N68" s="171"/>
      <c r="O68" s="277"/>
      <c r="P68" s="169" t="s">
        <v>63</v>
      </c>
      <c r="Q68" s="377"/>
      <c r="R68" s="277"/>
      <c r="S68" s="169" t="s">
        <v>63</v>
      </c>
      <c r="T68" s="278">
        <f t="shared" si="3"/>
        <v>0</v>
      </c>
      <c r="U68" s="279"/>
      <c r="V68" s="280"/>
      <c r="W68" s="278"/>
      <c r="X68" s="278"/>
      <c r="Y68" s="375"/>
      <c r="Z68" s="375"/>
      <c r="AA68" s="375"/>
      <c r="AB68" s="405"/>
    </row>
    <row r="69" spans="1:28" s="176" customFormat="1" ht="54.95" customHeight="1" x14ac:dyDescent="0.15">
      <c r="A69" s="388"/>
      <c r="B69" s="164">
        <f>G11</f>
        <v>0</v>
      </c>
      <c r="C69" s="413"/>
      <c r="D69" s="414"/>
      <c r="E69" s="415"/>
      <c r="F69" s="371"/>
      <c r="G69" s="372"/>
      <c r="H69" s="373"/>
      <c r="I69" s="276"/>
      <c r="J69" s="255"/>
      <c r="K69" s="167">
        <v>1</v>
      </c>
      <c r="L69" s="168" t="s">
        <v>63</v>
      </c>
      <c r="M69" s="169">
        <f t="shared" si="4"/>
        <v>0</v>
      </c>
      <c r="N69" s="171"/>
      <c r="O69" s="277"/>
      <c r="P69" s="169" t="s">
        <v>63</v>
      </c>
      <c r="Q69" s="378"/>
      <c r="R69" s="277"/>
      <c r="S69" s="169" t="s">
        <v>63</v>
      </c>
      <c r="T69" s="278">
        <f t="shared" si="3"/>
        <v>0</v>
      </c>
      <c r="U69" s="279"/>
      <c r="V69" s="280"/>
      <c r="W69" s="278"/>
      <c r="X69" s="278"/>
      <c r="Y69" s="379"/>
      <c r="Z69" s="379"/>
      <c r="AA69" s="379"/>
      <c r="AB69" s="406"/>
    </row>
    <row r="70" spans="1:28" s="176" customFormat="1" ht="54.95" customHeight="1" x14ac:dyDescent="0.15">
      <c r="A70" s="386" t="s">
        <v>68</v>
      </c>
      <c r="B70" s="164">
        <f>C5+C8</f>
        <v>231</v>
      </c>
      <c r="C70" s="407" t="str">
        <f>A5</f>
        <v>MG</v>
      </c>
      <c r="D70" s="408"/>
      <c r="E70" s="409"/>
      <c r="F70" s="371"/>
      <c r="G70" s="372"/>
      <c r="H70" s="373"/>
      <c r="I70" s="276"/>
      <c r="J70" s="276"/>
      <c r="K70" s="167">
        <v>1</v>
      </c>
      <c r="L70" s="168" t="s">
        <v>63</v>
      </c>
      <c r="M70" s="169">
        <f t="shared" si="4"/>
        <v>231</v>
      </c>
      <c r="N70" s="171"/>
      <c r="O70" s="277"/>
      <c r="P70" s="169" t="s">
        <v>63</v>
      </c>
      <c r="Q70" s="376">
        <v>46101</v>
      </c>
      <c r="R70" s="277">
        <v>231</v>
      </c>
      <c r="S70" s="169" t="s">
        <v>63</v>
      </c>
      <c r="T70" s="278">
        <f t="shared" si="3"/>
        <v>0</v>
      </c>
      <c r="U70" s="281"/>
      <c r="V70" s="282"/>
      <c r="W70" s="278"/>
      <c r="X70" s="278"/>
      <c r="Y70" s="374" t="s">
        <v>72</v>
      </c>
      <c r="Z70" s="374"/>
      <c r="AA70" s="374"/>
      <c r="AB70" s="404" t="s">
        <v>320</v>
      </c>
    </row>
    <row r="71" spans="1:28" s="176" customFormat="1" ht="54.95" customHeight="1" x14ac:dyDescent="0.15">
      <c r="A71" s="387"/>
      <c r="B71" s="164">
        <f>D5+D8</f>
        <v>250</v>
      </c>
      <c r="C71" s="410"/>
      <c r="D71" s="411"/>
      <c r="E71" s="412"/>
      <c r="F71" s="371"/>
      <c r="G71" s="372"/>
      <c r="H71" s="373"/>
      <c r="I71" s="276"/>
      <c r="J71" s="276"/>
      <c r="K71" s="167">
        <v>1</v>
      </c>
      <c r="L71" s="168" t="s">
        <v>63</v>
      </c>
      <c r="M71" s="169">
        <f t="shared" si="4"/>
        <v>250</v>
      </c>
      <c r="N71" s="171"/>
      <c r="O71" s="277"/>
      <c r="P71" s="169" t="s">
        <v>63</v>
      </c>
      <c r="Q71" s="377"/>
      <c r="R71" s="277">
        <v>250</v>
      </c>
      <c r="S71" s="169" t="s">
        <v>63</v>
      </c>
      <c r="T71" s="278">
        <f t="shared" si="3"/>
        <v>0</v>
      </c>
      <c r="U71" s="281"/>
      <c r="V71" s="282"/>
      <c r="W71" s="278"/>
      <c r="X71" s="278"/>
      <c r="Y71" s="375"/>
      <c r="Z71" s="375"/>
      <c r="AA71" s="375"/>
      <c r="AB71" s="405"/>
    </row>
    <row r="72" spans="1:28" s="176" customFormat="1" ht="54.95" customHeight="1" x14ac:dyDescent="0.15">
      <c r="A72" s="387"/>
      <c r="B72" s="164">
        <f>E5+E8</f>
        <v>70</v>
      </c>
      <c r="C72" s="410"/>
      <c r="D72" s="411"/>
      <c r="E72" s="412"/>
      <c r="F72" s="371"/>
      <c r="G72" s="372"/>
      <c r="H72" s="373"/>
      <c r="I72" s="276"/>
      <c r="J72" s="276"/>
      <c r="K72" s="167">
        <v>1</v>
      </c>
      <c r="L72" s="168" t="s">
        <v>63</v>
      </c>
      <c r="M72" s="169">
        <f t="shared" si="4"/>
        <v>70</v>
      </c>
      <c r="N72" s="171"/>
      <c r="O72" s="277"/>
      <c r="P72" s="169" t="s">
        <v>63</v>
      </c>
      <c r="Q72" s="377"/>
      <c r="R72" s="277">
        <v>70</v>
      </c>
      <c r="S72" s="169" t="s">
        <v>63</v>
      </c>
      <c r="T72" s="278">
        <f t="shared" si="3"/>
        <v>0</v>
      </c>
      <c r="U72" s="281"/>
      <c r="V72" s="282"/>
      <c r="W72" s="278"/>
      <c r="X72" s="278"/>
      <c r="Y72" s="375"/>
      <c r="Z72" s="375"/>
      <c r="AA72" s="375"/>
      <c r="AB72" s="405"/>
    </row>
    <row r="73" spans="1:28" s="176" customFormat="1" ht="54.95" customHeight="1" x14ac:dyDescent="0.15">
      <c r="A73" s="387"/>
      <c r="B73" s="164">
        <f>F5+F8</f>
        <v>0</v>
      </c>
      <c r="C73" s="410"/>
      <c r="D73" s="411"/>
      <c r="E73" s="412"/>
      <c r="F73" s="371"/>
      <c r="G73" s="372"/>
      <c r="H73" s="373"/>
      <c r="I73" s="276"/>
      <c r="J73" s="276"/>
      <c r="K73" s="167">
        <v>1</v>
      </c>
      <c r="L73" s="168" t="s">
        <v>63</v>
      </c>
      <c r="M73" s="169">
        <f t="shared" si="4"/>
        <v>0</v>
      </c>
      <c r="N73" s="171"/>
      <c r="O73" s="277"/>
      <c r="P73" s="169" t="s">
        <v>63</v>
      </c>
      <c r="Q73" s="377"/>
      <c r="R73" s="168"/>
      <c r="S73" s="169" t="s">
        <v>63</v>
      </c>
      <c r="T73" s="278">
        <f t="shared" si="3"/>
        <v>0</v>
      </c>
      <c r="U73" s="281"/>
      <c r="V73" s="282"/>
      <c r="W73" s="278"/>
      <c r="X73" s="278"/>
      <c r="Y73" s="375"/>
      <c r="Z73" s="375"/>
      <c r="AA73" s="375"/>
      <c r="AB73" s="405"/>
    </row>
    <row r="74" spans="1:28" s="176" customFormat="1" ht="54.95" customHeight="1" x14ac:dyDescent="0.15">
      <c r="A74" s="387"/>
      <c r="B74" s="164">
        <f>G5+G8</f>
        <v>0</v>
      </c>
      <c r="C74" s="413"/>
      <c r="D74" s="414"/>
      <c r="E74" s="415"/>
      <c r="F74" s="371"/>
      <c r="G74" s="372"/>
      <c r="H74" s="373"/>
      <c r="I74" s="276"/>
      <c r="J74" s="276"/>
      <c r="K74" s="167">
        <v>1</v>
      </c>
      <c r="L74" s="168" t="s">
        <v>63</v>
      </c>
      <c r="M74" s="169">
        <f t="shared" si="4"/>
        <v>0</v>
      </c>
      <c r="N74" s="171"/>
      <c r="O74" s="277"/>
      <c r="P74" s="169" t="s">
        <v>63</v>
      </c>
      <c r="Q74" s="377"/>
      <c r="R74" s="168"/>
      <c r="S74" s="169" t="s">
        <v>63</v>
      </c>
      <c r="T74" s="278">
        <f t="shared" si="3"/>
        <v>0</v>
      </c>
      <c r="U74" s="281"/>
      <c r="V74" s="282"/>
      <c r="W74" s="278"/>
      <c r="X74" s="278"/>
      <c r="Y74" s="375"/>
      <c r="Z74" s="375"/>
      <c r="AA74" s="375"/>
      <c r="AB74" s="405"/>
    </row>
    <row r="75" spans="1:28" s="176" customFormat="1" ht="54.95" customHeight="1" x14ac:dyDescent="0.15">
      <c r="A75" s="387"/>
      <c r="B75" s="164">
        <f>C6</f>
        <v>0</v>
      </c>
      <c r="C75" s="407">
        <f>A6</f>
        <v>0</v>
      </c>
      <c r="D75" s="408"/>
      <c r="E75" s="409"/>
      <c r="F75" s="371"/>
      <c r="G75" s="372"/>
      <c r="H75" s="373"/>
      <c r="I75" s="276"/>
      <c r="J75" s="276"/>
      <c r="K75" s="167">
        <v>1</v>
      </c>
      <c r="L75" s="168" t="s">
        <v>63</v>
      </c>
      <c r="M75" s="169">
        <f t="shared" si="4"/>
        <v>0</v>
      </c>
      <c r="N75" s="171"/>
      <c r="O75" s="277"/>
      <c r="P75" s="169" t="s">
        <v>63</v>
      </c>
      <c r="Q75" s="377"/>
      <c r="R75" s="277"/>
      <c r="S75" s="169" t="s">
        <v>63</v>
      </c>
      <c r="T75" s="278">
        <f>R75-M75</f>
        <v>0</v>
      </c>
      <c r="U75" s="281"/>
      <c r="V75" s="282"/>
      <c r="W75" s="278"/>
      <c r="X75" s="278"/>
      <c r="Y75" s="374" t="s">
        <v>72</v>
      </c>
      <c r="Z75" s="374"/>
      <c r="AA75" s="374"/>
      <c r="AB75" s="405"/>
    </row>
    <row r="76" spans="1:28" s="176" customFormat="1" ht="54.95" customHeight="1" x14ac:dyDescent="0.15">
      <c r="A76" s="387"/>
      <c r="B76" s="164">
        <f>D6</f>
        <v>0</v>
      </c>
      <c r="C76" s="410"/>
      <c r="D76" s="411"/>
      <c r="E76" s="412"/>
      <c r="F76" s="371"/>
      <c r="G76" s="372"/>
      <c r="H76" s="373"/>
      <c r="I76" s="276"/>
      <c r="J76" s="276"/>
      <c r="K76" s="167">
        <v>1</v>
      </c>
      <c r="L76" s="168" t="s">
        <v>63</v>
      </c>
      <c r="M76" s="169">
        <f t="shared" si="4"/>
        <v>0</v>
      </c>
      <c r="N76" s="171"/>
      <c r="O76" s="277"/>
      <c r="P76" s="169" t="s">
        <v>63</v>
      </c>
      <c r="Q76" s="377"/>
      <c r="R76" s="277"/>
      <c r="S76" s="169" t="s">
        <v>63</v>
      </c>
      <c r="T76" s="278">
        <f>R76-M76</f>
        <v>0</v>
      </c>
      <c r="U76" s="281"/>
      <c r="V76" s="282"/>
      <c r="W76" s="278"/>
      <c r="X76" s="278"/>
      <c r="Y76" s="375"/>
      <c r="Z76" s="375"/>
      <c r="AA76" s="375"/>
      <c r="AB76" s="405"/>
    </row>
    <row r="77" spans="1:28" s="176" customFormat="1" ht="54.95" customHeight="1" x14ac:dyDescent="0.15">
      <c r="A77" s="387"/>
      <c r="B77" s="164">
        <f>E6</f>
        <v>0</v>
      </c>
      <c r="C77" s="410"/>
      <c r="D77" s="411"/>
      <c r="E77" s="412"/>
      <c r="F77" s="371"/>
      <c r="G77" s="372"/>
      <c r="H77" s="373"/>
      <c r="I77" s="276"/>
      <c r="J77" s="276"/>
      <c r="K77" s="167">
        <v>1</v>
      </c>
      <c r="L77" s="168" t="s">
        <v>63</v>
      </c>
      <c r="M77" s="169">
        <f t="shared" si="4"/>
        <v>0</v>
      </c>
      <c r="N77" s="171"/>
      <c r="O77" s="277"/>
      <c r="P77" s="169" t="s">
        <v>63</v>
      </c>
      <c r="Q77" s="377"/>
      <c r="R77" s="277"/>
      <c r="S77" s="169" t="s">
        <v>63</v>
      </c>
      <c r="T77" s="278">
        <f>R77-M77</f>
        <v>0</v>
      </c>
      <c r="U77" s="281"/>
      <c r="V77" s="282"/>
      <c r="W77" s="278"/>
      <c r="X77" s="278"/>
      <c r="Y77" s="375"/>
      <c r="Z77" s="375"/>
      <c r="AA77" s="375"/>
      <c r="AB77" s="405"/>
    </row>
    <row r="78" spans="1:28" s="176" customFormat="1" ht="54.95" customHeight="1" x14ac:dyDescent="0.15">
      <c r="A78" s="387"/>
      <c r="B78" s="164"/>
      <c r="C78" s="410"/>
      <c r="D78" s="411"/>
      <c r="E78" s="412"/>
      <c r="F78" s="371"/>
      <c r="G78" s="372"/>
      <c r="H78" s="373"/>
      <c r="I78" s="276"/>
      <c r="J78" s="276"/>
      <c r="K78" s="167">
        <v>1</v>
      </c>
      <c r="L78" s="168" t="s">
        <v>63</v>
      </c>
      <c r="M78" s="169">
        <f t="shared" si="4"/>
        <v>0</v>
      </c>
      <c r="N78" s="171"/>
      <c r="O78" s="277"/>
      <c r="P78" s="169" t="s">
        <v>63</v>
      </c>
      <c r="Q78" s="377"/>
      <c r="R78" s="168"/>
      <c r="S78" s="169" t="s">
        <v>63</v>
      </c>
      <c r="T78" s="278">
        <f>R78-M78</f>
        <v>0</v>
      </c>
      <c r="U78" s="281"/>
      <c r="V78" s="282"/>
      <c r="W78" s="278"/>
      <c r="X78" s="278"/>
      <c r="Y78" s="375"/>
      <c r="Z78" s="375"/>
      <c r="AA78" s="375"/>
      <c r="AB78" s="405"/>
    </row>
    <row r="79" spans="1:28" s="176" customFormat="1" ht="54.95" customHeight="1" x14ac:dyDescent="0.15">
      <c r="A79" s="388"/>
      <c r="B79" s="164">
        <f>G10+G13</f>
        <v>0</v>
      </c>
      <c r="C79" s="413"/>
      <c r="D79" s="414"/>
      <c r="E79" s="415"/>
      <c r="F79" s="371"/>
      <c r="G79" s="372"/>
      <c r="H79" s="373"/>
      <c r="I79" s="276"/>
      <c r="J79" s="276"/>
      <c r="K79" s="167">
        <v>1</v>
      </c>
      <c r="L79" s="168" t="s">
        <v>63</v>
      </c>
      <c r="M79" s="169">
        <f t="shared" si="4"/>
        <v>0</v>
      </c>
      <c r="N79" s="171"/>
      <c r="O79" s="277"/>
      <c r="P79" s="169" t="s">
        <v>63</v>
      </c>
      <c r="Q79" s="378"/>
      <c r="R79" s="168"/>
      <c r="S79" s="169" t="s">
        <v>63</v>
      </c>
      <c r="T79" s="278">
        <f>R79-M79</f>
        <v>0</v>
      </c>
      <c r="U79" s="281"/>
      <c r="V79" s="282"/>
      <c r="W79" s="278"/>
      <c r="X79" s="278"/>
      <c r="Y79" s="375"/>
      <c r="Z79" s="375"/>
      <c r="AA79" s="375"/>
      <c r="AB79" s="406"/>
    </row>
    <row r="80" spans="1:28" s="176" customFormat="1" ht="54.95" customHeight="1" x14ac:dyDescent="0.15">
      <c r="A80" s="386" t="s">
        <v>69</v>
      </c>
      <c r="B80" s="164">
        <f>C5</f>
        <v>231</v>
      </c>
      <c r="C80" s="407" t="str">
        <f>A5</f>
        <v>MG</v>
      </c>
      <c r="D80" s="408"/>
      <c r="E80" s="409"/>
      <c r="F80" s="371"/>
      <c r="G80" s="372"/>
      <c r="H80" s="373"/>
      <c r="I80" s="276"/>
      <c r="J80" s="276"/>
      <c r="K80" s="167">
        <v>1</v>
      </c>
      <c r="L80" s="168" t="s">
        <v>63</v>
      </c>
      <c r="M80" s="169">
        <f t="shared" si="4"/>
        <v>231</v>
      </c>
      <c r="N80" s="171"/>
      <c r="O80" s="277"/>
      <c r="P80" s="169" t="s">
        <v>63</v>
      </c>
      <c r="Q80" s="376">
        <v>46154</v>
      </c>
      <c r="R80" s="277">
        <v>231</v>
      </c>
      <c r="S80" s="169" t="s">
        <v>63</v>
      </c>
      <c r="T80" s="278">
        <f t="shared" si="3"/>
        <v>0</v>
      </c>
      <c r="U80" s="281"/>
      <c r="V80" s="282"/>
      <c r="W80" s="278"/>
      <c r="X80" s="278"/>
      <c r="Y80" s="374" t="s">
        <v>67</v>
      </c>
      <c r="Z80" s="374"/>
      <c r="AA80" s="374"/>
      <c r="AB80" s="404" t="s">
        <v>333</v>
      </c>
    </row>
    <row r="81" spans="1:28" s="176" customFormat="1" ht="54.95" customHeight="1" x14ac:dyDescent="0.15">
      <c r="A81" s="387"/>
      <c r="B81" s="164">
        <f>D5</f>
        <v>250</v>
      </c>
      <c r="C81" s="410"/>
      <c r="D81" s="411"/>
      <c r="E81" s="412"/>
      <c r="F81" s="371"/>
      <c r="G81" s="372"/>
      <c r="H81" s="373"/>
      <c r="I81" s="276"/>
      <c r="J81" s="276"/>
      <c r="K81" s="167">
        <v>1</v>
      </c>
      <c r="L81" s="168" t="s">
        <v>63</v>
      </c>
      <c r="M81" s="169">
        <f t="shared" si="4"/>
        <v>250</v>
      </c>
      <c r="N81" s="171"/>
      <c r="O81" s="277"/>
      <c r="P81" s="169" t="s">
        <v>63</v>
      </c>
      <c r="Q81" s="377"/>
      <c r="R81" s="277">
        <v>250</v>
      </c>
      <c r="S81" s="169" t="s">
        <v>63</v>
      </c>
      <c r="T81" s="278">
        <f t="shared" si="3"/>
        <v>0</v>
      </c>
      <c r="U81" s="281"/>
      <c r="V81" s="282"/>
      <c r="W81" s="278"/>
      <c r="X81" s="278"/>
      <c r="Y81" s="375"/>
      <c r="Z81" s="375"/>
      <c r="AA81" s="375"/>
      <c r="AB81" s="405"/>
    </row>
    <row r="82" spans="1:28" s="176" customFormat="1" ht="54.95" customHeight="1" x14ac:dyDescent="0.15">
      <c r="A82" s="387"/>
      <c r="B82" s="164">
        <f>E5</f>
        <v>70</v>
      </c>
      <c r="C82" s="410"/>
      <c r="D82" s="411"/>
      <c r="E82" s="412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70</v>
      </c>
      <c r="N82" s="171"/>
      <c r="O82" s="277"/>
      <c r="P82" s="169" t="s">
        <v>63</v>
      </c>
      <c r="Q82" s="377"/>
      <c r="R82" s="277">
        <v>70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5"/>
      <c r="Z82" s="375"/>
      <c r="AA82" s="375"/>
      <c r="AB82" s="405"/>
    </row>
    <row r="83" spans="1:28" s="176" customFormat="1" ht="54.95" customHeight="1" x14ac:dyDescent="0.15">
      <c r="A83" s="387"/>
      <c r="B83" s="164">
        <f>F5</f>
        <v>0</v>
      </c>
      <c r="C83" s="410"/>
      <c r="D83" s="411"/>
      <c r="E83" s="412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0</v>
      </c>
      <c r="N83" s="171"/>
      <c r="O83" s="277"/>
      <c r="P83" s="169" t="s">
        <v>63</v>
      </c>
      <c r="Q83" s="377"/>
      <c r="R83" s="168"/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405"/>
    </row>
    <row r="84" spans="1:28" s="176" customFormat="1" ht="54.95" customHeight="1" x14ac:dyDescent="0.15">
      <c r="A84" s="387"/>
      <c r="B84" s="164">
        <f>G5</f>
        <v>0</v>
      </c>
      <c r="C84" s="413"/>
      <c r="D84" s="414"/>
      <c r="E84" s="415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0</v>
      </c>
      <c r="N84" s="171"/>
      <c r="O84" s="277"/>
      <c r="P84" s="169" t="s">
        <v>63</v>
      </c>
      <c r="Q84" s="377"/>
      <c r="R84" s="168"/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405"/>
    </row>
    <row r="85" spans="1:28" s="176" customFormat="1" ht="54.95" customHeight="1" x14ac:dyDescent="0.15">
      <c r="A85" s="387"/>
      <c r="B85" s="164">
        <f>C6</f>
        <v>0</v>
      </c>
      <c r="C85" s="407">
        <f>A6</f>
        <v>0</v>
      </c>
      <c r="D85" s="408"/>
      <c r="E85" s="409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7"/>
      <c r="R85" s="277"/>
      <c r="S85" s="169" t="s">
        <v>63</v>
      </c>
      <c r="T85" s="278">
        <f t="shared" si="3"/>
        <v>0</v>
      </c>
      <c r="U85" s="281"/>
      <c r="V85" s="282"/>
      <c r="W85" s="278"/>
      <c r="X85" s="278"/>
      <c r="Y85" s="374" t="s">
        <v>67</v>
      </c>
      <c r="Z85" s="374"/>
      <c r="AA85" s="374"/>
      <c r="AB85" s="405"/>
    </row>
    <row r="86" spans="1:28" s="176" customFormat="1" ht="54.95" customHeight="1" x14ac:dyDescent="0.15">
      <c r="A86" s="387"/>
      <c r="B86" s="164">
        <f>D6</f>
        <v>0</v>
      </c>
      <c r="C86" s="410"/>
      <c r="D86" s="411"/>
      <c r="E86" s="412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si="4"/>
        <v>0</v>
      </c>
      <c r="N86" s="171"/>
      <c r="O86" s="277"/>
      <c r="P86" s="169" t="s">
        <v>63</v>
      </c>
      <c r="Q86" s="377"/>
      <c r="R86" s="277"/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405"/>
    </row>
    <row r="87" spans="1:28" s="176" customFormat="1" ht="54.95" customHeight="1" x14ac:dyDescent="0.15">
      <c r="A87" s="387"/>
      <c r="B87" s="164">
        <f>E6</f>
        <v>0</v>
      </c>
      <c r="C87" s="410"/>
      <c r="D87" s="411"/>
      <c r="E87" s="412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4"/>
        <v>0</v>
      </c>
      <c r="N87" s="171"/>
      <c r="O87" s="277"/>
      <c r="P87" s="169" t="s">
        <v>63</v>
      </c>
      <c r="Q87" s="377"/>
      <c r="R87" s="277"/>
      <c r="S87" s="169" t="s">
        <v>63</v>
      </c>
      <c r="T87" s="278">
        <f t="shared" si="3"/>
        <v>0</v>
      </c>
      <c r="U87" s="281"/>
      <c r="V87" s="282"/>
      <c r="W87" s="278"/>
      <c r="X87" s="278"/>
      <c r="Y87" s="375"/>
      <c r="Z87" s="375"/>
      <c r="AA87" s="375"/>
      <c r="AB87" s="405"/>
    </row>
    <row r="88" spans="1:28" s="176" customFormat="1" ht="54.95" customHeight="1" x14ac:dyDescent="0.15">
      <c r="A88" s="387"/>
      <c r="B88" s="164">
        <f>F10</f>
        <v>0</v>
      </c>
      <c r="C88" s="410"/>
      <c r="D88" s="411"/>
      <c r="E88" s="412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4"/>
        <v>0</v>
      </c>
      <c r="N88" s="171"/>
      <c r="O88" s="277"/>
      <c r="P88" s="169" t="s">
        <v>63</v>
      </c>
      <c r="Q88" s="377"/>
      <c r="R88" s="168"/>
      <c r="S88" s="169" t="s">
        <v>63</v>
      </c>
      <c r="T88" s="278">
        <f t="shared" si="3"/>
        <v>0</v>
      </c>
      <c r="U88" s="281"/>
      <c r="V88" s="282"/>
      <c r="W88" s="278"/>
      <c r="X88" s="278"/>
      <c r="Y88" s="375"/>
      <c r="Z88" s="375"/>
      <c r="AA88" s="375"/>
      <c r="AB88" s="405"/>
    </row>
    <row r="89" spans="1:28" s="176" customFormat="1" ht="54.95" customHeight="1" x14ac:dyDescent="0.15">
      <c r="A89" s="388"/>
      <c r="B89" s="164">
        <f>G10</f>
        <v>0</v>
      </c>
      <c r="C89" s="413"/>
      <c r="D89" s="414"/>
      <c r="E89" s="415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4"/>
        <v>0</v>
      </c>
      <c r="N89" s="171"/>
      <c r="O89" s="277"/>
      <c r="P89" s="169" t="s">
        <v>63</v>
      </c>
      <c r="Q89" s="378"/>
      <c r="R89" s="168"/>
      <c r="S89" s="169" t="s">
        <v>63</v>
      </c>
      <c r="T89" s="278">
        <f t="shared" si="3"/>
        <v>0</v>
      </c>
      <c r="U89" s="281"/>
      <c r="V89" s="282"/>
      <c r="W89" s="278"/>
      <c r="X89" s="278"/>
      <c r="Y89" s="375"/>
      <c r="Z89" s="375"/>
      <c r="AA89" s="375"/>
      <c r="AB89" s="406"/>
    </row>
    <row r="90" spans="1:28" s="55" customFormat="1" ht="54.95" customHeight="1" x14ac:dyDescent="0.15">
      <c r="A90" s="386" t="s">
        <v>70</v>
      </c>
      <c r="B90" s="87">
        <f>C11</f>
        <v>231</v>
      </c>
      <c r="C90" s="389" t="s">
        <v>71</v>
      </c>
      <c r="D90" s="390"/>
      <c r="E90" s="391"/>
      <c r="F90" s="368"/>
      <c r="G90" s="369"/>
      <c r="H90" s="370"/>
      <c r="I90" s="152"/>
      <c r="J90" s="90"/>
      <c r="K90" s="156">
        <v>1</v>
      </c>
      <c r="L90" s="77" t="s">
        <v>63</v>
      </c>
      <c r="M90" s="88">
        <f t="shared" si="4"/>
        <v>231</v>
      </c>
      <c r="N90" s="89"/>
      <c r="O90" s="153"/>
      <c r="P90" s="88" t="s">
        <v>63</v>
      </c>
      <c r="Q90" s="398">
        <v>46101</v>
      </c>
      <c r="R90" s="93">
        <v>231</v>
      </c>
      <c r="S90" s="88" t="s">
        <v>63</v>
      </c>
      <c r="T90" s="154">
        <f t="shared" si="3"/>
        <v>0</v>
      </c>
      <c r="U90" s="91"/>
      <c r="V90" s="159"/>
      <c r="W90" s="159"/>
      <c r="X90" s="159"/>
      <c r="Y90" s="401" t="s">
        <v>94</v>
      </c>
      <c r="Z90" s="416"/>
      <c r="AA90" s="416"/>
      <c r="AB90" s="419" t="s">
        <v>320</v>
      </c>
    </row>
    <row r="91" spans="1:28" s="55" customFormat="1" ht="54.95" customHeight="1" x14ac:dyDescent="0.15">
      <c r="A91" s="387"/>
      <c r="B91" s="87">
        <f>D11</f>
        <v>250</v>
      </c>
      <c r="C91" s="392"/>
      <c r="D91" s="393"/>
      <c r="E91" s="394"/>
      <c r="F91" s="368"/>
      <c r="G91" s="369"/>
      <c r="H91" s="370"/>
      <c r="I91" s="152"/>
      <c r="J91" s="90"/>
      <c r="K91" s="156">
        <v>1</v>
      </c>
      <c r="L91" s="77" t="s">
        <v>63</v>
      </c>
      <c r="M91" s="88">
        <f t="shared" si="4"/>
        <v>250</v>
      </c>
      <c r="N91" s="89"/>
      <c r="O91" s="153"/>
      <c r="P91" s="88" t="s">
        <v>63</v>
      </c>
      <c r="Q91" s="399"/>
      <c r="R91" s="93">
        <v>250</v>
      </c>
      <c r="S91" s="88" t="s">
        <v>63</v>
      </c>
      <c r="T91" s="154">
        <f t="shared" si="3"/>
        <v>0</v>
      </c>
      <c r="U91" s="91"/>
      <c r="V91" s="159"/>
      <c r="W91" s="159"/>
      <c r="X91" s="159"/>
      <c r="Y91" s="402"/>
      <c r="Z91" s="417"/>
      <c r="AA91" s="417"/>
      <c r="AB91" s="420"/>
    </row>
    <row r="92" spans="1:28" s="55" customFormat="1" ht="54.95" customHeight="1" x14ac:dyDescent="0.15">
      <c r="A92" s="387"/>
      <c r="B92" s="87">
        <f>E11</f>
        <v>70</v>
      </c>
      <c r="C92" s="392"/>
      <c r="D92" s="393"/>
      <c r="E92" s="394"/>
      <c r="F92" s="368"/>
      <c r="G92" s="369"/>
      <c r="H92" s="370"/>
      <c r="I92" s="152"/>
      <c r="J92" s="90"/>
      <c r="K92" s="156">
        <v>1</v>
      </c>
      <c r="L92" s="77" t="s">
        <v>63</v>
      </c>
      <c r="M92" s="88">
        <f t="shared" si="4"/>
        <v>70</v>
      </c>
      <c r="N92" s="89"/>
      <c r="O92" s="153"/>
      <c r="P92" s="88" t="s">
        <v>63</v>
      </c>
      <c r="Q92" s="399"/>
      <c r="R92" s="93">
        <v>70</v>
      </c>
      <c r="S92" s="88" t="s">
        <v>63</v>
      </c>
      <c r="T92" s="154">
        <f t="shared" si="3"/>
        <v>0</v>
      </c>
      <c r="U92" s="91"/>
      <c r="V92" s="159"/>
      <c r="W92" s="159"/>
      <c r="X92" s="159"/>
      <c r="Y92" s="402"/>
      <c r="Z92" s="417"/>
      <c r="AA92" s="417"/>
      <c r="AB92" s="420"/>
    </row>
    <row r="93" spans="1:28" s="55" customFormat="1" ht="54.95" customHeight="1" x14ac:dyDescent="0.15">
      <c r="A93" s="388"/>
      <c r="B93" s="87">
        <f>F11</f>
        <v>0</v>
      </c>
      <c r="C93" s="395"/>
      <c r="D93" s="396"/>
      <c r="E93" s="397"/>
      <c r="F93" s="368"/>
      <c r="G93" s="369"/>
      <c r="H93" s="370"/>
      <c r="I93" s="152"/>
      <c r="J93" s="90"/>
      <c r="K93" s="156"/>
      <c r="L93" s="77" t="s">
        <v>63</v>
      </c>
      <c r="M93" s="88">
        <f t="shared" si="4"/>
        <v>0</v>
      </c>
      <c r="N93" s="89"/>
      <c r="O93" s="153"/>
      <c r="P93" s="88" t="s">
        <v>63</v>
      </c>
      <c r="Q93" s="400"/>
      <c r="R93" s="162"/>
      <c r="S93" s="88" t="s">
        <v>63</v>
      </c>
      <c r="T93" s="154">
        <f t="shared" si="3"/>
        <v>0</v>
      </c>
      <c r="U93" s="91"/>
      <c r="V93" s="159"/>
      <c r="W93" s="159"/>
      <c r="X93" s="159"/>
      <c r="Y93" s="403"/>
      <c r="Z93" s="418"/>
      <c r="AA93" s="418"/>
      <c r="AB93" s="421"/>
    </row>
    <row r="94" spans="1:28" s="176" customFormat="1" ht="54.95" customHeight="1" x14ac:dyDescent="0.15">
      <c r="A94" s="163" t="s">
        <v>73</v>
      </c>
      <c r="B94" s="164">
        <f>I11</f>
        <v>551</v>
      </c>
      <c r="C94" s="371" t="s">
        <v>71</v>
      </c>
      <c r="D94" s="372"/>
      <c r="E94" s="373"/>
      <c r="F94" s="371"/>
      <c r="G94" s="372"/>
      <c r="H94" s="373"/>
      <c r="I94" s="165"/>
      <c r="J94" s="166"/>
      <c r="K94" s="167">
        <v>1</v>
      </c>
      <c r="L94" s="168" t="s">
        <v>63</v>
      </c>
      <c r="M94" s="88">
        <f t="shared" si="4"/>
        <v>551</v>
      </c>
      <c r="N94" s="170"/>
      <c r="O94" s="170"/>
      <c r="P94" s="169" t="s">
        <v>63</v>
      </c>
      <c r="Q94" s="363">
        <v>46101</v>
      </c>
      <c r="R94" s="165">
        <v>551</v>
      </c>
      <c r="S94" s="169" t="s">
        <v>63</v>
      </c>
      <c r="T94" s="154">
        <f t="shared" si="3"/>
        <v>0</v>
      </c>
      <c r="U94" s="170"/>
      <c r="V94" s="172"/>
      <c r="W94" s="172"/>
      <c r="X94" s="172"/>
      <c r="Y94" s="374" t="s">
        <v>72</v>
      </c>
      <c r="Z94" s="380"/>
      <c r="AA94" s="383"/>
      <c r="AB94" s="586" t="s">
        <v>320</v>
      </c>
    </row>
    <row r="95" spans="1:28" s="55" customFormat="1" ht="54.95" customHeight="1" x14ac:dyDescent="0.15">
      <c r="A95" s="163" t="s">
        <v>81</v>
      </c>
      <c r="B95" s="87">
        <f>I11</f>
        <v>551</v>
      </c>
      <c r="C95" s="368" t="s">
        <v>71</v>
      </c>
      <c r="D95" s="369"/>
      <c r="E95" s="370"/>
      <c r="F95" s="368"/>
      <c r="G95" s="369"/>
      <c r="H95" s="370"/>
      <c r="I95" s="93"/>
      <c r="J95" s="90"/>
      <c r="K95" s="156">
        <v>1</v>
      </c>
      <c r="L95" s="77" t="s">
        <v>63</v>
      </c>
      <c r="M95" s="88">
        <f>K95*B95</f>
        <v>551</v>
      </c>
      <c r="N95" s="91"/>
      <c r="O95" s="91"/>
      <c r="P95" s="169" t="s">
        <v>63</v>
      </c>
      <c r="Q95" s="364"/>
      <c r="R95" s="93">
        <v>551</v>
      </c>
      <c r="S95" s="169" t="s">
        <v>63</v>
      </c>
      <c r="T95" s="154">
        <f t="shared" si="3"/>
        <v>0</v>
      </c>
      <c r="U95" s="91"/>
      <c r="V95" s="91"/>
      <c r="W95" s="91"/>
      <c r="X95" s="91"/>
      <c r="Y95" s="375"/>
      <c r="Z95" s="381"/>
      <c r="AA95" s="384"/>
      <c r="AB95" s="587"/>
    </row>
    <row r="96" spans="1:28" s="55" customFormat="1" ht="54.95" customHeight="1" x14ac:dyDescent="0.15">
      <c r="A96" s="284" t="s">
        <v>74</v>
      </c>
      <c r="B96" s="87">
        <f>I11</f>
        <v>551</v>
      </c>
      <c r="C96" s="368" t="s">
        <v>71</v>
      </c>
      <c r="D96" s="369"/>
      <c r="E96" s="370"/>
      <c r="F96" s="368"/>
      <c r="G96" s="369"/>
      <c r="H96" s="370"/>
      <c r="I96" s="93" t="s">
        <v>199</v>
      </c>
      <c r="J96" s="93"/>
      <c r="K96" s="156">
        <v>1</v>
      </c>
      <c r="L96" s="77" t="s">
        <v>63</v>
      </c>
      <c r="M96" s="88">
        <f t="shared" si="4"/>
        <v>551</v>
      </c>
      <c r="N96" s="91"/>
      <c r="O96" s="91"/>
      <c r="P96" s="89" t="s">
        <v>63</v>
      </c>
      <c r="Q96" s="365"/>
      <c r="R96" s="93">
        <v>750</v>
      </c>
      <c r="S96" s="89" t="s">
        <v>63</v>
      </c>
      <c r="T96" s="154">
        <f t="shared" si="3"/>
        <v>199</v>
      </c>
      <c r="U96" s="91"/>
      <c r="V96" s="91"/>
      <c r="W96" s="91"/>
      <c r="X96" s="91"/>
      <c r="Y96" s="379"/>
      <c r="Z96" s="382"/>
      <c r="AA96" s="385"/>
      <c r="AB96" s="588"/>
    </row>
    <row r="97" spans="1:29" x14ac:dyDescent="0.15">
      <c r="A97" s="285"/>
      <c r="B97" s="366"/>
      <c r="C97" s="366"/>
      <c r="D97" s="177"/>
      <c r="E97" s="177"/>
      <c r="F97" s="100"/>
      <c r="G97" s="100"/>
      <c r="H97" s="100"/>
      <c r="I97" s="177"/>
      <c r="J97" s="177"/>
      <c r="K97" s="101"/>
      <c r="L97" s="102"/>
      <c r="M97" s="103"/>
      <c r="N97" s="104"/>
      <c r="O97" s="104"/>
      <c r="P97" s="177"/>
      <c r="Q97" s="105"/>
      <c r="R97" s="105"/>
      <c r="S97" s="106"/>
      <c r="T97" s="107"/>
      <c r="U97" s="108"/>
      <c r="V97" s="108"/>
      <c r="W97" s="109"/>
      <c r="X97" s="107"/>
      <c r="Y97" s="110"/>
      <c r="Z97" s="111"/>
      <c r="AA97" s="111"/>
    </row>
    <row r="98" spans="1:29" x14ac:dyDescent="0.15">
      <c r="A98" s="285"/>
      <c r="B98" s="366"/>
      <c r="C98" s="366"/>
      <c r="D98" s="177"/>
      <c r="E98" s="177"/>
      <c r="F98" s="367"/>
      <c r="G98" s="367"/>
      <c r="H98" s="367"/>
      <c r="I98" s="177"/>
      <c r="J98" s="177"/>
      <c r="K98" s="101"/>
      <c r="L98" s="102"/>
      <c r="M98" s="103"/>
      <c r="N98" s="104"/>
      <c r="O98" s="104"/>
      <c r="P98" s="177"/>
      <c r="Q98" s="105"/>
      <c r="R98" s="105"/>
      <c r="S98" s="106"/>
      <c r="T98" s="107"/>
      <c r="U98" s="108"/>
      <c r="V98" s="108"/>
      <c r="W98" s="109"/>
      <c r="X98" s="107"/>
      <c r="Y98" s="112"/>
      <c r="Z98" s="111"/>
      <c r="AA98" s="111"/>
    </row>
    <row r="99" spans="1:29" x14ac:dyDescent="0.15">
      <c r="J99" s="177"/>
    </row>
    <row r="100" spans="1:29" x14ac:dyDescent="0.15">
      <c r="J100" s="177"/>
    </row>
    <row r="107" spans="1:29" s="114" customFormat="1" x14ac:dyDescent="0.15">
      <c r="A107" s="286"/>
      <c r="B107" s="113"/>
      <c r="C107" s="1"/>
      <c r="D107" s="1"/>
      <c r="E107" s="1"/>
      <c r="F107" s="1"/>
      <c r="G107" s="1"/>
      <c r="H107" s="1"/>
      <c r="I107" s="1"/>
      <c r="J107" s="1"/>
      <c r="L107" s="115"/>
      <c r="M107" s="116"/>
      <c r="N107" s="117"/>
      <c r="O107" s="117"/>
      <c r="P107" s="1"/>
      <c r="Q107" s="118"/>
      <c r="R107" s="118"/>
      <c r="S107" s="115"/>
      <c r="T107" s="119"/>
      <c r="U107" s="1"/>
      <c r="V107" s="1"/>
      <c r="W107" s="120"/>
      <c r="X107" s="121"/>
      <c r="Y107" s="1"/>
      <c r="Z107" s="1"/>
      <c r="AA107" s="1"/>
      <c r="AB107" s="1"/>
      <c r="AC107" s="1"/>
    </row>
    <row r="108" spans="1:29" s="114" customFormat="1" x14ac:dyDescent="0.15">
      <c r="A108" s="286"/>
      <c r="B108" s="113"/>
      <c r="C108" s="1"/>
      <c r="D108" s="1"/>
      <c r="E108" s="1"/>
      <c r="F108" s="1"/>
      <c r="G108" s="1"/>
      <c r="H108" s="1"/>
      <c r="I108" s="1"/>
      <c r="J108" s="1"/>
      <c r="L108" s="115"/>
      <c r="M108" s="116"/>
      <c r="N108" s="117"/>
      <c r="O108" s="117"/>
      <c r="P108" s="1"/>
      <c r="Q108" s="118"/>
      <c r="R108" s="118"/>
      <c r="S108" s="115"/>
      <c r="T108" s="119"/>
      <c r="U108" s="1"/>
      <c r="V108" s="1"/>
      <c r="W108" s="120"/>
      <c r="X108" s="121"/>
      <c r="Y108" s="1"/>
      <c r="Z108" s="1"/>
      <c r="AA108" s="1"/>
      <c r="AB108" s="1"/>
      <c r="AC108" s="1"/>
    </row>
  </sheetData>
  <mergeCells count="352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N13:P13"/>
    <mergeCell ref="C20:E20"/>
    <mergeCell ref="F20:H20"/>
    <mergeCell ref="A21:A22"/>
    <mergeCell ref="C21:E21"/>
    <mergeCell ref="F21:H21"/>
    <mergeCell ref="I21:I22"/>
    <mergeCell ref="AB17:AB18"/>
    <mergeCell ref="C18:E18"/>
    <mergeCell ref="F18:H18"/>
    <mergeCell ref="A19:A20"/>
    <mergeCell ref="C19:E19"/>
    <mergeCell ref="F19:H19"/>
    <mergeCell ref="I19:I20"/>
    <mergeCell ref="Q19:Q20"/>
    <mergeCell ref="Y19:Y20"/>
    <mergeCell ref="AB19:AB20"/>
    <mergeCell ref="Q21:Q22"/>
    <mergeCell ref="Y21:Y22"/>
    <mergeCell ref="AB21:AB22"/>
    <mergeCell ref="C22:E22"/>
    <mergeCell ref="F22:H22"/>
    <mergeCell ref="AB15:AB16"/>
    <mergeCell ref="A23:A24"/>
    <mergeCell ref="C23:E23"/>
    <mergeCell ref="F23:H23"/>
    <mergeCell ref="I23:I24"/>
    <mergeCell ref="Q23:Q24"/>
    <mergeCell ref="Y23:Y24"/>
    <mergeCell ref="C24:E24"/>
    <mergeCell ref="F24:H24"/>
    <mergeCell ref="AB23:AB26"/>
    <mergeCell ref="AC26:AF26"/>
    <mergeCell ref="A27:A28"/>
    <mergeCell ref="C27:E27"/>
    <mergeCell ref="F27:H27"/>
    <mergeCell ref="I27:I28"/>
    <mergeCell ref="Q27:Q28"/>
    <mergeCell ref="Y27:Y28"/>
    <mergeCell ref="AB27:AB28"/>
    <mergeCell ref="C28:E28"/>
    <mergeCell ref="F28:H28"/>
    <mergeCell ref="AC28:AF28"/>
    <mergeCell ref="A25:A26"/>
    <mergeCell ref="C25:E25"/>
    <mergeCell ref="F25:H25"/>
    <mergeCell ref="I25:I26"/>
    <mergeCell ref="Q25:Q26"/>
    <mergeCell ref="Y25:Y26"/>
    <mergeCell ref="C26:E26"/>
    <mergeCell ref="F26:H26"/>
    <mergeCell ref="AC30:AF30"/>
    <mergeCell ref="A31:A32"/>
    <mergeCell ref="C31:E31"/>
    <mergeCell ref="F31:H31"/>
    <mergeCell ref="I31:I32"/>
    <mergeCell ref="Q31:Q32"/>
    <mergeCell ref="Y31:Y32"/>
    <mergeCell ref="AB31:AB32"/>
    <mergeCell ref="C32:E32"/>
    <mergeCell ref="F32:H32"/>
    <mergeCell ref="AC32:AF32"/>
    <mergeCell ref="A29:A30"/>
    <mergeCell ref="C29:E29"/>
    <mergeCell ref="F29:H29"/>
    <mergeCell ref="I29:I30"/>
    <mergeCell ref="Q29:Q30"/>
    <mergeCell ref="Y29:Y30"/>
    <mergeCell ref="AB29:AB30"/>
    <mergeCell ref="C30:E30"/>
    <mergeCell ref="F30:H30"/>
    <mergeCell ref="A33:A34"/>
    <mergeCell ref="C33:E33"/>
    <mergeCell ref="F33:H33"/>
    <mergeCell ref="I33:I34"/>
    <mergeCell ref="Y33:Y34"/>
    <mergeCell ref="C34:E34"/>
    <mergeCell ref="F34:H34"/>
    <mergeCell ref="AC34:AF34"/>
    <mergeCell ref="A35:A36"/>
    <mergeCell ref="C35:E35"/>
    <mergeCell ref="F35:H35"/>
    <mergeCell ref="I35:I36"/>
    <mergeCell ref="Y35:Y36"/>
    <mergeCell ref="C36:E36"/>
    <mergeCell ref="F36:H36"/>
    <mergeCell ref="AC36:AF36"/>
    <mergeCell ref="AB33:AB38"/>
    <mergeCell ref="AC38:AF38"/>
    <mergeCell ref="A39:A40"/>
    <mergeCell ref="C39:E39"/>
    <mergeCell ref="F39:H39"/>
    <mergeCell ref="I39:I40"/>
    <mergeCell ref="Y39:Y40"/>
    <mergeCell ref="C40:E40"/>
    <mergeCell ref="F40:H40"/>
    <mergeCell ref="AC40:AF40"/>
    <mergeCell ref="A37:A38"/>
    <mergeCell ref="C37:E37"/>
    <mergeCell ref="F37:H37"/>
    <mergeCell ref="I37:I38"/>
    <mergeCell ref="Y37:Y38"/>
    <mergeCell ref="C38:E38"/>
    <mergeCell ref="F38:H38"/>
    <mergeCell ref="A41:A42"/>
    <mergeCell ref="C41:E41"/>
    <mergeCell ref="F41:H41"/>
    <mergeCell ref="Q41:Q44"/>
    <mergeCell ref="Y41:Y42"/>
    <mergeCell ref="AB41:AB44"/>
    <mergeCell ref="C42:E42"/>
    <mergeCell ref="F42:H42"/>
    <mergeCell ref="A43:A44"/>
    <mergeCell ref="C43:E43"/>
    <mergeCell ref="F43:H43"/>
    <mergeCell ref="Y43:Y44"/>
    <mergeCell ref="C44:E44"/>
    <mergeCell ref="F44:H44"/>
    <mergeCell ref="AB45:AB46"/>
    <mergeCell ref="C46:E46"/>
    <mergeCell ref="F46:H46"/>
    <mergeCell ref="A47:A48"/>
    <mergeCell ref="C47:E47"/>
    <mergeCell ref="F47:H47"/>
    <mergeCell ref="Q47:Q48"/>
    <mergeCell ref="Y47:Y48"/>
    <mergeCell ref="AB47:AB48"/>
    <mergeCell ref="C48:E48"/>
    <mergeCell ref="A45:A46"/>
    <mergeCell ref="C45:E45"/>
    <mergeCell ref="F45:H45"/>
    <mergeCell ref="I45:I46"/>
    <mergeCell ref="Q45:Q46"/>
    <mergeCell ref="Y45:Y46"/>
    <mergeCell ref="F48:H48"/>
    <mergeCell ref="AB49:AB52"/>
    <mergeCell ref="C50:E50"/>
    <mergeCell ref="F50:H50"/>
    <mergeCell ref="A51:A52"/>
    <mergeCell ref="C51:E51"/>
    <mergeCell ref="F51:H51"/>
    <mergeCell ref="I51:I52"/>
    <mergeCell ref="Y51:Y52"/>
    <mergeCell ref="C52:E52"/>
    <mergeCell ref="A49:A50"/>
    <mergeCell ref="C49:E49"/>
    <mergeCell ref="F49:H49"/>
    <mergeCell ref="I49:I50"/>
    <mergeCell ref="Q49:Q52"/>
    <mergeCell ref="F52:H52"/>
    <mergeCell ref="Y49:Y50"/>
    <mergeCell ref="A55:A56"/>
    <mergeCell ref="C55:E55"/>
    <mergeCell ref="F55:H55"/>
    <mergeCell ref="Q55:Q56"/>
    <mergeCell ref="Y55:Y56"/>
    <mergeCell ref="AB55:AB56"/>
    <mergeCell ref="C56:E56"/>
    <mergeCell ref="F56:H56"/>
    <mergeCell ref="A53:A54"/>
    <mergeCell ref="C53:E53"/>
    <mergeCell ref="F53:H53"/>
    <mergeCell ref="Q53:Q54"/>
    <mergeCell ref="Y53:Y54"/>
    <mergeCell ref="AB53:AB54"/>
    <mergeCell ref="C54:E54"/>
    <mergeCell ref="F54:H54"/>
    <mergeCell ref="A59:A60"/>
    <mergeCell ref="C59:E59"/>
    <mergeCell ref="F59:H59"/>
    <mergeCell ref="Q59:Q60"/>
    <mergeCell ref="Y59:Y60"/>
    <mergeCell ref="AB59:AB60"/>
    <mergeCell ref="C60:E60"/>
    <mergeCell ref="F60:H60"/>
    <mergeCell ref="A57:A58"/>
    <mergeCell ref="C57:E57"/>
    <mergeCell ref="F57:H57"/>
    <mergeCell ref="Q57:Q58"/>
    <mergeCell ref="Y57:Y58"/>
    <mergeCell ref="AB57:AB58"/>
    <mergeCell ref="C58:E58"/>
    <mergeCell ref="F58:H58"/>
    <mergeCell ref="AB61:AB62"/>
    <mergeCell ref="C62:E62"/>
    <mergeCell ref="F62:H62"/>
    <mergeCell ref="A63:A64"/>
    <mergeCell ref="C63:E63"/>
    <mergeCell ref="F63:H63"/>
    <mergeCell ref="I63:I64"/>
    <mergeCell ref="Q63:Q64"/>
    <mergeCell ref="Y63:Y64"/>
    <mergeCell ref="AB63:AB64"/>
    <mergeCell ref="A61:A62"/>
    <mergeCell ref="C61:E61"/>
    <mergeCell ref="F61:H61"/>
    <mergeCell ref="I61:I62"/>
    <mergeCell ref="Q61:Q62"/>
    <mergeCell ref="Y61:Y62"/>
    <mergeCell ref="C64:E64"/>
    <mergeCell ref="F64:H64"/>
    <mergeCell ref="A70:A79"/>
    <mergeCell ref="C70:E74"/>
    <mergeCell ref="F70:H70"/>
    <mergeCell ref="A65:A69"/>
    <mergeCell ref="C65:E69"/>
    <mergeCell ref="F65:H65"/>
    <mergeCell ref="Q65:Q69"/>
    <mergeCell ref="F71:H71"/>
    <mergeCell ref="F72:H72"/>
    <mergeCell ref="F73:H73"/>
    <mergeCell ref="F74:H74"/>
    <mergeCell ref="F66:H66"/>
    <mergeCell ref="F67:H67"/>
    <mergeCell ref="F68:H68"/>
    <mergeCell ref="F69:H69"/>
    <mergeCell ref="Y65:Y69"/>
    <mergeCell ref="Z65:Z69"/>
    <mergeCell ref="AA65:AA69"/>
    <mergeCell ref="AB65:AB69"/>
    <mergeCell ref="C75:E79"/>
    <mergeCell ref="F75:H75"/>
    <mergeCell ref="Y75:Y79"/>
    <mergeCell ref="Z75:Z79"/>
    <mergeCell ref="AA75:AA79"/>
    <mergeCell ref="F76:H76"/>
    <mergeCell ref="F77:H77"/>
    <mergeCell ref="F78:H78"/>
    <mergeCell ref="F79:H79"/>
    <mergeCell ref="AB70:AB79"/>
    <mergeCell ref="AA85:AA89"/>
    <mergeCell ref="F80:H80"/>
    <mergeCell ref="Q80:Q89"/>
    <mergeCell ref="Y80:Y84"/>
    <mergeCell ref="Z80:Z84"/>
    <mergeCell ref="F86:H86"/>
    <mergeCell ref="F87:H87"/>
    <mergeCell ref="F88:H88"/>
    <mergeCell ref="Q70:Q79"/>
    <mergeCell ref="Y70:Y74"/>
    <mergeCell ref="Z70:Z74"/>
    <mergeCell ref="AA70:AA74"/>
    <mergeCell ref="Z90:Z93"/>
    <mergeCell ref="AA90:AA93"/>
    <mergeCell ref="AB90:AB93"/>
    <mergeCell ref="F91:H91"/>
    <mergeCell ref="F92:H92"/>
    <mergeCell ref="F93:H93"/>
    <mergeCell ref="F89:H89"/>
    <mergeCell ref="A90:A93"/>
    <mergeCell ref="C90:E93"/>
    <mergeCell ref="F90:H90"/>
    <mergeCell ref="Q90:Q93"/>
    <mergeCell ref="Y90:Y93"/>
    <mergeCell ref="A80:A89"/>
    <mergeCell ref="C80:E84"/>
    <mergeCell ref="C85:E89"/>
    <mergeCell ref="AA80:AA84"/>
    <mergeCell ref="AB80:AB89"/>
    <mergeCell ref="F81:H81"/>
    <mergeCell ref="F82:H82"/>
    <mergeCell ref="F83:H83"/>
    <mergeCell ref="F84:H84"/>
    <mergeCell ref="F85:H85"/>
    <mergeCell ref="Y85:Y89"/>
    <mergeCell ref="Z85:Z89"/>
    <mergeCell ref="B98:C98"/>
    <mergeCell ref="F98:H98"/>
    <mergeCell ref="AB94:AB96"/>
    <mergeCell ref="C95:E95"/>
    <mergeCell ref="F95:H95"/>
    <mergeCell ref="C96:E96"/>
    <mergeCell ref="F96:H96"/>
    <mergeCell ref="B97:C97"/>
    <mergeCell ref="C94:E94"/>
    <mergeCell ref="F94:H94"/>
    <mergeCell ref="Q94:Q96"/>
    <mergeCell ref="Y94:Y96"/>
    <mergeCell ref="Z94:Z96"/>
    <mergeCell ref="AA94:AA9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3" orientation="portrait" r:id="rId1"/>
  <headerFooter alignWithMargins="0"/>
  <rowBreaks count="1" manualBreakCount="1">
    <brk id="69" max="27" man="1"/>
  </rowBreaks>
  <colBreaks count="1" manualBreakCount="1">
    <brk id="2" max="46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A978-33C1-4114-83A0-C82AE22CE2F5}">
  <sheetPr>
    <tabColor rgb="FFFF0000"/>
  </sheetPr>
  <dimension ref="A1"/>
  <sheetViews>
    <sheetView workbookViewId="0">
      <selection activeCell="Q37" sqref="Q37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6017-D86E-4248-B0E1-FA940EB2E7A3}">
  <sheetPr>
    <pageSetUpPr fitToPage="1"/>
  </sheetPr>
  <dimension ref="A1:AF128"/>
  <sheetViews>
    <sheetView view="pageBreakPreview" topLeftCell="A47" zoomScale="75" zoomScaleNormal="100" zoomScaleSheetLayoutView="75" workbookViewId="0">
      <selection activeCell="A50" sqref="A50:A52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7773437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279</v>
      </c>
      <c r="C2" s="548"/>
      <c r="D2" s="548"/>
      <c r="E2" s="548"/>
      <c r="F2" s="548"/>
      <c r="G2" s="549"/>
      <c r="H2" s="180" t="s">
        <v>1</v>
      </c>
      <c r="I2" s="550">
        <f>I11</f>
        <v>561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328</v>
      </c>
      <c r="B5" s="480"/>
      <c r="C5" s="182">
        <v>187</v>
      </c>
      <c r="D5" s="182">
        <v>100</v>
      </c>
      <c r="E5" s="182"/>
      <c r="F5" s="182"/>
      <c r="G5" s="182"/>
      <c r="H5" s="542" t="s">
        <v>24</v>
      </c>
      <c r="I5" s="524">
        <f t="shared" ref="I5:I11" si="0">SUM(C5:G5)</f>
        <v>287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82</v>
      </c>
      <c r="B6" s="523"/>
      <c r="C6" s="182">
        <v>174</v>
      </c>
      <c r="D6" s="182">
        <v>100</v>
      </c>
      <c r="E6" s="182"/>
      <c r="F6" s="182"/>
      <c r="G6" s="182"/>
      <c r="H6" s="537"/>
      <c r="I6" s="524">
        <f t="shared" si="0"/>
        <v>274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 t="s">
        <v>330</v>
      </c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46154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90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361</v>
      </c>
      <c r="D11" s="181">
        <f>SUM(D5:D10)</f>
        <v>200</v>
      </c>
      <c r="E11" s="181">
        <f>SUM(E5:E10)</f>
        <v>0</v>
      </c>
      <c r="F11" s="181">
        <f>SUM(F5:F10)</f>
        <v>0</v>
      </c>
      <c r="G11" s="181">
        <f>SUM(G5:G10)</f>
        <v>0</v>
      </c>
      <c r="H11" s="182"/>
      <c r="I11" s="481">
        <f t="shared" si="0"/>
        <v>561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45902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368.22</v>
      </c>
      <c r="D12" s="43">
        <f>D11*1.02</f>
        <v>204</v>
      </c>
      <c r="E12" s="43">
        <f>E11*1.02</f>
        <v>0</v>
      </c>
      <c r="F12" s="43">
        <f>F11*1.02</f>
        <v>0</v>
      </c>
      <c r="G12" s="43">
        <f>G11*1.02</f>
        <v>0</v>
      </c>
      <c r="H12" s="44"/>
      <c r="I12" s="486">
        <f>I11*1.02</f>
        <v>572.22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>$I$5</f>
        <v>287</v>
      </c>
      <c r="C15" s="474" t="str">
        <f t="shared" ref="C15:C31" si="1">$A$5</f>
        <v>CG</v>
      </c>
      <c r="D15" s="475"/>
      <c r="E15" s="476"/>
      <c r="F15" s="474"/>
      <c r="G15" s="475"/>
      <c r="H15" s="476"/>
      <c r="I15" s="71" t="s">
        <v>128</v>
      </c>
      <c r="J15" s="65" t="s">
        <v>6</v>
      </c>
      <c r="K15" s="66">
        <v>1.81</v>
      </c>
      <c r="L15" s="67" t="s">
        <v>7</v>
      </c>
      <c r="M15" s="68">
        <f>K15*B15</f>
        <v>519.47</v>
      </c>
      <c r="N15" s="69"/>
      <c r="O15" s="70"/>
      <c r="P15" s="67" t="s">
        <v>7</v>
      </c>
      <c r="Q15" s="478"/>
      <c r="R15" s="311"/>
      <c r="S15" s="71" t="s">
        <v>7</v>
      </c>
      <c r="T15" s="123">
        <f t="shared" ref="T15:T116" si="2">R15-M15</f>
        <v>-519.47</v>
      </c>
      <c r="U15" s="72"/>
      <c r="V15" s="72"/>
      <c r="W15" s="73"/>
      <c r="X15" s="74"/>
      <c r="Y15" s="330" t="s">
        <v>329</v>
      </c>
      <c r="Z15" s="63"/>
      <c r="AA15" s="64"/>
      <c r="AB15" s="566" t="s">
        <v>331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274</v>
      </c>
      <c r="C16" s="368" t="str">
        <f>$A$6</f>
        <v>CR</v>
      </c>
      <c r="D16" s="369"/>
      <c r="E16" s="370"/>
      <c r="F16" s="368"/>
      <c r="G16" s="369"/>
      <c r="H16" s="370"/>
      <c r="I16" s="75" t="s">
        <v>99</v>
      </c>
      <c r="J16" s="76" t="s">
        <v>6</v>
      </c>
      <c r="K16" s="83">
        <v>1.86</v>
      </c>
      <c r="L16" s="77" t="s">
        <v>7</v>
      </c>
      <c r="M16" s="78">
        <f t="shared" ref="M16:M79" si="3">K16*B16</f>
        <v>509.64000000000004</v>
      </c>
      <c r="N16" s="79"/>
      <c r="O16" s="128"/>
      <c r="P16" s="77" t="s">
        <v>7</v>
      </c>
      <c r="Q16" s="447"/>
      <c r="R16" s="294"/>
      <c r="S16" s="75" t="s">
        <v>7</v>
      </c>
      <c r="T16" s="81">
        <f t="shared" si="2"/>
        <v>-509.64000000000004</v>
      </c>
      <c r="U16" s="131"/>
      <c r="V16" s="131"/>
      <c r="W16" s="132"/>
      <c r="X16" s="133"/>
      <c r="Y16" s="320" t="s">
        <v>273</v>
      </c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75"/>
      <c r="J17" s="76" t="s">
        <v>6</v>
      </c>
      <c r="K17" s="323"/>
      <c r="L17" s="77" t="s">
        <v>7</v>
      </c>
      <c r="M17" s="78">
        <f t="shared" si="3"/>
        <v>0</v>
      </c>
      <c r="N17" s="79"/>
      <c r="O17" s="128"/>
      <c r="P17" s="77" t="s">
        <v>7</v>
      </c>
      <c r="Q17" s="444"/>
      <c r="R17" s="294"/>
      <c r="S17" s="75" t="s">
        <v>7</v>
      </c>
      <c r="T17" s="81">
        <f t="shared" si="2"/>
        <v>0</v>
      </c>
      <c r="U17" s="131"/>
      <c r="V17" s="131"/>
      <c r="W17" s="132"/>
      <c r="X17" s="133"/>
      <c r="Y17" s="329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ref="B18:B31" si="4">$I$5</f>
        <v>287</v>
      </c>
      <c r="C18" s="461" t="str">
        <f t="shared" si="1"/>
        <v>CG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3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2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274</v>
      </c>
      <c r="C19" s="461" t="str">
        <f>$A$6</f>
        <v>CR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3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2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55" customFormat="1" ht="69.95" customHeight="1" x14ac:dyDescent="0.15">
      <c r="A20" s="431" t="s">
        <v>283</v>
      </c>
      <c r="B20" s="182">
        <f t="shared" si="4"/>
        <v>287</v>
      </c>
      <c r="C20" s="461" t="str">
        <f t="shared" si="1"/>
        <v>CG</v>
      </c>
      <c r="D20" s="461"/>
      <c r="E20" s="461"/>
      <c r="F20" s="461"/>
      <c r="G20" s="461"/>
      <c r="H20" s="461"/>
      <c r="I20" s="75" t="s">
        <v>99</v>
      </c>
      <c r="J20" s="76" t="s">
        <v>6</v>
      </c>
      <c r="K20" s="136">
        <v>0.61</v>
      </c>
      <c r="L20" s="77" t="s">
        <v>7</v>
      </c>
      <c r="M20" s="78">
        <f t="shared" si="3"/>
        <v>175.07</v>
      </c>
      <c r="N20" s="79"/>
      <c r="O20" s="78"/>
      <c r="P20" s="80" t="s">
        <v>7</v>
      </c>
      <c r="Q20" s="443">
        <v>46164</v>
      </c>
      <c r="R20" s="78">
        <v>176</v>
      </c>
      <c r="S20" s="80" t="s">
        <v>7</v>
      </c>
      <c r="T20" s="81">
        <f t="shared" si="2"/>
        <v>0.93000000000000682</v>
      </c>
      <c r="U20" s="82"/>
      <c r="V20" s="137"/>
      <c r="W20" s="78"/>
      <c r="X20" s="78"/>
      <c r="Y20" s="445" t="s">
        <v>93</v>
      </c>
      <c r="Z20" s="138"/>
      <c r="AA20" s="135"/>
      <c r="AB20" s="360"/>
      <c r="AC20" s="178"/>
      <c r="AD20" s="179"/>
      <c r="AE20" s="179"/>
      <c r="AF20" s="179"/>
    </row>
    <row r="21" spans="1:32" s="55" customFormat="1" ht="69.95" customHeight="1" x14ac:dyDescent="0.15">
      <c r="A21" s="559"/>
      <c r="B21" s="182">
        <f>$I$6</f>
        <v>274</v>
      </c>
      <c r="C21" s="461" t="str">
        <f>$A$6</f>
        <v>CR</v>
      </c>
      <c r="D21" s="461"/>
      <c r="E21" s="461"/>
      <c r="F21" s="461"/>
      <c r="G21" s="461"/>
      <c r="H21" s="461"/>
      <c r="I21" s="75" t="s">
        <v>287</v>
      </c>
      <c r="J21" s="76" t="s">
        <v>6</v>
      </c>
      <c r="K21" s="136">
        <v>0.61</v>
      </c>
      <c r="L21" s="77" t="s">
        <v>7</v>
      </c>
      <c r="M21" s="78">
        <f t="shared" si="3"/>
        <v>167.14</v>
      </c>
      <c r="N21" s="79"/>
      <c r="O21" s="128"/>
      <c r="P21" s="77" t="s">
        <v>7</v>
      </c>
      <c r="Q21" s="447"/>
      <c r="R21" s="137">
        <v>168</v>
      </c>
      <c r="S21" s="75" t="s">
        <v>7</v>
      </c>
      <c r="T21" s="81">
        <f t="shared" si="2"/>
        <v>0.86000000000001364</v>
      </c>
      <c r="U21" s="131"/>
      <c r="V21" s="131"/>
      <c r="W21" s="132"/>
      <c r="X21" s="133"/>
      <c r="Y21" s="557"/>
      <c r="Z21" s="228"/>
      <c r="AA21" s="228"/>
      <c r="AB21" s="361"/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$I$7</f>
        <v>0</v>
      </c>
      <c r="C22" s="461">
        <f>$A$7</f>
        <v>0</v>
      </c>
      <c r="D22" s="461"/>
      <c r="E22" s="461"/>
      <c r="F22" s="461"/>
      <c r="G22" s="461"/>
      <c r="H22" s="461"/>
      <c r="I22" s="75"/>
      <c r="J22" s="76" t="s">
        <v>6</v>
      </c>
      <c r="K22" s="136"/>
      <c r="L22" s="77" t="s">
        <v>7</v>
      </c>
      <c r="M22" s="78">
        <f t="shared" si="3"/>
        <v>0</v>
      </c>
      <c r="N22" s="79"/>
      <c r="O22" s="128"/>
      <c r="P22" s="77" t="s">
        <v>7</v>
      </c>
      <c r="Q22" s="444"/>
      <c r="R22" s="137"/>
      <c r="S22" s="75" t="s">
        <v>7</v>
      </c>
      <c r="T22" s="81">
        <f t="shared" si="2"/>
        <v>0</v>
      </c>
      <c r="U22" s="131"/>
      <c r="V22" s="131"/>
      <c r="W22" s="132"/>
      <c r="X22" s="133"/>
      <c r="Y22" s="446"/>
      <c r="Z22" s="228"/>
      <c r="AA22" s="228"/>
      <c r="AB22" s="362"/>
      <c r="AC22" s="178"/>
      <c r="AD22" s="179"/>
      <c r="AE22" s="179"/>
      <c r="AF22" s="179"/>
    </row>
    <row r="23" spans="1:32" s="55" customFormat="1" ht="69.95" customHeight="1" x14ac:dyDescent="0.15">
      <c r="A23" s="431" t="s">
        <v>315</v>
      </c>
      <c r="B23" s="182">
        <f t="shared" si="4"/>
        <v>287</v>
      </c>
      <c r="C23" s="461" t="str">
        <f t="shared" si="1"/>
        <v>CG</v>
      </c>
      <c r="D23" s="461"/>
      <c r="E23" s="461"/>
      <c r="F23" s="461"/>
      <c r="G23" s="461"/>
      <c r="H23" s="461"/>
      <c r="I23" s="75" t="s">
        <v>287</v>
      </c>
      <c r="J23" s="76" t="s">
        <v>6</v>
      </c>
      <c r="K23" s="136">
        <v>0.61</v>
      </c>
      <c r="L23" s="77" t="s">
        <v>7</v>
      </c>
      <c r="M23" s="78">
        <f t="shared" si="3"/>
        <v>175.07</v>
      </c>
      <c r="N23" s="79"/>
      <c r="O23" s="78"/>
      <c r="P23" s="80" t="s">
        <v>7</v>
      </c>
      <c r="Q23" s="443">
        <v>46164</v>
      </c>
      <c r="R23" s="78"/>
      <c r="S23" s="80" t="s">
        <v>7</v>
      </c>
      <c r="T23" s="81">
        <f t="shared" si="2"/>
        <v>-175.07</v>
      </c>
      <c r="U23" s="82"/>
      <c r="V23" s="137"/>
      <c r="W23" s="78"/>
      <c r="X23" s="78"/>
      <c r="Y23" s="445" t="s">
        <v>93</v>
      </c>
      <c r="Z23" s="138"/>
      <c r="AA23" s="135"/>
      <c r="AB23" s="360"/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274</v>
      </c>
      <c r="C24" s="461" t="str">
        <f>$A$6</f>
        <v>CR</v>
      </c>
      <c r="D24" s="461"/>
      <c r="E24" s="461"/>
      <c r="F24" s="461"/>
      <c r="G24" s="461"/>
      <c r="H24" s="461"/>
      <c r="I24" s="75" t="s">
        <v>287</v>
      </c>
      <c r="J24" s="76" t="s">
        <v>6</v>
      </c>
      <c r="K24" s="136">
        <v>0.61</v>
      </c>
      <c r="L24" s="77" t="s">
        <v>7</v>
      </c>
      <c r="M24" s="78">
        <f t="shared" si="3"/>
        <v>167.14</v>
      </c>
      <c r="N24" s="79"/>
      <c r="O24" s="128"/>
      <c r="P24" s="77" t="s">
        <v>7</v>
      </c>
      <c r="Q24" s="447"/>
      <c r="R24" s="137"/>
      <c r="S24" s="75" t="s">
        <v>7</v>
      </c>
      <c r="T24" s="81">
        <f t="shared" si="2"/>
        <v>-167.14</v>
      </c>
      <c r="U24" s="131"/>
      <c r="V24" s="131"/>
      <c r="W24" s="132"/>
      <c r="X24" s="133"/>
      <c r="Y24" s="557"/>
      <c r="Z24" s="228"/>
      <c r="AA24" s="228"/>
      <c r="AB24" s="361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75"/>
      <c r="J25" s="76" t="s">
        <v>6</v>
      </c>
      <c r="K25" s="136">
        <v>0.61</v>
      </c>
      <c r="L25" s="77" t="s">
        <v>7</v>
      </c>
      <c r="M25" s="78">
        <f t="shared" si="3"/>
        <v>0</v>
      </c>
      <c r="N25" s="79"/>
      <c r="O25" s="128"/>
      <c r="P25" s="77" t="s">
        <v>7</v>
      </c>
      <c r="Q25" s="444"/>
      <c r="R25" s="137"/>
      <c r="S25" s="75" t="s">
        <v>7</v>
      </c>
      <c r="T25" s="81">
        <f t="shared" si="2"/>
        <v>0</v>
      </c>
      <c r="U25" s="131"/>
      <c r="V25" s="131"/>
      <c r="W25" s="132"/>
      <c r="X25" s="133"/>
      <c r="Y25" s="446"/>
      <c r="Z25" s="228"/>
      <c r="AA25" s="228"/>
      <c r="AB25" s="362"/>
      <c r="AC25" s="178"/>
      <c r="AD25" s="179"/>
      <c r="AE25" s="179"/>
      <c r="AF25" s="179"/>
    </row>
    <row r="26" spans="1:32" s="55" customFormat="1" ht="69.95" customHeight="1" x14ac:dyDescent="0.15">
      <c r="A26" s="431" t="s">
        <v>263</v>
      </c>
      <c r="B26" s="182">
        <f t="shared" si="4"/>
        <v>287</v>
      </c>
      <c r="C26" s="461" t="str">
        <f t="shared" si="1"/>
        <v>CG</v>
      </c>
      <c r="D26" s="461"/>
      <c r="E26" s="461"/>
      <c r="F26" s="461"/>
      <c r="G26" s="461"/>
      <c r="H26" s="461"/>
      <c r="I26" s="441" t="s">
        <v>8</v>
      </c>
      <c r="J26" s="76" t="s">
        <v>6</v>
      </c>
      <c r="K26" s="136">
        <v>0.97</v>
      </c>
      <c r="L26" s="77" t="s">
        <v>7</v>
      </c>
      <c r="M26" s="78">
        <f t="shared" si="3"/>
        <v>278.39</v>
      </c>
      <c r="N26" s="79"/>
      <c r="O26" s="78"/>
      <c r="P26" s="80" t="s">
        <v>7</v>
      </c>
      <c r="Q26" s="443">
        <v>46164</v>
      </c>
      <c r="R26" s="78"/>
      <c r="S26" s="80" t="s">
        <v>7</v>
      </c>
      <c r="T26" s="81">
        <f t="shared" si="2"/>
        <v>-278.39</v>
      </c>
      <c r="U26" s="82"/>
      <c r="V26" s="137"/>
      <c r="W26" s="78"/>
      <c r="X26" s="78"/>
      <c r="Y26" s="445" t="s">
        <v>93</v>
      </c>
      <c r="Z26" s="138"/>
      <c r="AA26" s="135"/>
      <c r="AB26" s="360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82">
        <f>$I$6</f>
        <v>274</v>
      </c>
      <c r="C27" s="461" t="str">
        <f>$A$6</f>
        <v>CR</v>
      </c>
      <c r="D27" s="461"/>
      <c r="E27" s="461"/>
      <c r="F27" s="461"/>
      <c r="G27" s="461"/>
      <c r="H27" s="461"/>
      <c r="I27" s="563"/>
      <c r="J27" s="76" t="s">
        <v>6</v>
      </c>
      <c r="K27" s="136">
        <v>0.97</v>
      </c>
      <c r="L27" s="77" t="s">
        <v>7</v>
      </c>
      <c r="M27" s="78">
        <f t="shared" si="3"/>
        <v>265.77999999999997</v>
      </c>
      <c r="N27" s="79"/>
      <c r="O27" s="128"/>
      <c r="P27" s="77" t="s">
        <v>7</v>
      </c>
      <c r="Q27" s="447"/>
      <c r="R27" s="130"/>
      <c r="S27" s="75" t="s">
        <v>7</v>
      </c>
      <c r="T27" s="81">
        <f t="shared" si="2"/>
        <v>-265.77999999999997</v>
      </c>
      <c r="U27" s="131"/>
      <c r="V27" s="131"/>
      <c r="W27" s="132"/>
      <c r="X27" s="133"/>
      <c r="Y27" s="557"/>
      <c r="Z27" s="228"/>
      <c r="AA27" s="228"/>
      <c r="AB27" s="361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82">
        <f>$I$7</f>
        <v>0</v>
      </c>
      <c r="C28" s="461">
        <f>$A$7</f>
        <v>0</v>
      </c>
      <c r="D28" s="461"/>
      <c r="E28" s="461"/>
      <c r="F28" s="461"/>
      <c r="G28" s="461"/>
      <c r="H28" s="461"/>
      <c r="I28" s="442"/>
      <c r="J28" s="76" t="s">
        <v>6</v>
      </c>
      <c r="K28" s="136"/>
      <c r="L28" s="77" t="s">
        <v>7</v>
      </c>
      <c r="M28" s="78">
        <f t="shared" si="3"/>
        <v>0</v>
      </c>
      <c r="N28" s="79"/>
      <c r="O28" s="128"/>
      <c r="P28" s="77" t="s">
        <v>7</v>
      </c>
      <c r="Q28" s="444"/>
      <c r="R28" s="130"/>
      <c r="S28" s="75" t="s">
        <v>7</v>
      </c>
      <c r="T28" s="81">
        <f t="shared" si="2"/>
        <v>0</v>
      </c>
      <c r="U28" s="131"/>
      <c r="V28" s="131"/>
      <c r="W28" s="132"/>
      <c r="X28" s="133"/>
      <c r="Y28" s="446"/>
      <c r="Z28" s="228"/>
      <c r="AA28" s="228"/>
      <c r="AB28" s="362"/>
      <c r="AC28" s="178"/>
      <c r="AD28" s="179"/>
      <c r="AE28" s="179"/>
      <c r="AF28" s="179"/>
    </row>
    <row r="29" spans="1:32" s="206" customFormat="1" ht="69.95" customHeight="1" x14ac:dyDescent="0.15">
      <c r="A29" s="431" t="s">
        <v>115</v>
      </c>
      <c r="B29" s="191">
        <f t="shared" si="4"/>
        <v>287</v>
      </c>
      <c r="C29" s="465" t="str">
        <f t="shared" si="1"/>
        <v>CG</v>
      </c>
      <c r="D29" s="465"/>
      <c r="E29" s="465"/>
      <c r="F29" s="465"/>
      <c r="G29" s="465"/>
      <c r="H29" s="465"/>
      <c r="I29" s="433" t="s">
        <v>8</v>
      </c>
      <c r="J29" s="192" t="s">
        <v>6</v>
      </c>
      <c r="K29" s="209"/>
      <c r="L29" s="194" t="s">
        <v>7</v>
      </c>
      <c r="M29" s="195">
        <f t="shared" si="3"/>
        <v>0</v>
      </c>
      <c r="N29" s="196"/>
      <c r="O29" s="195"/>
      <c r="P29" s="197" t="s">
        <v>7</v>
      </c>
      <c r="Q29" s="435"/>
      <c r="R29" s="195"/>
      <c r="S29" s="197" t="s">
        <v>7</v>
      </c>
      <c r="T29" s="198">
        <f t="shared" si="2"/>
        <v>0</v>
      </c>
      <c r="U29" s="199"/>
      <c r="V29" s="200"/>
      <c r="W29" s="195"/>
      <c r="X29" s="195"/>
      <c r="Y29" s="437" t="s">
        <v>93</v>
      </c>
      <c r="Z29" s="235"/>
      <c r="AA29" s="202"/>
      <c r="AB29" s="439"/>
      <c r="AC29" s="229"/>
      <c r="AD29" s="230"/>
      <c r="AE29" s="230"/>
      <c r="AF29" s="230"/>
    </row>
    <row r="30" spans="1:32" s="206" customFormat="1" ht="69.95" customHeight="1" x14ac:dyDescent="0.15">
      <c r="A30" s="432"/>
      <c r="B30" s="191">
        <f>$I$6</f>
        <v>274</v>
      </c>
      <c r="C30" s="465" t="str">
        <f>$A$6</f>
        <v>CR</v>
      </c>
      <c r="D30" s="465"/>
      <c r="E30" s="465"/>
      <c r="F30" s="465"/>
      <c r="G30" s="465"/>
      <c r="H30" s="465"/>
      <c r="I30" s="434"/>
      <c r="J30" s="192" t="s">
        <v>6</v>
      </c>
      <c r="K30" s="209"/>
      <c r="L30" s="194" t="s">
        <v>7</v>
      </c>
      <c r="M30" s="195">
        <f t="shared" si="3"/>
        <v>0</v>
      </c>
      <c r="N30" s="196"/>
      <c r="O30" s="210"/>
      <c r="P30" s="194" t="s">
        <v>7</v>
      </c>
      <c r="Q30" s="436"/>
      <c r="R30" s="236"/>
      <c r="S30" s="207" t="s">
        <v>7</v>
      </c>
      <c r="T30" s="198">
        <f t="shared" si="2"/>
        <v>0</v>
      </c>
      <c r="U30" s="211"/>
      <c r="V30" s="211"/>
      <c r="W30" s="212"/>
      <c r="X30" s="213"/>
      <c r="Y30" s="438"/>
      <c r="Z30" s="238"/>
      <c r="AA30" s="238"/>
      <c r="AB30" s="440"/>
      <c r="AC30" s="229"/>
      <c r="AD30" s="230"/>
      <c r="AE30" s="230"/>
      <c r="AF30" s="230"/>
    </row>
    <row r="31" spans="1:32" s="55" customFormat="1" ht="69.95" customHeight="1" x14ac:dyDescent="0.15">
      <c r="A31" s="431" t="s">
        <v>284</v>
      </c>
      <c r="B31" s="182">
        <f t="shared" si="4"/>
        <v>287</v>
      </c>
      <c r="C31" s="461" t="str">
        <f t="shared" si="1"/>
        <v>CG</v>
      </c>
      <c r="D31" s="461"/>
      <c r="E31" s="461"/>
      <c r="F31" s="461"/>
      <c r="G31" s="461"/>
      <c r="H31" s="461"/>
      <c r="I31" s="441" t="s">
        <v>58</v>
      </c>
      <c r="J31" s="76"/>
      <c r="K31" s="136">
        <v>0.08</v>
      </c>
      <c r="L31" s="77" t="s">
        <v>7</v>
      </c>
      <c r="M31" s="78">
        <f t="shared" si="3"/>
        <v>22.96</v>
      </c>
      <c r="N31" s="79"/>
      <c r="O31" s="78"/>
      <c r="P31" s="80" t="s">
        <v>7</v>
      </c>
      <c r="Q31" s="443"/>
      <c r="R31" s="78"/>
      <c r="S31" s="80" t="s">
        <v>7</v>
      </c>
      <c r="T31" s="81">
        <f t="shared" si="2"/>
        <v>-22.96</v>
      </c>
      <c r="U31" s="82"/>
      <c r="V31" s="137"/>
      <c r="W31" s="78"/>
      <c r="X31" s="78"/>
      <c r="Y31" s="445" t="s">
        <v>59</v>
      </c>
      <c r="Z31" s="138"/>
      <c r="AA31" s="135"/>
      <c r="AB31" s="360" t="s">
        <v>331</v>
      </c>
      <c r="AC31" s="178"/>
      <c r="AD31" s="179"/>
      <c r="AE31" s="179"/>
      <c r="AF31" s="179"/>
    </row>
    <row r="32" spans="1:32" s="55" customFormat="1" ht="69.95" customHeight="1" x14ac:dyDescent="0.15">
      <c r="A32" s="559"/>
      <c r="B32" s="182">
        <f>$I$6</f>
        <v>274</v>
      </c>
      <c r="C32" s="461" t="str">
        <f>$A$6</f>
        <v>CR</v>
      </c>
      <c r="D32" s="461"/>
      <c r="E32" s="461"/>
      <c r="F32" s="461"/>
      <c r="G32" s="461"/>
      <c r="H32" s="461"/>
      <c r="I32" s="563"/>
      <c r="J32" s="76"/>
      <c r="K32" s="136">
        <v>0.08</v>
      </c>
      <c r="L32" s="77" t="s">
        <v>7</v>
      </c>
      <c r="M32" s="78">
        <f t="shared" si="3"/>
        <v>21.92</v>
      </c>
      <c r="N32" s="79"/>
      <c r="O32" s="128"/>
      <c r="P32" s="77" t="s">
        <v>7</v>
      </c>
      <c r="Q32" s="447"/>
      <c r="R32" s="137"/>
      <c r="S32" s="75" t="s">
        <v>7</v>
      </c>
      <c r="T32" s="81">
        <f t="shared" si="2"/>
        <v>-21.92</v>
      </c>
      <c r="U32" s="131"/>
      <c r="V32" s="131"/>
      <c r="W32" s="132"/>
      <c r="X32" s="133"/>
      <c r="Y32" s="557"/>
      <c r="Z32" s="134"/>
      <c r="AA32" s="135"/>
      <c r="AB32" s="361"/>
      <c r="AC32" s="178"/>
      <c r="AD32" s="179"/>
      <c r="AE32" s="179"/>
      <c r="AF32" s="179"/>
    </row>
    <row r="33" spans="1:32" s="55" customFormat="1" ht="69.95" customHeight="1" thickBot="1" x14ac:dyDescent="0.2">
      <c r="A33" s="432"/>
      <c r="B33" s="182">
        <f>$I$7</f>
        <v>0</v>
      </c>
      <c r="C33" s="461">
        <f>$A$7</f>
        <v>0</v>
      </c>
      <c r="D33" s="461"/>
      <c r="E33" s="461"/>
      <c r="F33" s="461"/>
      <c r="G33" s="461"/>
      <c r="H33" s="461"/>
      <c r="I33" s="442"/>
      <c r="J33" s="76"/>
      <c r="K33" s="136">
        <v>0.08</v>
      </c>
      <c r="L33" s="77" t="s">
        <v>7</v>
      </c>
      <c r="M33" s="78">
        <f t="shared" si="3"/>
        <v>0</v>
      </c>
      <c r="N33" s="79"/>
      <c r="O33" s="128"/>
      <c r="P33" s="77" t="s">
        <v>7</v>
      </c>
      <c r="Q33" s="444"/>
      <c r="R33" s="137"/>
      <c r="S33" s="75" t="s">
        <v>7</v>
      </c>
      <c r="T33" s="81">
        <f t="shared" si="2"/>
        <v>0</v>
      </c>
      <c r="U33" s="131"/>
      <c r="V33" s="131"/>
      <c r="W33" s="132"/>
      <c r="X33" s="133"/>
      <c r="Y33" s="446"/>
      <c r="Z33" s="134"/>
      <c r="AA33" s="135"/>
      <c r="AB33" s="362"/>
      <c r="AC33" s="178"/>
      <c r="AD33" s="179"/>
      <c r="AE33" s="179"/>
      <c r="AF33" s="179"/>
    </row>
    <row r="34" spans="1:32" s="143" customFormat="1" ht="69.95" customHeight="1" thickTop="1" x14ac:dyDescent="0.15">
      <c r="A34" s="431" t="s">
        <v>108</v>
      </c>
      <c r="B34" s="191">
        <f>$I$5</f>
        <v>287</v>
      </c>
      <c r="C34" s="465" t="str">
        <f>$A$5</f>
        <v>CG</v>
      </c>
      <c r="D34" s="465"/>
      <c r="E34" s="465"/>
      <c r="F34" s="465"/>
      <c r="G34" s="465"/>
      <c r="H34" s="465"/>
      <c r="I34" s="433" t="s">
        <v>8</v>
      </c>
      <c r="J34" s="192" t="s">
        <v>6</v>
      </c>
      <c r="K34" s="209"/>
      <c r="L34" s="194" t="s">
        <v>7</v>
      </c>
      <c r="M34" s="195">
        <f>K34*B34</f>
        <v>0</v>
      </c>
      <c r="N34" s="196"/>
      <c r="O34" s="195"/>
      <c r="P34" s="197" t="s">
        <v>7</v>
      </c>
      <c r="Q34" s="435"/>
      <c r="R34" s="195"/>
      <c r="S34" s="197" t="s">
        <v>9</v>
      </c>
      <c r="T34" s="198">
        <f t="shared" si="2"/>
        <v>0</v>
      </c>
      <c r="U34" s="199"/>
      <c r="V34" s="200"/>
      <c r="W34" s="195"/>
      <c r="X34" s="195"/>
      <c r="Y34" s="437" t="s">
        <v>59</v>
      </c>
      <c r="Z34" s="201"/>
      <c r="AA34" s="202"/>
      <c r="AB34" s="596"/>
    </row>
    <row r="35" spans="1:32" s="143" customFormat="1" ht="69.95" customHeight="1" x14ac:dyDescent="0.15">
      <c r="A35" s="432"/>
      <c r="B35" s="191">
        <f>$I$6</f>
        <v>274</v>
      </c>
      <c r="C35" s="465" t="str">
        <f>$A$6</f>
        <v>CR</v>
      </c>
      <c r="D35" s="465"/>
      <c r="E35" s="465"/>
      <c r="F35" s="465"/>
      <c r="G35" s="465"/>
      <c r="H35" s="465"/>
      <c r="I35" s="434"/>
      <c r="J35" s="192" t="s">
        <v>6</v>
      </c>
      <c r="K35" s="209"/>
      <c r="L35" s="194" t="s">
        <v>7</v>
      </c>
      <c r="M35" s="195">
        <f>K35*B35</f>
        <v>0</v>
      </c>
      <c r="N35" s="196"/>
      <c r="O35" s="210"/>
      <c r="P35" s="194" t="s">
        <v>7</v>
      </c>
      <c r="Q35" s="436"/>
      <c r="R35" s="200"/>
      <c r="S35" s="207" t="s">
        <v>9</v>
      </c>
      <c r="T35" s="198">
        <f t="shared" si="2"/>
        <v>0</v>
      </c>
      <c r="U35" s="211"/>
      <c r="V35" s="211"/>
      <c r="W35" s="212"/>
      <c r="X35" s="213"/>
      <c r="Y35" s="438"/>
      <c r="Z35" s="214"/>
      <c r="AA35" s="202"/>
      <c r="AB35" s="440"/>
      <c r="AC35" s="577"/>
      <c r="AD35" s="578"/>
      <c r="AE35" s="578"/>
      <c r="AF35" s="578"/>
    </row>
    <row r="36" spans="1:32" s="143" customFormat="1" ht="69.95" customHeight="1" x14ac:dyDescent="0.15">
      <c r="A36" s="464" t="s">
        <v>86</v>
      </c>
      <c r="B36" s="182">
        <f>$I$5</f>
        <v>287</v>
      </c>
      <c r="C36" s="461" t="str">
        <f>$A$5</f>
        <v>CG</v>
      </c>
      <c r="D36" s="461"/>
      <c r="E36" s="461"/>
      <c r="F36" s="461"/>
      <c r="G36" s="461"/>
      <c r="H36" s="461"/>
      <c r="I36" s="441" t="s">
        <v>251</v>
      </c>
      <c r="J36" s="76"/>
      <c r="K36" s="136">
        <v>22.9</v>
      </c>
      <c r="L36" s="77" t="s">
        <v>7</v>
      </c>
      <c r="M36" s="78">
        <f t="shared" ref="M36:M41" si="5">K36*B36/50</f>
        <v>131.446</v>
      </c>
      <c r="N36" s="79"/>
      <c r="O36" s="78"/>
      <c r="P36" s="80" t="s">
        <v>7</v>
      </c>
      <c r="Q36" s="443">
        <v>46164</v>
      </c>
      <c r="R36" s="78">
        <v>32</v>
      </c>
      <c r="S36" s="80" t="s">
        <v>9</v>
      </c>
      <c r="T36" s="81">
        <f t="shared" si="2"/>
        <v>-99.445999999999998</v>
      </c>
      <c r="U36" s="82"/>
      <c r="V36" s="137"/>
      <c r="W36" s="78"/>
      <c r="X36" s="78"/>
      <c r="Y36" s="445" t="s">
        <v>94</v>
      </c>
      <c r="Z36" s="141"/>
      <c r="AA36" s="135"/>
      <c r="AB36" s="360"/>
    </row>
    <row r="37" spans="1:32" s="143" customFormat="1" ht="69.95" customHeight="1" x14ac:dyDescent="0.15">
      <c r="A37" s="464"/>
      <c r="B37" s="182">
        <f>$I$6</f>
        <v>274</v>
      </c>
      <c r="C37" s="461" t="str">
        <f>$A$6</f>
        <v>CR</v>
      </c>
      <c r="D37" s="461"/>
      <c r="E37" s="461"/>
      <c r="F37" s="461"/>
      <c r="G37" s="461"/>
      <c r="H37" s="461"/>
      <c r="I37" s="563"/>
      <c r="J37" s="76"/>
      <c r="K37" s="136">
        <v>22.9</v>
      </c>
      <c r="L37" s="77" t="s">
        <v>7</v>
      </c>
      <c r="M37" s="78">
        <f t="shared" si="5"/>
        <v>125.49199999999999</v>
      </c>
      <c r="N37" s="79"/>
      <c r="O37" s="128"/>
      <c r="P37" s="77" t="s">
        <v>7</v>
      </c>
      <c r="Q37" s="447"/>
      <c r="R37" s="137">
        <v>29</v>
      </c>
      <c r="S37" s="75" t="s">
        <v>9</v>
      </c>
      <c r="T37" s="81">
        <f t="shared" si="2"/>
        <v>-96.49199999999999</v>
      </c>
      <c r="U37" s="131"/>
      <c r="V37" s="131"/>
      <c r="W37" s="132"/>
      <c r="X37" s="133"/>
      <c r="Y37" s="557"/>
      <c r="Z37" s="134"/>
      <c r="AA37" s="135"/>
      <c r="AB37" s="361"/>
      <c r="AC37" s="577"/>
      <c r="AD37" s="578"/>
      <c r="AE37" s="578"/>
      <c r="AF37" s="578"/>
    </row>
    <row r="38" spans="1:32" s="143" customFormat="1" ht="69.95" customHeight="1" x14ac:dyDescent="0.15">
      <c r="A38" s="464"/>
      <c r="B38" s="182">
        <f>$I$7</f>
        <v>0</v>
      </c>
      <c r="C38" s="461">
        <f>$A$7</f>
        <v>0</v>
      </c>
      <c r="D38" s="461"/>
      <c r="E38" s="461"/>
      <c r="F38" s="461"/>
      <c r="G38" s="461"/>
      <c r="H38" s="461"/>
      <c r="I38" s="442"/>
      <c r="J38" s="76"/>
      <c r="K38" s="136">
        <v>22.9</v>
      </c>
      <c r="L38" s="77" t="s">
        <v>7</v>
      </c>
      <c r="M38" s="78">
        <f t="shared" si="5"/>
        <v>0</v>
      </c>
      <c r="N38" s="79"/>
      <c r="O38" s="128"/>
      <c r="P38" s="77" t="s">
        <v>7</v>
      </c>
      <c r="Q38" s="444"/>
      <c r="R38" s="137"/>
      <c r="S38" s="75" t="s">
        <v>9</v>
      </c>
      <c r="T38" s="81">
        <f t="shared" si="2"/>
        <v>0</v>
      </c>
      <c r="U38" s="131"/>
      <c r="V38" s="131"/>
      <c r="W38" s="132"/>
      <c r="X38" s="133"/>
      <c r="Y38" s="446"/>
      <c r="Z38" s="134"/>
      <c r="AA38" s="135"/>
      <c r="AB38" s="361"/>
      <c r="AC38" s="577"/>
      <c r="AD38" s="578"/>
      <c r="AE38" s="578"/>
      <c r="AF38" s="578"/>
    </row>
    <row r="39" spans="1:32" s="143" customFormat="1" ht="69.95" customHeight="1" x14ac:dyDescent="0.15">
      <c r="A39" s="464" t="s">
        <v>222</v>
      </c>
      <c r="B39" s="191">
        <f>$I$5</f>
        <v>287</v>
      </c>
      <c r="C39" s="465" t="str">
        <f>$A$5</f>
        <v>CG</v>
      </c>
      <c r="D39" s="465"/>
      <c r="E39" s="465"/>
      <c r="F39" s="465"/>
      <c r="G39" s="465"/>
      <c r="H39" s="465"/>
      <c r="I39" s="433" t="s">
        <v>76</v>
      </c>
      <c r="J39" s="192"/>
      <c r="K39" s="209">
        <v>0.7</v>
      </c>
      <c r="L39" s="194" t="s">
        <v>7</v>
      </c>
      <c r="M39" s="195">
        <f t="shared" si="5"/>
        <v>4.0179999999999998</v>
      </c>
      <c r="N39" s="196"/>
      <c r="O39" s="195"/>
      <c r="P39" s="197" t="s">
        <v>7</v>
      </c>
      <c r="Q39" s="435"/>
      <c r="R39" s="195"/>
      <c r="S39" s="197" t="s">
        <v>9</v>
      </c>
      <c r="T39" s="198">
        <f t="shared" si="2"/>
        <v>-4.0179999999999998</v>
      </c>
      <c r="U39" s="199"/>
      <c r="V39" s="200"/>
      <c r="W39" s="195"/>
      <c r="X39" s="195"/>
      <c r="Y39" s="437" t="s">
        <v>94</v>
      </c>
      <c r="Z39" s="201"/>
      <c r="AA39" s="202"/>
      <c r="AB39" s="361"/>
    </row>
    <row r="40" spans="1:32" s="143" customFormat="1" ht="69.95" customHeight="1" x14ac:dyDescent="0.15">
      <c r="A40" s="464"/>
      <c r="B40" s="191">
        <f>$I$6</f>
        <v>274</v>
      </c>
      <c r="C40" s="465" t="str">
        <f>$A$6</f>
        <v>CR</v>
      </c>
      <c r="D40" s="465"/>
      <c r="E40" s="465"/>
      <c r="F40" s="465"/>
      <c r="G40" s="465"/>
      <c r="H40" s="465"/>
      <c r="I40" s="560"/>
      <c r="J40" s="192"/>
      <c r="K40" s="209">
        <v>0.7</v>
      </c>
      <c r="L40" s="194" t="s">
        <v>7</v>
      </c>
      <c r="M40" s="195">
        <f t="shared" si="5"/>
        <v>3.8359999999999999</v>
      </c>
      <c r="N40" s="196"/>
      <c r="O40" s="210"/>
      <c r="P40" s="194" t="s">
        <v>7</v>
      </c>
      <c r="Q40" s="561"/>
      <c r="R40" s="200"/>
      <c r="S40" s="207" t="s">
        <v>9</v>
      </c>
      <c r="T40" s="198">
        <f t="shared" si="2"/>
        <v>-3.8359999999999999</v>
      </c>
      <c r="U40" s="211"/>
      <c r="V40" s="211"/>
      <c r="W40" s="212"/>
      <c r="X40" s="213"/>
      <c r="Y40" s="562"/>
      <c r="Z40" s="214"/>
      <c r="AA40" s="202"/>
      <c r="AB40" s="361"/>
      <c r="AC40" s="577"/>
      <c r="AD40" s="578"/>
      <c r="AE40" s="578"/>
      <c r="AF40" s="578"/>
    </row>
    <row r="41" spans="1:32" s="143" customFormat="1" ht="69.95" customHeight="1" x14ac:dyDescent="0.15">
      <c r="A41" s="464"/>
      <c r="B41" s="191">
        <f>$I$7</f>
        <v>0</v>
      </c>
      <c r="C41" s="465">
        <f>$A$7</f>
        <v>0</v>
      </c>
      <c r="D41" s="465"/>
      <c r="E41" s="465"/>
      <c r="F41" s="465"/>
      <c r="G41" s="465"/>
      <c r="H41" s="465"/>
      <c r="I41" s="434"/>
      <c r="J41" s="192"/>
      <c r="K41" s="209">
        <v>0.7</v>
      </c>
      <c r="L41" s="194" t="s">
        <v>7</v>
      </c>
      <c r="M41" s="195">
        <f t="shared" si="5"/>
        <v>0</v>
      </c>
      <c r="N41" s="196"/>
      <c r="O41" s="210"/>
      <c r="P41" s="194" t="s">
        <v>7</v>
      </c>
      <c r="Q41" s="436"/>
      <c r="R41" s="200"/>
      <c r="S41" s="207" t="s">
        <v>9</v>
      </c>
      <c r="T41" s="198">
        <f t="shared" si="2"/>
        <v>0</v>
      </c>
      <c r="U41" s="211"/>
      <c r="V41" s="211"/>
      <c r="W41" s="212"/>
      <c r="X41" s="213"/>
      <c r="Y41" s="438"/>
      <c r="Z41" s="214"/>
      <c r="AA41" s="202"/>
      <c r="AB41" s="361"/>
      <c r="AC41" s="577"/>
      <c r="AD41" s="578"/>
      <c r="AE41" s="578"/>
      <c r="AF41" s="578"/>
    </row>
    <row r="42" spans="1:32" s="203" customFormat="1" ht="69.95" customHeight="1" x14ac:dyDescent="0.15">
      <c r="A42" s="464" t="s">
        <v>77</v>
      </c>
      <c r="B42" s="182">
        <f>$I$5</f>
        <v>287</v>
      </c>
      <c r="C42" s="461" t="str">
        <f>$A$5</f>
        <v>CG</v>
      </c>
      <c r="D42" s="461"/>
      <c r="E42" s="461"/>
      <c r="F42" s="461"/>
      <c r="G42" s="461"/>
      <c r="H42" s="461"/>
      <c r="I42" s="441" t="s">
        <v>76</v>
      </c>
      <c r="J42" s="76"/>
      <c r="K42" s="136">
        <v>0.5</v>
      </c>
      <c r="L42" s="77" t="s">
        <v>7</v>
      </c>
      <c r="M42" s="78">
        <f>K42*B42/100</f>
        <v>1.4350000000000001</v>
      </c>
      <c r="N42" s="79"/>
      <c r="O42" s="78"/>
      <c r="P42" s="80" t="s">
        <v>7</v>
      </c>
      <c r="Q42" s="443">
        <v>46164</v>
      </c>
      <c r="R42" s="78">
        <v>2</v>
      </c>
      <c r="S42" s="80" t="s">
        <v>9</v>
      </c>
      <c r="T42" s="81">
        <f>R42-M42</f>
        <v>0.56499999999999995</v>
      </c>
      <c r="U42" s="82"/>
      <c r="V42" s="137"/>
      <c r="W42" s="78"/>
      <c r="X42" s="78"/>
      <c r="Y42" s="445" t="s">
        <v>94</v>
      </c>
      <c r="Z42" s="141"/>
      <c r="AA42" s="135"/>
      <c r="AB42" s="361"/>
    </row>
    <row r="43" spans="1:32" s="203" customFormat="1" ht="69.95" customHeight="1" x14ac:dyDescent="0.15">
      <c r="A43" s="464"/>
      <c r="B43" s="182">
        <f>$I$6</f>
        <v>274</v>
      </c>
      <c r="C43" s="461" t="str">
        <f>$A$6</f>
        <v>CR</v>
      </c>
      <c r="D43" s="461"/>
      <c r="E43" s="461"/>
      <c r="F43" s="461"/>
      <c r="G43" s="461"/>
      <c r="H43" s="461"/>
      <c r="I43" s="563"/>
      <c r="J43" s="76"/>
      <c r="K43" s="83">
        <v>0.5</v>
      </c>
      <c r="L43" s="77" t="s">
        <v>7</v>
      </c>
      <c r="M43" s="78">
        <f>K43*B43/100</f>
        <v>1.37</v>
      </c>
      <c r="N43" s="79"/>
      <c r="O43" s="128"/>
      <c r="P43" s="77" t="s">
        <v>7</v>
      </c>
      <c r="Q43" s="447"/>
      <c r="R43" s="137">
        <v>2</v>
      </c>
      <c r="S43" s="75" t="s">
        <v>9</v>
      </c>
      <c r="T43" s="81">
        <f>R43-M43</f>
        <v>0.62999999999999989</v>
      </c>
      <c r="U43" s="131"/>
      <c r="V43" s="131"/>
      <c r="W43" s="132"/>
      <c r="X43" s="133"/>
      <c r="Y43" s="557"/>
      <c r="Z43" s="134"/>
      <c r="AA43" s="135"/>
      <c r="AB43" s="361"/>
      <c r="AC43" s="466"/>
      <c r="AD43" s="467"/>
      <c r="AE43" s="467"/>
      <c r="AF43" s="467"/>
    </row>
    <row r="44" spans="1:32" s="203" customFormat="1" ht="69.95" customHeight="1" x14ac:dyDescent="0.15">
      <c r="A44" s="464"/>
      <c r="B44" s="182">
        <f>$I$7</f>
        <v>0</v>
      </c>
      <c r="C44" s="461">
        <f>$A$7</f>
        <v>0</v>
      </c>
      <c r="D44" s="461"/>
      <c r="E44" s="461"/>
      <c r="F44" s="461"/>
      <c r="G44" s="461"/>
      <c r="H44" s="461"/>
      <c r="I44" s="442"/>
      <c r="J44" s="76"/>
      <c r="K44" s="83">
        <v>0.5</v>
      </c>
      <c r="L44" s="77" t="s">
        <v>7</v>
      </c>
      <c r="M44" s="78">
        <f>K44*B44/100</f>
        <v>0</v>
      </c>
      <c r="N44" s="79"/>
      <c r="O44" s="128"/>
      <c r="P44" s="77" t="s">
        <v>7</v>
      </c>
      <c r="Q44" s="444"/>
      <c r="R44" s="137"/>
      <c r="S44" s="75" t="s">
        <v>9</v>
      </c>
      <c r="T44" s="81">
        <f>R44-M44</f>
        <v>0</v>
      </c>
      <c r="U44" s="131"/>
      <c r="V44" s="131"/>
      <c r="W44" s="132"/>
      <c r="X44" s="133"/>
      <c r="Y44" s="446"/>
      <c r="Z44" s="134"/>
      <c r="AA44" s="135"/>
      <c r="AB44" s="362"/>
      <c r="AC44" s="466"/>
      <c r="AD44" s="467"/>
      <c r="AE44" s="467"/>
      <c r="AF44" s="467"/>
    </row>
    <row r="45" spans="1:32" s="203" customFormat="1" ht="69.95" customHeight="1" x14ac:dyDescent="0.15">
      <c r="A45" s="464" t="s">
        <v>116</v>
      </c>
      <c r="B45" s="191">
        <f>$I$5</f>
        <v>287</v>
      </c>
      <c r="C45" s="465" t="str">
        <f>$A$5</f>
        <v>CG</v>
      </c>
      <c r="D45" s="465"/>
      <c r="E45" s="465"/>
      <c r="F45" s="465"/>
      <c r="G45" s="465"/>
      <c r="H45" s="465"/>
      <c r="I45" s="433" t="s">
        <v>76</v>
      </c>
      <c r="J45" s="192"/>
      <c r="K45" s="209"/>
      <c r="L45" s="194" t="s">
        <v>7</v>
      </c>
      <c r="M45" s="195">
        <f>K45*B45/50</f>
        <v>0</v>
      </c>
      <c r="N45" s="196"/>
      <c r="O45" s="195"/>
      <c r="P45" s="197" t="s">
        <v>7</v>
      </c>
      <c r="Q45" s="435"/>
      <c r="R45" s="195"/>
      <c r="S45" s="197" t="s">
        <v>9</v>
      </c>
      <c r="T45" s="198">
        <f t="shared" si="2"/>
        <v>0</v>
      </c>
      <c r="U45" s="199"/>
      <c r="V45" s="200"/>
      <c r="W45" s="195"/>
      <c r="X45" s="195"/>
      <c r="Y45" s="437" t="s">
        <v>94</v>
      </c>
      <c r="Z45" s="201"/>
      <c r="AA45" s="202"/>
      <c r="AB45" s="439"/>
    </row>
    <row r="46" spans="1:32" s="203" customFormat="1" ht="69.95" customHeight="1" x14ac:dyDescent="0.15">
      <c r="A46" s="464"/>
      <c r="B46" s="191">
        <f>$I$6</f>
        <v>274</v>
      </c>
      <c r="C46" s="465" t="str">
        <f>$A$6</f>
        <v>CR</v>
      </c>
      <c r="D46" s="465"/>
      <c r="E46" s="465"/>
      <c r="F46" s="465"/>
      <c r="G46" s="465"/>
      <c r="H46" s="465"/>
      <c r="I46" s="434"/>
      <c r="J46" s="192"/>
      <c r="K46" s="208"/>
      <c r="L46" s="194" t="s">
        <v>7</v>
      </c>
      <c r="M46" s="195">
        <f>K46*B46/50</f>
        <v>0</v>
      </c>
      <c r="N46" s="196"/>
      <c r="O46" s="210"/>
      <c r="P46" s="194" t="s">
        <v>7</v>
      </c>
      <c r="Q46" s="436"/>
      <c r="R46" s="200"/>
      <c r="S46" s="207" t="s">
        <v>9</v>
      </c>
      <c r="T46" s="198">
        <f t="shared" si="2"/>
        <v>0</v>
      </c>
      <c r="U46" s="211"/>
      <c r="V46" s="211"/>
      <c r="W46" s="212"/>
      <c r="X46" s="213"/>
      <c r="Y46" s="438"/>
      <c r="Z46" s="214"/>
      <c r="AA46" s="202"/>
      <c r="AB46" s="440"/>
      <c r="AC46" s="466"/>
      <c r="AD46" s="467"/>
      <c r="AE46" s="467"/>
      <c r="AF46" s="467"/>
    </row>
    <row r="47" spans="1:32" s="143" customFormat="1" ht="69.95" customHeight="1" x14ac:dyDescent="0.15">
      <c r="A47" s="431" t="s">
        <v>88</v>
      </c>
      <c r="B47" s="182">
        <f>$I$5</f>
        <v>287</v>
      </c>
      <c r="C47" s="461" t="str">
        <f>$A$5</f>
        <v>CG</v>
      </c>
      <c r="D47" s="461"/>
      <c r="E47" s="461"/>
      <c r="F47" s="461"/>
      <c r="G47" s="461"/>
      <c r="H47" s="461"/>
      <c r="I47" s="441" t="s">
        <v>62</v>
      </c>
      <c r="J47" s="76"/>
      <c r="K47" s="139">
        <v>300</v>
      </c>
      <c r="L47" s="77" t="s">
        <v>61</v>
      </c>
      <c r="M47" s="78">
        <f t="shared" ref="M47:M52" si="6">K47*B47/2500</f>
        <v>34.44</v>
      </c>
      <c r="N47" s="79"/>
      <c r="O47" s="78"/>
      <c r="P47" s="80" t="s">
        <v>10</v>
      </c>
      <c r="Q47" s="443">
        <v>46164</v>
      </c>
      <c r="R47" s="78">
        <v>14</v>
      </c>
      <c r="S47" s="80" t="s">
        <v>10</v>
      </c>
      <c r="T47" s="81">
        <f t="shared" si="2"/>
        <v>-20.439999999999998</v>
      </c>
      <c r="U47" s="82"/>
      <c r="V47" s="137"/>
      <c r="W47" s="78"/>
      <c r="X47" s="78"/>
      <c r="Y47" s="445" t="s">
        <v>94</v>
      </c>
      <c r="Z47" s="141"/>
      <c r="AA47" s="135"/>
      <c r="AB47" s="360"/>
    </row>
    <row r="48" spans="1:32" s="55" customFormat="1" ht="69.95" customHeight="1" x14ac:dyDescent="0.15">
      <c r="A48" s="559"/>
      <c r="B48" s="186">
        <f>$I$6</f>
        <v>274</v>
      </c>
      <c r="C48" s="395" t="str">
        <f>$A$6</f>
        <v>CR</v>
      </c>
      <c r="D48" s="396"/>
      <c r="E48" s="397"/>
      <c r="F48" s="395"/>
      <c r="G48" s="396"/>
      <c r="H48" s="397"/>
      <c r="I48" s="563"/>
      <c r="J48" s="144"/>
      <c r="K48" s="139">
        <v>300</v>
      </c>
      <c r="L48" s="145" t="s">
        <v>61</v>
      </c>
      <c r="M48" s="78">
        <f t="shared" si="6"/>
        <v>32.880000000000003</v>
      </c>
      <c r="N48" s="146"/>
      <c r="O48" s="147"/>
      <c r="P48" s="145" t="s">
        <v>10</v>
      </c>
      <c r="Q48" s="447"/>
      <c r="R48" s="161">
        <v>13</v>
      </c>
      <c r="S48" s="148" t="s">
        <v>10</v>
      </c>
      <c r="T48" s="84">
        <f t="shared" si="2"/>
        <v>-19.880000000000003</v>
      </c>
      <c r="U48" s="149"/>
      <c r="V48" s="149"/>
      <c r="W48" s="150"/>
      <c r="X48" s="151"/>
      <c r="Y48" s="557"/>
      <c r="Z48" s="216"/>
      <c r="AA48" s="217"/>
      <c r="AB48" s="361"/>
      <c r="AC48" s="471"/>
      <c r="AD48" s="472"/>
      <c r="AE48" s="472"/>
      <c r="AF48" s="472"/>
    </row>
    <row r="49" spans="1:32" s="55" customFormat="1" ht="69.95" customHeight="1" x14ac:dyDescent="0.15">
      <c r="A49" s="432"/>
      <c r="B49" s="182">
        <f>$I$7</f>
        <v>0</v>
      </c>
      <c r="C49" s="461">
        <f>$A$7</f>
        <v>0</v>
      </c>
      <c r="D49" s="461"/>
      <c r="E49" s="461"/>
      <c r="F49" s="395"/>
      <c r="G49" s="396"/>
      <c r="H49" s="397"/>
      <c r="I49" s="442"/>
      <c r="J49" s="144"/>
      <c r="K49" s="139">
        <v>300</v>
      </c>
      <c r="L49" s="145" t="s">
        <v>61</v>
      </c>
      <c r="M49" s="78">
        <f t="shared" si="6"/>
        <v>0</v>
      </c>
      <c r="N49" s="146"/>
      <c r="O49" s="147"/>
      <c r="P49" s="145" t="s">
        <v>10</v>
      </c>
      <c r="Q49" s="447"/>
      <c r="R49" s="161"/>
      <c r="S49" s="148" t="s">
        <v>10</v>
      </c>
      <c r="T49" s="84">
        <f t="shared" si="2"/>
        <v>0</v>
      </c>
      <c r="U49" s="149"/>
      <c r="V49" s="149"/>
      <c r="W49" s="150"/>
      <c r="X49" s="151"/>
      <c r="Y49" s="446"/>
      <c r="Z49" s="216"/>
      <c r="AA49" s="217"/>
      <c r="AB49" s="361"/>
      <c r="AC49" s="471"/>
      <c r="AD49" s="472"/>
      <c r="AE49" s="472"/>
      <c r="AF49" s="472"/>
    </row>
    <row r="50" spans="1:32" s="143" customFormat="1" ht="69.95" customHeight="1" x14ac:dyDescent="0.15">
      <c r="A50" s="431" t="s">
        <v>285</v>
      </c>
      <c r="B50" s="182">
        <f>$I$5</f>
        <v>287</v>
      </c>
      <c r="C50" s="465" t="str">
        <f>$A$5</f>
        <v>CG</v>
      </c>
      <c r="D50" s="465"/>
      <c r="E50" s="465"/>
      <c r="F50" s="465"/>
      <c r="G50" s="465"/>
      <c r="H50" s="465"/>
      <c r="I50" s="433" t="s">
        <v>62</v>
      </c>
      <c r="J50" s="192"/>
      <c r="K50" s="193">
        <v>10</v>
      </c>
      <c r="L50" s="194" t="s">
        <v>61</v>
      </c>
      <c r="M50" s="195">
        <f t="shared" si="6"/>
        <v>1.1479999999999999</v>
      </c>
      <c r="N50" s="196"/>
      <c r="O50" s="195"/>
      <c r="P50" s="197" t="s">
        <v>10</v>
      </c>
      <c r="Q50" s="447"/>
      <c r="R50" s="195"/>
      <c r="S50" s="197" t="s">
        <v>10</v>
      </c>
      <c r="T50" s="198">
        <f t="shared" si="2"/>
        <v>-1.1479999999999999</v>
      </c>
      <c r="U50" s="199"/>
      <c r="V50" s="200"/>
      <c r="W50" s="195"/>
      <c r="X50" s="195"/>
      <c r="Y50" s="437" t="s">
        <v>94</v>
      </c>
      <c r="Z50" s="201"/>
      <c r="AA50" s="202"/>
      <c r="AB50" s="361"/>
    </row>
    <row r="51" spans="1:32" s="55" customFormat="1" ht="69.95" customHeight="1" x14ac:dyDescent="0.15">
      <c r="A51" s="559"/>
      <c r="B51" s="186">
        <f>$I$6</f>
        <v>274</v>
      </c>
      <c r="C51" s="453" t="str">
        <f>$A$6</f>
        <v>CR</v>
      </c>
      <c r="D51" s="454"/>
      <c r="E51" s="455"/>
      <c r="F51" s="453"/>
      <c r="G51" s="454"/>
      <c r="H51" s="455"/>
      <c r="I51" s="560"/>
      <c r="J51" s="218"/>
      <c r="K51" s="193">
        <v>10</v>
      </c>
      <c r="L51" s="219" t="s">
        <v>61</v>
      </c>
      <c r="M51" s="195">
        <f t="shared" si="6"/>
        <v>1.0960000000000001</v>
      </c>
      <c r="N51" s="220"/>
      <c r="O51" s="221"/>
      <c r="P51" s="219" t="s">
        <v>10</v>
      </c>
      <c r="Q51" s="447"/>
      <c r="R51" s="222"/>
      <c r="S51" s="215" t="s">
        <v>10</v>
      </c>
      <c r="T51" s="205">
        <f t="shared" si="2"/>
        <v>-1.0960000000000001</v>
      </c>
      <c r="U51" s="223"/>
      <c r="V51" s="223"/>
      <c r="W51" s="224"/>
      <c r="X51" s="225"/>
      <c r="Y51" s="562"/>
      <c r="Z51" s="226"/>
      <c r="AA51" s="227"/>
      <c r="AB51" s="361"/>
      <c r="AC51" s="471"/>
      <c r="AD51" s="472"/>
      <c r="AE51" s="472"/>
      <c r="AF51" s="472"/>
    </row>
    <row r="52" spans="1:32" s="55" customFormat="1" ht="69.95" customHeight="1" x14ac:dyDescent="0.15">
      <c r="A52" s="432"/>
      <c r="B52" s="182">
        <f>$I$7</f>
        <v>0</v>
      </c>
      <c r="C52" s="465">
        <f>$A$7</f>
        <v>0</v>
      </c>
      <c r="D52" s="465"/>
      <c r="E52" s="465"/>
      <c r="F52" s="453"/>
      <c r="G52" s="454"/>
      <c r="H52" s="455"/>
      <c r="I52" s="434"/>
      <c r="J52" s="218"/>
      <c r="K52" s="193">
        <v>10</v>
      </c>
      <c r="L52" s="219" t="s">
        <v>61</v>
      </c>
      <c r="M52" s="195">
        <f t="shared" si="6"/>
        <v>0</v>
      </c>
      <c r="N52" s="220"/>
      <c r="O52" s="221"/>
      <c r="P52" s="219" t="s">
        <v>10</v>
      </c>
      <c r="Q52" s="447"/>
      <c r="R52" s="222"/>
      <c r="S52" s="215" t="s">
        <v>10</v>
      </c>
      <c r="T52" s="205">
        <f t="shared" si="2"/>
        <v>0</v>
      </c>
      <c r="U52" s="223"/>
      <c r="V52" s="223"/>
      <c r="W52" s="224"/>
      <c r="X52" s="225"/>
      <c r="Y52" s="438"/>
      <c r="Z52" s="226"/>
      <c r="AA52" s="227"/>
      <c r="AB52" s="361"/>
      <c r="AC52" s="471"/>
      <c r="AD52" s="472"/>
      <c r="AE52" s="472"/>
      <c r="AF52" s="472"/>
    </row>
    <row r="53" spans="1:32" s="143" customFormat="1" ht="69.95" customHeight="1" x14ac:dyDescent="0.15">
      <c r="A53" s="431" t="s">
        <v>147</v>
      </c>
      <c r="B53" s="182">
        <f>$I$5</f>
        <v>287</v>
      </c>
      <c r="C53" s="461" t="str">
        <f>$A$5</f>
        <v>CG</v>
      </c>
      <c r="D53" s="461"/>
      <c r="E53" s="461"/>
      <c r="F53" s="461"/>
      <c r="G53" s="461"/>
      <c r="H53" s="461"/>
      <c r="I53" s="441" t="s">
        <v>60</v>
      </c>
      <c r="J53" s="76"/>
      <c r="K53" s="139">
        <v>350</v>
      </c>
      <c r="L53" s="77" t="s">
        <v>61</v>
      </c>
      <c r="M53" s="78">
        <f>K53*B53/4000</f>
        <v>25.112500000000001</v>
      </c>
      <c r="N53" s="79"/>
      <c r="O53" s="78"/>
      <c r="P53" s="80" t="s">
        <v>10</v>
      </c>
      <c r="Q53" s="447"/>
      <c r="R53" s="78">
        <v>10</v>
      </c>
      <c r="S53" s="80" t="s">
        <v>10</v>
      </c>
      <c r="T53" s="81">
        <f t="shared" si="2"/>
        <v>-15.112500000000001</v>
      </c>
      <c r="U53" s="82"/>
      <c r="V53" s="137"/>
      <c r="W53" s="78"/>
      <c r="X53" s="78"/>
      <c r="Y53" s="445" t="s">
        <v>94</v>
      </c>
      <c r="Z53" s="141"/>
      <c r="AA53" s="135"/>
      <c r="AB53" s="361"/>
    </row>
    <row r="54" spans="1:32" s="55" customFormat="1" ht="69.95" customHeight="1" x14ac:dyDescent="0.15">
      <c r="A54" s="559"/>
      <c r="B54" s="186">
        <f>$I$6</f>
        <v>274</v>
      </c>
      <c r="C54" s="395" t="str">
        <f>$A$6</f>
        <v>CR</v>
      </c>
      <c r="D54" s="396"/>
      <c r="E54" s="397"/>
      <c r="F54" s="395"/>
      <c r="G54" s="396"/>
      <c r="H54" s="397"/>
      <c r="I54" s="563"/>
      <c r="J54" s="144"/>
      <c r="K54" s="139">
        <v>350</v>
      </c>
      <c r="L54" s="145" t="s">
        <v>61</v>
      </c>
      <c r="M54" s="78">
        <f>K54*B54/4000</f>
        <v>23.975000000000001</v>
      </c>
      <c r="N54" s="146"/>
      <c r="O54" s="147"/>
      <c r="P54" s="145" t="s">
        <v>10</v>
      </c>
      <c r="Q54" s="447"/>
      <c r="R54" s="161">
        <v>8</v>
      </c>
      <c r="S54" s="148" t="s">
        <v>10</v>
      </c>
      <c r="T54" s="84">
        <f t="shared" si="2"/>
        <v>-15.975000000000001</v>
      </c>
      <c r="U54" s="149"/>
      <c r="V54" s="149"/>
      <c r="W54" s="150"/>
      <c r="X54" s="151"/>
      <c r="Y54" s="557"/>
      <c r="Z54" s="216"/>
      <c r="AA54" s="217"/>
      <c r="AB54" s="361"/>
      <c r="AC54" s="471"/>
      <c r="AD54" s="472"/>
      <c r="AE54" s="472"/>
      <c r="AF54" s="472"/>
    </row>
    <row r="55" spans="1:32" s="55" customFormat="1" ht="69.95" customHeight="1" x14ac:dyDescent="0.15">
      <c r="A55" s="432"/>
      <c r="B55" s="182">
        <f>$I$7</f>
        <v>0</v>
      </c>
      <c r="C55" s="461">
        <f>$A$7</f>
        <v>0</v>
      </c>
      <c r="D55" s="461"/>
      <c r="E55" s="461"/>
      <c r="F55" s="395"/>
      <c r="G55" s="396"/>
      <c r="H55" s="397"/>
      <c r="I55" s="442"/>
      <c r="J55" s="144"/>
      <c r="K55" s="139">
        <v>350</v>
      </c>
      <c r="L55" s="145" t="s">
        <v>61</v>
      </c>
      <c r="M55" s="78">
        <f>K55*B55/4000</f>
        <v>0</v>
      </c>
      <c r="N55" s="146"/>
      <c r="O55" s="147"/>
      <c r="P55" s="145" t="s">
        <v>10</v>
      </c>
      <c r="Q55" s="444"/>
      <c r="R55" s="161"/>
      <c r="S55" s="148" t="s">
        <v>10</v>
      </c>
      <c r="T55" s="84">
        <f t="shared" si="2"/>
        <v>0</v>
      </c>
      <c r="U55" s="149"/>
      <c r="V55" s="149"/>
      <c r="W55" s="150"/>
      <c r="X55" s="151"/>
      <c r="Y55" s="446"/>
      <c r="Z55" s="216"/>
      <c r="AA55" s="217"/>
      <c r="AB55" s="362"/>
      <c r="AC55" s="471"/>
      <c r="AD55" s="472"/>
      <c r="AE55" s="472"/>
      <c r="AF55" s="472"/>
    </row>
    <row r="56" spans="1:32" s="143" customFormat="1" ht="69.95" customHeight="1" x14ac:dyDescent="0.15">
      <c r="A56" s="431" t="s">
        <v>253</v>
      </c>
      <c r="B56" s="191">
        <f>$I$5</f>
        <v>287</v>
      </c>
      <c r="C56" s="465" t="str">
        <f>$A$5</f>
        <v>CG</v>
      </c>
      <c r="D56" s="465"/>
      <c r="E56" s="465"/>
      <c r="F56" s="465" t="str">
        <f>$A$5</f>
        <v>CG</v>
      </c>
      <c r="G56" s="465"/>
      <c r="H56" s="465"/>
      <c r="I56" s="433" t="s">
        <v>254</v>
      </c>
      <c r="J56" s="192"/>
      <c r="K56" s="193">
        <v>10</v>
      </c>
      <c r="L56" s="194" t="s">
        <v>61</v>
      </c>
      <c r="M56" s="195">
        <f>K56*B56/6000</f>
        <v>0.47833333333333333</v>
      </c>
      <c r="N56" s="196"/>
      <c r="O56" s="195"/>
      <c r="P56" s="197" t="s">
        <v>10</v>
      </c>
      <c r="Q56" s="435"/>
      <c r="R56" s="195"/>
      <c r="S56" s="197" t="s">
        <v>10</v>
      </c>
      <c r="T56" s="198">
        <f t="shared" si="2"/>
        <v>-0.47833333333333333</v>
      </c>
      <c r="U56" s="199"/>
      <c r="V56" s="200"/>
      <c r="W56" s="195"/>
      <c r="X56" s="195"/>
      <c r="Y56" s="437" t="s">
        <v>94</v>
      </c>
      <c r="Z56" s="201"/>
      <c r="AA56" s="202"/>
      <c r="AB56" s="439"/>
    </row>
    <row r="57" spans="1:32" s="55" customFormat="1" ht="69.95" customHeight="1" x14ac:dyDescent="0.15">
      <c r="A57" s="432"/>
      <c r="B57" s="204">
        <f>$I$6</f>
        <v>274</v>
      </c>
      <c r="C57" s="453" t="str">
        <f>$A$6</f>
        <v>CR</v>
      </c>
      <c r="D57" s="454"/>
      <c r="E57" s="455"/>
      <c r="F57" s="453" t="str">
        <f>$A$6</f>
        <v>CR</v>
      </c>
      <c r="G57" s="454"/>
      <c r="H57" s="455"/>
      <c r="I57" s="434"/>
      <c r="J57" s="218"/>
      <c r="K57" s="193">
        <v>10</v>
      </c>
      <c r="L57" s="219" t="s">
        <v>61</v>
      </c>
      <c r="M57" s="195">
        <f>K57*B57/6000</f>
        <v>0.45666666666666667</v>
      </c>
      <c r="N57" s="220"/>
      <c r="O57" s="221"/>
      <c r="P57" s="219" t="s">
        <v>10</v>
      </c>
      <c r="Q57" s="436"/>
      <c r="R57" s="222"/>
      <c r="S57" s="215" t="s">
        <v>10</v>
      </c>
      <c r="T57" s="205">
        <f t="shared" si="2"/>
        <v>-0.45666666666666667</v>
      </c>
      <c r="U57" s="223"/>
      <c r="V57" s="223"/>
      <c r="W57" s="224"/>
      <c r="X57" s="225"/>
      <c r="Y57" s="438"/>
      <c r="Z57" s="226"/>
      <c r="AA57" s="227"/>
      <c r="AB57" s="440"/>
      <c r="AC57" s="471"/>
      <c r="AD57" s="472"/>
      <c r="AE57" s="472"/>
      <c r="AF57" s="472"/>
    </row>
    <row r="58" spans="1:32" s="206" customFormat="1" ht="69.95" customHeight="1" x14ac:dyDescent="0.15">
      <c r="A58" s="431" t="s">
        <v>117</v>
      </c>
      <c r="B58" s="191">
        <f t="shared" ref="B58:B60" si="7">$I$5</f>
        <v>287</v>
      </c>
      <c r="C58" s="422" t="str">
        <f t="shared" ref="C58:C60" si="8">$A$5</f>
        <v>CG</v>
      </c>
      <c r="D58" s="423"/>
      <c r="E58" s="424"/>
      <c r="F58" s="425"/>
      <c r="G58" s="423"/>
      <c r="H58" s="424"/>
      <c r="I58" s="433" t="s">
        <v>80</v>
      </c>
      <c r="J58" s="192"/>
      <c r="K58" s="193"/>
      <c r="L58" s="194" t="s">
        <v>65</v>
      </c>
      <c r="M58" s="195">
        <f t="shared" ref="M58:M78" si="9">K58*B58</f>
        <v>0</v>
      </c>
      <c r="N58" s="196"/>
      <c r="O58" s="195"/>
      <c r="P58" s="194" t="s">
        <v>65</v>
      </c>
      <c r="Q58" s="435"/>
      <c r="R58" s="195"/>
      <c r="S58" s="194" t="s">
        <v>65</v>
      </c>
      <c r="T58" s="205">
        <f t="shared" si="2"/>
        <v>0</v>
      </c>
      <c r="U58" s="199"/>
      <c r="V58" s="199"/>
      <c r="W58" s="208"/>
      <c r="X58" s="198"/>
      <c r="Y58" s="437" t="s">
        <v>57</v>
      </c>
      <c r="Z58" s="231"/>
      <c r="AA58" s="232"/>
      <c r="AB58" s="439"/>
    </row>
    <row r="59" spans="1:32" s="206" customFormat="1" ht="69.95" customHeight="1" x14ac:dyDescent="0.15">
      <c r="A59" s="432"/>
      <c r="B59" s="204">
        <f>$I$6</f>
        <v>274</v>
      </c>
      <c r="C59" s="453" t="str">
        <f>$A$6</f>
        <v>CR</v>
      </c>
      <c r="D59" s="454"/>
      <c r="E59" s="455"/>
      <c r="F59" s="425"/>
      <c r="G59" s="423"/>
      <c r="H59" s="424"/>
      <c r="I59" s="434"/>
      <c r="J59" s="192"/>
      <c r="K59" s="193"/>
      <c r="L59" s="194" t="s">
        <v>65</v>
      </c>
      <c r="M59" s="195">
        <f t="shared" si="9"/>
        <v>0</v>
      </c>
      <c r="N59" s="233"/>
      <c r="O59" s="195"/>
      <c r="P59" s="194" t="s">
        <v>65</v>
      </c>
      <c r="Q59" s="436"/>
      <c r="R59" s="195"/>
      <c r="S59" s="194" t="s">
        <v>65</v>
      </c>
      <c r="T59" s="198">
        <f t="shared" si="2"/>
        <v>0</v>
      </c>
      <c r="U59" s="199"/>
      <c r="V59" s="200"/>
      <c r="W59" s="195"/>
      <c r="X59" s="195"/>
      <c r="Y59" s="438"/>
      <c r="Z59" s="201"/>
      <c r="AA59" s="202"/>
      <c r="AB59" s="440"/>
      <c r="AC59" s="234"/>
      <c r="AD59" s="230"/>
      <c r="AE59" s="230"/>
      <c r="AF59" s="230"/>
    </row>
    <row r="60" spans="1:32" s="206" customFormat="1" ht="69.95" customHeight="1" x14ac:dyDescent="0.15">
      <c r="A60" s="431" t="s">
        <v>78</v>
      </c>
      <c r="B60" s="191">
        <f t="shared" si="7"/>
        <v>287</v>
      </c>
      <c r="C60" s="422" t="str">
        <f t="shared" si="8"/>
        <v>CG</v>
      </c>
      <c r="D60" s="423"/>
      <c r="E60" s="424"/>
      <c r="F60" s="425"/>
      <c r="G60" s="423"/>
      <c r="H60" s="424"/>
      <c r="I60" s="207"/>
      <c r="J60" s="192"/>
      <c r="K60" s="193"/>
      <c r="L60" s="194" t="s">
        <v>65</v>
      </c>
      <c r="M60" s="195">
        <f t="shared" si="9"/>
        <v>0</v>
      </c>
      <c r="N60" s="196"/>
      <c r="O60" s="195"/>
      <c r="P60" s="194" t="s">
        <v>65</v>
      </c>
      <c r="Q60" s="435"/>
      <c r="R60" s="195"/>
      <c r="S60" s="194" t="s">
        <v>65</v>
      </c>
      <c r="T60" s="205">
        <f t="shared" si="2"/>
        <v>0</v>
      </c>
      <c r="U60" s="199"/>
      <c r="V60" s="199"/>
      <c r="W60" s="208"/>
      <c r="X60" s="198"/>
      <c r="Y60" s="437" t="s">
        <v>57</v>
      </c>
      <c r="Z60" s="231"/>
      <c r="AA60" s="232"/>
      <c r="AB60" s="439"/>
    </row>
    <row r="61" spans="1:32" s="206" customFormat="1" ht="69.95" customHeight="1" x14ac:dyDescent="0.15">
      <c r="A61" s="432"/>
      <c r="B61" s="204">
        <f>$I$6</f>
        <v>274</v>
      </c>
      <c r="C61" s="453" t="str">
        <f>$A$6</f>
        <v>CR</v>
      </c>
      <c r="D61" s="454"/>
      <c r="E61" s="455"/>
      <c r="F61" s="425"/>
      <c r="G61" s="423"/>
      <c r="H61" s="424"/>
      <c r="I61" s="207"/>
      <c r="J61" s="192"/>
      <c r="K61" s="193"/>
      <c r="L61" s="194" t="s">
        <v>65</v>
      </c>
      <c r="M61" s="195">
        <f t="shared" si="9"/>
        <v>0</v>
      </c>
      <c r="N61" s="233"/>
      <c r="O61" s="195"/>
      <c r="P61" s="194" t="s">
        <v>65</v>
      </c>
      <c r="Q61" s="436"/>
      <c r="R61" s="195"/>
      <c r="S61" s="194" t="s">
        <v>65</v>
      </c>
      <c r="T61" s="198">
        <f t="shared" si="2"/>
        <v>0</v>
      </c>
      <c r="U61" s="199"/>
      <c r="V61" s="200"/>
      <c r="W61" s="195"/>
      <c r="X61" s="195"/>
      <c r="Y61" s="438"/>
      <c r="Z61" s="201"/>
      <c r="AA61" s="202"/>
      <c r="AB61" s="440"/>
      <c r="AC61" s="234"/>
      <c r="AD61" s="230"/>
      <c r="AE61" s="230"/>
      <c r="AF61" s="230"/>
    </row>
    <row r="62" spans="1:32" s="55" customFormat="1" ht="69.95" customHeight="1" x14ac:dyDescent="0.15">
      <c r="A62" s="431" t="s">
        <v>100</v>
      </c>
      <c r="B62" s="191">
        <f t="shared" ref="B62:B75" si="10">$I$5</f>
        <v>287</v>
      </c>
      <c r="C62" s="422" t="str">
        <f t="shared" ref="C62:C75" si="11">$A$5</f>
        <v>CG</v>
      </c>
      <c r="D62" s="423"/>
      <c r="E62" s="424"/>
      <c r="F62" s="425"/>
      <c r="G62" s="423"/>
      <c r="H62" s="424"/>
      <c r="I62" s="207" t="s">
        <v>101</v>
      </c>
      <c r="J62" s="192"/>
      <c r="K62" s="193"/>
      <c r="L62" s="194" t="s">
        <v>63</v>
      </c>
      <c r="M62" s="195">
        <f t="shared" si="9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2"/>
        <v>0</v>
      </c>
      <c r="U62" s="199"/>
      <c r="V62" s="199"/>
      <c r="W62" s="208"/>
      <c r="X62" s="198"/>
      <c r="Y62" s="437" t="s">
        <v>94</v>
      </c>
      <c r="Z62" s="231"/>
      <c r="AA62" s="232"/>
      <c r="AB62" s="439"/>
    </row>
    <row r="63" spans="1:32" s="55" customFormat="1" ht="69.95" customHeight="1" x14ac:dyDescent="0.15">
      <c r="A63" s="432"/>
      <c r="B63" s="204">
        <f>$I$6</f>
        <v>274</v>
      </c>
      <c r="C63" s="453" t="str">
        <f>$A$6</f>
        <v>CR</v>
      </c>
      <c r="D63" s="454"/>
      <c r="E63" s="455"/>
      <c r="F63" s="425"/>
      <c r="G63" s="423"/>
      <c r="H63" s="424"/>
      <c r="I63" s="207" t="s">
        <v>101</v>
      </c>
      <c r="J63" s="192"/>
      <c r="K63" s="193"/>
      <c r="L63" s="194" t="s">
        <v>63</v>
      </c>
      <c r="M63" s="195">
        <f t="shared" si="9"/>
        <v>0</v>
      </c>
      <c r="N63" s="233"/>
      <c r="O63" s="195"/>
      <c r="P63" s="197" t="s">
        <v>63</v>
      </c>
      <c r="Q63" s="436"/>
      <c r="R63" s="195"/>
      <c r="S63" s="197" t="s">
        <v>63</v>
      </c>
      <c r="T63" s="198">
        <f t="shared" si="2"/>
        <v>0</v>
      </c>
      <c r="U63" s="199"/>
      <c r="V63" s="200"/>
      <c r="W63" s="195"/>
      <c r="X63" s="195"/>
      <c r="Y63" s="438"/>
      <c r="Z63" s="201"/>
      <c r="AA63" s="202"/>
      <c r="AB63" s="440"/>
      <c r="AC63" s="142"/>
      <c r="AD63" s="179"/>
      <c r="AE63" s="179"/>
      <c r="AF63" s="179"/>
    </row>
    <row r="64" spans="1:32" s="206" customFormat="1" ht="69.95" customHeight="1" x14ac:dyDescent="0.15">
      <c r="A64" s="431" t="s">
        <v>265</v>
      </c>
      <c r="B64" s="191">
        <f t="shared" ref="B64" si="12">$I$5</f>
        <v>287</v>
      </c>
      <c r="C64" s="422" t="str">
        <f t="shared" si="11"/>
        <v>CG</v>
      </c>
      <c r="D64" s="423"/>
      <c r="E64" s="424"/>
      <c r="F64" s="425"/>
      <c r="G64" s="426"/>
      <c r="H64" s="427"/>
      <c r="I64" s="215"/>
      <c r="J64" s="192"/>
      <c r="K64" s="193">
        <v>2</v>
      </c>
      <c r="L64" s="194" t="s">
        <v>267</v>
      </c>
      <c r="M64" s="321">
        <f t="shared" si="9"/>
        <v>574</v>
      </c>
      <c r="N64" s="233"/>
      <c r="O64" s="195"/>
      <c r="P64" s="197"/>
      <c r="Q64" s="317"/>
      <c r="R64" s="195"/>
      <c r="S64" s="197" t="s">
        <v>264</v>
      </c>
      <c r="T64" s="322">
        <f t="shared" si="2"/>
        <v>-574</v>
      </c>
      <c r="U64" s="199"/>
      <c r="V64" s="200"/>
      <c r="W64" s="195"/>
      <c r="X64" s="195"/>
      <c r="Y64" s="437" t="s">
        <v>64</v>
      </c>
      <c r="Z64" s="201"/>
      <c r="AA64" s="202"/>
      <c r="AB64" s="439"/>
      <c r="AC64" s="234"/>
      <c r="AD64" s="230"/>
      <c r="AE64" s="230"/>
      <c r="AF64" s="230"/>
    </row>
    <row r="65" spans="1:32" s="206" customFormat="1" ht="69.95" customHeight="1" x14ac:dyDescent="0.15">
      <c r="A65" s="432"/>
      <c r="B65" s="204">
        <f>$I$6</f>
        <v>274</v>
      </c>
      <c r="C65" s="422" t="str">
        <f>$A$6</f>
        <v>CR</v>
      </c>
      <c r="D65" s="423"/>
      <c r="E65" s="424"/>
      <c r="F65" s="425"/>
      <c r="G65" s="426"/>
      <c r="H65" s="427"/>
      <c r="I65" s="215"/>
      <c r="J65" s="192"/>
      <c r="K65" s="193">
        <v>2</v>
      </c>
      <c r="L65" s="194" t="s">
        <v>267</v>
      </c>
      <c r="M65" s="321">
        <f t="shared" si="9"/>
        <v>548</v>
      </c>
      <c r="N65" s="233"/>
      <c r="O65" s="195"/>
      <c r="P65" s="197"/>
      <c r="Q65" s="317"/>
      <c r="R65" s="195"/>
      <c r="S65" s="197" t="s">
        <v>264</v>
      </c>
      <c r="T65" s="322">
        <f t="shared" si="2"/>
        <v>-548</v>
      </c>
      <c r="U65" s="199"/>
      <c r="V65" s="200"/>
      <c r="W65" s="195"/>
      <c r="X65" s="195"/>
      <c r="Y65" s="438"/>
      <c r="Z65" s="201"/>
      <c r="AA65" s="202"/>
      <c r="AB65" s="440"/>
      <c r="AC65" s="234"/>
      <c r="AD65" s="230"/>
      <c r="AE65" s="230"/>
      <c r="AF65" s="230"/>
    </row>
    <row r="66" spans="1:32" s="206" customFormat="1" ht="69.95" customHeight="1" x14ac:dyDescent="0.15">
      <c r="A66" s="431" t="s">
        <v>90</v>
      </c>
      <c r="B66" s="182">
        <f t="shared" si="10"/>
        <v>287</v>
      </c>
      <c r="C66" s="368" t="str">
        <f t="shared" si="11"/>
        <v>CG</v>
      </c>
      <c r="D66" s="369"/>
      <c r="E66" s="370"/>
      <c r="F66" s="428"/>
      <c r="G66" s="429"/>
      <c r="H66" s="430"/>
      <c r="I66" s="441" t="s">
        <v>121</v>
      </c>
      <c r="J66" s="76"/>
      <c r="K66" s="139">
        <v>5</v>
      </c>
      <c r="L66" s="77" t="s">
        <v>63</v>
      </c>
      <c r="M66" s="78">
        <f t="shared" si="9"/>
        <v>1435</v>
      </c>
      <c r="N66" s="79"/>
      <c r="O66" s="78"/>
      <c r="P66" s="80" t="s">
        <v>63</v>
      </c>
      <c r="Q66" s="443">
        <v>46164</v>
      </c>
      <c r="R66" s="78">
        <v>1435</v>
      </c>
      <c r="S66" s="80" t="s">
        <v>63</v>
      </c>
      <c r="T66" s="324">
        <f t="shared" si="2"/>
        <v>0</v>
      </c>
      <c r="U66" s="82"/>
      <c r="V66" s="82"/>
      <c r="W66" s="83"/>
      <c r="X66" s="81"/>
      <c r="Y66" s="445" t="s">
        <v>64</v>
      </c>
      <c r="Z66" s="86"/>
      <c r="AA66" s="85"/>
      <c r="AB66" s="360" t="s">
        <v>340</v>
      </c>
    </row>
    <row r="67" spans="1:32" s="206" customFormat="1" ht="69.95" customHeight="1" x14ac:dyDescent="0.15">
      <c r="A67" s="559"/>
      <c r="B67" s="186">
        <f>$I$6</f>
        <v>274</v>
      </c>
      <c r="C67" s="368" t="str">
        <f>$A$6</f>
        <v>CR</v>
      </c>
      <c r="D67" s="369"/>
      <c r="E67" s="370"/>
      <c r="F67" s="428"/>
      <c r="G67" s="429"/>
      <c r="H67" s="430"/>
      <c r="I67" s="563"/>
      <c r="J67" s="76"/>
      <c r="K67" s="139">
        <v>5</v>
      </c>
      <c r="L67" s="77" t="s">
        <v>63</v>
      </c>
      <c r="M67" s="78">
        <f t="shared" si="9"/>
        <v>1370</v>
      </c>
      <c r="N67" s="140"/>
      <c r="O67" s="78"/>
      <c r="P67" s="80" t="s">
        <v>63</v>
      </c>
      <c r="Q67" s="447"/>
      <c r="R67" s="78">
        <v>1370</v>
      </c>
      <c r="S67" s="80" t="s">
        <v>63</v>
      </c>
      <c r="T67" s="78">
        <f t="shared" si="2"/>
        <v>0</v>
      </c>
      <c r="U67" s="82"/>
      <c r="V67" s="137"/>
      <c r="W67" s="78"/>
      <c r="X67" s="78"/>
      <c r="Y67" s="557"/>
      <c r="Z67" s="141"/>
      <c r="AA67" s="135"/>
      <c r="AB67" s="361"/>
      <c r="AC67" s="234"/>
      <c r="AD67" s="230"/>
      <c r="AE67" s="230"/>
      <c r="AF67" s="230"/>
    </row>
    <row r="68" spans="1:32" s="206" customFormat="1" ht="69.95" customHeight="1" x14ac:dyDescent="0.15">
      <c r="A68" s="432"/>
      <c r="B68" s="182">
        <f>$I$7</f>
        <v>0</v>
      </c>
      <c r="C68" s="461">
        <f>$A$7</f>
        <v>0</v>
      </c>
      <c r="D68" s="461"/>
      <c r="E68" s="461"/>
      <c r="F68" s="428"/>
      <c r="G68" s="429"/>
      <c r="H68" s="430"/>
      <c r="I68" s="442"/>
      <c r="J68" s="76"/>
      <c r="K68" s="139"/>
      <c r="L68" s="77" t="s">
        <v>63</v>
      </c>
      <c r="M68" s="78">
        <f t="shared" si="9"/>
        <v>0</v>
      </c>
      <c r="N68" s="140"/>
      <c r="O68" s="78"/>
      <c r="P68" s="80" t="s">
        <v>63</v>
      </c>
      <c r="Q68" s="447"/>
      <c r="R68" s="78"/>
      <c r="S68" s="80" t="s">
        <v>63</v>
      </c>
      <c r="T68" s="78">
        <f t="shared" si="2"/>
        <v>0</v>
      </c>
      <c r="U68" s="82"/>
      <c r="V68" s="137"/>
      <c r="W68" s="78"/>
      <c r="X68" s="78"/>
      <c r="Y68" s="446"/>
      <c r="Z68" s="141"/>
      <c r="AA68" s="135"/>
      <c r="AB68" s="361"/>
      <c r="AC68" s="234"/>
      <c r="AD68" s="230"/>
      <c r="AE68" s="230"/>
      <c r="AF68" s="230"/>
    </row>
    <row r="69" spans="1:32" s="55" customFormat="1" ht="69.95" customHeight="1" x14ac:dyDescent="0.15">
      <c r="A69" s="431" t="s">
        <v>91</v>
      </c>
      <c r="B69" s="182">
        <f t="shared" si="10"/>
        <v>287</v>
      </c>
      <c r="C69" s="368" t="str">
        <f t="shared" si="11"/>
        <v>CG</v>
      </c>
      <c r="D69" s="369"/>
      <c r="E69" s="370"/>
      <c r="F69" s="428"/>
      <c r="G69" s="429"/>
      <c r="H69" s="430"/>
      <c r="I69" s="441" t="s">
        <v>75</v>
      </c>
      <c r="J69" s="76"/>
      <c r="K69" s="139">
        <v>2</v>
      </c>
      <c r="L69" s="77" t="s">
        <v>63</v>
      </c>
      <c r="M69" s="78">
        <f t="shared" si="9"/>
        <v>574</v>
      </c>
      <c r="N69" s="79"/>
      <c r="O69" s="78"/>
      <c r="P69" s="80" t="s">
        <v>63</v>
      </c>
      <c r="Q69" s="447"/>
      <c r="R69" s="78">
        <v>574</v>
      </c>
      <c r="S69" s="80" t="s">
        <v>63</v>
      </c>
      <c r="T69" s="324">
        <f t="shared" si="2"/>
        <v>0</v>
      </c>
      <c r="U69" s="82"/>
      <c r="V69" s="82"/>
      <c r="W69" s="83"/>
      <c r="X69" s="81"/>
      <c r="Y69" s="445" t="s">
        <v>64</v>
      </c>
      <c r="Z69" s="86"/>
      <c r="AA69" s="85"/>
      <c r="AB69" s="361"/>
    </row>
    <row r="70" spans="1:32" s="55" customFormat="1" ht="69.95" customHeight="1" x14ac:dyDescent="0.15">
      <c r="A70" s="559"/>
      <c r="B70" s="186">
        <f>$I$6</f>
        <v>274</v>
      </c>
      <c r="C70" s="368" t="str">
        <f>$A$6</f>
        <v>CR</v>
      </c>
      <c r="D70" s="369"/>
      <c r="E70" s="370"/>
      <c r="F70" s="428"/>
      <c r="G70" s="429"/>
      <c r="H70" s="430"/>
      <c r="I70" s="563"/>
      <c r="J70" s="76"/>
      <c r="K70" s="139">
        <v>2</v>
      </c>
      <c r="L70" s="77" t="s">
        <v>63</v>
      </c>
      <c r="M70" s="78">
        <f t="shared" si="9"/>
        <v>548</v>
      </c>
      <c r="N70" s="140"/>
      <c r="O70" s="78"/>
      <c r="P70" s="80" t="s">
        <v>63</v>
      </c>
      <c r="Q70" s="447"/>
      <c r="R70" s="78">
        <v>548</v>
      </c>
      <c r="S70" s="80" t="s">
        <v>63</v>
      </c>
      <c r="T70" s="78">
        <f t="shared" si="2"/>
        <v>0</v>
      </c>
      <c r="U70" s="82"/>
      <c r="V70" s="137"/>
      <c r="W70" s="78"/>
      <c r="X70" s="78"/>
      <c r="Y70" s="557"/>
      <c r="Z70" s="141"/>
      <c r="AA70" s="135"/>
      <c r="AB70" s="361"/>
      <c r="AC70" s="142"/>
      <c r="AD70" s="179"/>
      <c r="AE70" s="179"/>
      <c r="AF70" s="179"/>
    </row>
    <row r="71" spans="1:32" s="55" customFormat="1" ht="69.95" customHeight="1" x14ac:dyDescent="0.15">
      <c r="A71" s="432"/>
      <c r="B71" s="182">
        <f>$I$7</f>
        <v>0</v>
      </c>
      <c r="C71" s="461">
        <f>$A$7</f>
        <v>0</v>
      </c>
      <c r="D71" s="461"/>
      <c r="E71" s="461"/>
      <c r="F71" s="428"/>
      <c r="G71" s="429"/>
      <c r="H71" s="430"/>
      <c r="I71" s="442"/>
      <c r="J71" s="76"/>
      <c r="K71" s="139"/>
      <c r="L71" s="77" t="s">
        <v>63</v>
      </c>
      <c r="M71" s="78">
        <f t="shared" si="9"/>
        <v>0</v>
      </c>
      <c r="N71" s="140"/>
      <c r="O71" s="78"/>
      <c r="P71" s="80" t="s">
        <v>63</v>
      </c>
      <c r="Q71" s="444"/>
      <c r="R71" s="78"/>
      <c r="S71" s="80" t="s">
        <v>63</v>
      </c>
      <c r="T71" s="78">
        <f t="shared" si="2"/>
        <v>0</v>
      </c>
      <c r="U71" s="82"/>
      <c r="V71" s="137"/>
      <c r="W71" s="78"/>
      <c r="X71" s="78"/>
      <c r="Y71" s="446"/>
      <c r="Z71" s="141"/>
      <c r="AA71" s="135"/>
      <c r="AB71" s="362"/>
      <c r="AC71" s="142"/>
      <c r="AD71" s="179"/>
      <c r="AE71" s="179"/>
      <c r="AF71" s="179"/>
    </row>
    <row r="72" spans="1:32" s="55" customFormat="1" ht="69.95" customHeight="1" x14ac:dyDescent="0.15">
      <c r="A72" s="431" t="s">
        <v>286</v>
      </c>
      <c r="B72" s="182">
        <f t="shared" si="10"/>
        <v>287</v>
      </c>
      <c r="C72" s="368" t="str">
        <f t="shared" si="11"/>
        <v>CG</v>
      </c>
      <c r="D72" s="369"/>
      <c r="E72" s="370"/>
      <c r="F72" s="428"/>
      <c r="G72" s="429"/>
      <c r="H72" s="430"/>
      <c r="I72" s="75"/>
      <c r="J72" s="76"/>
      <c r="K72" s="298">
        <v>0.8</v>
      </c>
      <c r="L72" s="77" t="s">
        <v>7</v>
      </c>
      <c r="M72" s="78">
        <f t="shared" si="9"/>
        <v>229.60000000000002</v>
      </c>
      <c r="N72" s="79"/>
      <c r="O72" s="78"/>
      <c r="P72" s="77" t="s">
        <v>7</v>
      </c>
      <c r="Q72" s="443">
        <v>46164</v>
      </c>
      <c r="R72" s="78">
        <v>300</v>
      </c>
      <c r="S72" s="77" t="s">
        <v>7</v>
      </c>
      <c r="T72" s="324">
        <f t="shared" si="2"/>
        <v>70.399999999999977</v>
      </c>
      <c r="U72" s="82"/>
      <c r="V72" s="82"/>
      <c r="W72" s="83"/>
      <c r="X72" s="81"/>
      <c r="Y72" s="445" t="s">
        <v>130</v>
      </c>
      <c r="Z72" s="86"/>
      <c r="AA72" s="85"/>
      <c r="AB72" s="360"/>
    </row>
    <row r="73" spans="1:32" s="55" customFormat="1" ht="69.95" customHeight="1" x14ac:dyDescent="0.15">
      <c r="A73" s="559"/>
      <c r="B73" s="186">
        <f>$I$6</f>
        <v>274</v>
      </c>
      <c r="C73" s="368" t="str">
        <f>$A$6</f>
        <v>CR</v>
      </c>
      <c r="D73" s="369"/>
      <c r="E73" s="370"/>
      <c r="F73" s="428"/>
      <c r="G73" s="429"/>
      <c r="H73" s="430"/>
      <c r="I73" s="75"/>
      <c r="J73" s="76"/>
      <c r="K73" s="298">
        <v>0.8</v>
      </c>
      <c r="L73" s="77" t="s">
        <v>7</v>
      </c>
      <c r="M73" s="78">
        <f t="shared" si="9"/>
        <v>219.20000000000002</v>
      </c>
      <c r="N73" s="140"/>
      <c r="O73" s="78"/>
      <c r="P73" s="77" t="s">
        <v>7</v>
      </c>
      <c r="Q73" s="447"/>
      <c r="R73" s="78">
        <v>300</v>
      </c>
      <c r="S73" s="77" t="s">
        <v>7</v>
      </c>
      <c r="T73" s="78">
        <f t="shared" si="2"/>
        <v>80.799999999999983</v>
      </c>
      <c r="U73" s="82"/>
      <c r="V73" s="137"/>
      <c r="W73" s="78"/>
      <c r="X73" s="78"/>
      <c r="Y73" s="557"/>
      <c r="Z73" s="141"/>
      <c r="AA73" s="135"/>
      <c r="AB73" s="361"/>
      <c r="AC73" s="142"/>
      <c r="AD73" s="179"/>
      <c r="AE73" s="179"/>
      <c r="AF73" s="179"/>
    </row>
    <row r="74" spans="1:32" s="55" customFormat="1" ht="69.95" customHeight="1" x14ac:dyDescent="0.15">
      <c r="A74" s="432"/>
      <c r="B74" s="182">
        <f>$I$7</f>
        <v>0</v>
      </c>
      <c r="C74" s="461">
        <f>$A$7</f>
        <v>0</v>
      </c>
      <c r="D74" s="461"/>
      <c r="E74" s="461"/>
      <c r="F74" s="428"/>
      <c r="G74" s="429"/>
      <c r="H74" s="430"/>
      <c r="I74" s="75"/>
      <c r="J74" s="76"/>
      <c r="K74" s="298"/>
      <c r="L74" s="77" t="s">
        <v>7</v>
      </c>
      <c r="M74" s="78">
        <f t="shared" si="9"/>
        <v>0</v>
      </c>
      <c r="N74" s="140"/>
      <c r="O74" s="78"/>
      <c r="P74" s="77" t="s">
        <v>7</v>
      </c>
      <c r="Q74" s="444"/>
      <c r="R74" s="78"/>
      <c r="S74" s="77" t="s">
        <v>7</v>
      </c>
      <c r="T74" s="78">
        <f t="shared" si="2"/>
        <v>0</v>
      </c>
      <c r="U74" s="82"/>
      <c r="V74" s="137"/>
      <c r="W74" s="78"/>
      <c r="X74" s="78"/>
      <c r="Y74" s="446"/>
      <c r="Z74" s="141"/>
      <c r="AA74" s="135"/>
      <c r="AB74" s="362"/>
      <c r="AC74" s="142"/>
      <c r="AD74" s="179"/>
      <c r="AE74" s="179"/>
      <c r="AF74" s="179"/>
    </row>
    <row r="75" spans="1:32" s="55" customFormat="1" ht="69.95" customHeight="1" x14ac:dyDescent="0.15">
      <c r="A75" s="431" t="s">
        <v>255</v>
      </c>
      <c r="B75" s="191">
        <f t="shared" si="10"/>
        <v>287</v>
      </c>
      <c r="C75" s="422" t="str">
        <f t="shared" si="11"/>
        <v>CG</v>
      </c>
      <c r="D75" s="423"/>
      <c r="E75" s="424"/>
      <c r="F75" s="425"/>
      <c r="G75" s="426"/>
      <c r="H75" s="427"/>
      <c r="I75" s="207" t="s">
        <v>79</v>
      </c>
      <c r="J75" s="192"/>
      <c r="K75" s="193">
        <v>4</v>
      </c>
      <c r="L75" s="194" t="s">
        <v>65</v>
      </c>
      <c r="M75" s="195">
        <f t="shared" si="9"/>
        <v>1148</v>
      </c>
      <c r="N75" s="196"/>
      <c r="O75" s="195"/>
      <c r="P75" s="197" t="s">
        <v>63</v>
      </c>
      <c r="Q75" s="435"/>
      <c r="R75" s="195"/>
      <c r="S75" s="197" t="s">
        <v>63</v>
      </c>
      <c r="T75" s="205">
        <f t="shared" si="2"/>
        <v>-1148</v>
      </c>
      <c r="U75" s="199"/>
      <c r="V75" s="199"/>
      <c r="W75" s="208"/>
      <c r="X75" s="198"/>
      <c r="Y75" s="437" t="s">
        <v>64</v>
      </c>
      <c r="Z75" s="231"/>
      <c r="AA75" s="232"/>
      <c r="AB75" s="439"/>
    </row>
    <row r="76" spans="1:32" s="55" customFormat="1" ht="69.95" customHeight="1" x14ac:dyDescent="0.15">
      <c r="A76" s="432"/>
      <c r="B76" s="204">
        <f>$I$6</f>
        <v>274</v>
      </c>
      <c r="C76" s="422" t="str">
        <f>$A$6</f>
        <v>CR</v>
      </c>
      <c r="D76" s="423"/>
      <c r="E76" s="424"/>
      <c r="F76" s="425"/>
      <c r="G76" s="426"/>
      <c r="H76" s="427"/>
      <c r="I76" s="207" t="s">
        <v>79</v>
      </c>
      <c r="J76" s="192"/>
      <c r="K76" s="193">
        <v>4</v>
      </c>
      <c r="L76" s="194" t="s">
        <v>65</v>
      </c>
      <c r="M76" s="195">
        <f t="shared" si="9"/>
        <v>1096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2"/>
        <v>-1096</v>
      </c>
      <c r="U76" s="199"/>
      <c r="V76" s="200"/>
      <c r="W76" s="195"/>
      <c r="X76" s="195"/>
      <c r="Y76" s="438"/>
      <c r="Z76" s="201"/>
      <c r="AA76" s="202"/>
      <c r="AB76" s="440"/>
      <c r="AC76" s="142"/>
      <c r="AD76" s="179"/>
      <c r="AE76" s="179"/>
      <c r="AF76" s="179"/>
    </row>
    <row r="77" spans="1:32" s="55" customFormat="1" ht="69.95" customHeight="1" x14ac:dyDescent="0.15">
      <c r="A77" s="431" t="s">
        <v>103</v>
      </c>
      <c r="B77" s="191">
        <f t="shared" ref="B77" si="13">$I$5</f>
        <v>287</v>
      </c>
      <c r="C77" s="422" t="str">
        <f t="shared" ref="C77" si="14">$A$5</f>
        <v>CG</v>
      </c>
      <c r="D77" s="423"/>
      <c r="E77" s="424"/>
      <c r="F77" s="425"/>
      <c r="G77" s="426"/>
      <c r="H77" s="427"/>
      <c r="I77" s="207"/>
      <c r="J77" s="192"/>
      <c r="K77" s="193"/>
      <c r="L77" s="194" t="s">
        <v>65</v>
      </c>
      <c r="M77" s="195">
        <f t="shared" si="9"/>
        <v>0</v>
      </c>
      <c r="N77" s="196"/>
      <c r="O77" s="195"/>
      <c r="P77" s="197" t="s">
        <v>65</v>
      </c>
      <c r="Q77" s="435"/>
      <c r="R77" s="195"/>
      <c r="S77" s="197" t="s">
        <v>65</v>
      </c>
      <c r="T77" s="205">
        <f t="shared" si="2"/>
        <v>0</v>
      </c>
      <c r="U77" s="199"/>
      <c r="V77" s="199"/>
      <c r="W77" s="208"/>
      <c r="X77" s="198"/>
      <c r="Y77" s="437" t="s">
        <v>94</v>
      </c>
      <c r="Z77" s="231"/>
      <c r="AA77" s="232"/>
      <c r="AB77" s="439"/>
    </row>
    <row r="78" spans="1:32" s="55" customFormat="1" ht="69.95" customHeight="1" x14ac:dyDescent="0.15">
      <c r="A78" s="432"/>
      <c r="B78" s="204">
        <f>$I$6</f>
        <v>274</v>
      </c>
      <c r="C78" s="422" t="str">
        <f>$A$6</f>
        <v>CR</v>
      </c>
      <c r="D78" s="423"/>
      <c r="E78" s="424"/>
      <c r="F78" s="425"/>
      <c r="G78" s="426"/>
      <c r="H78" s="427"/>
      <c r="I78" s="207"/>
      <c r="J78" s="192"/>
      <c r="K78" s="193"/>
      <c r="L78" s="194" t="s">
        <v>65</v>
      </c>
      <c r="M78" s="195">
        <f t="shared" si="9"/>
        <v>0</v>
      </c>
      <c r="N78" s="233"/>
      <c r="O78" s="195"/>
      <c r="P78" s="197" t="s">
        <v>65</v>
      </c>
      <c r="Q78" s="436"/>
      <c r="R78" s="195"/>
      <c r="S78" s="197" t="s">
        <v>65</v>
      </c>
      <c r="T78" s="198">
        <f t="shared" si="2"/>
        <v>0</v>
      </c>
      <c r="U78" s="199"/>
      <c r="V78" s="200"/>
      <c r="W78" s="195"/>
      <c r="X78" s="195"/>
      <c r="Y78" s="438"/>
      <c r="Z78" s="201"/>
      <c r="AA78" s="202"/>
      <c r="AB78" s="440"/>
      <c r="AC78" s="142"/>
      <c r="AD78" s="179"/>
      <c r="AE78" s="179"/>
      <c r="AF78" s="179"/>
    </row>
    <row r="79" spans="1:32" s="55" customFormat="1" ht="69.95" customHeight="1" x14ac:dyDescent="0.15">
      <c r="A79" s="431" t="s">
        <v>256</v>
      </c>
      <c r="B79" s="191">
        <f t="shared" ref="B79:B83" si="15">$I$5</f>
        <v>287</v>
      </c>
      <c r="C79" s="422" t="str">
        <f t="shared" ref="C79:C81" si="16">$A$5</f>
        <v>CG</v>
      </c>
      <c r="D79" s="423"/>
      <c r="E79" s="424"/>
      <c r="F79" s="425"/>
      <c r="G79" s="426"/>
      <c r="H79" s="427"/>
      <c r="I79" s="433" t="s">
        <v>102</v>
      </c>
      <c r="J79" s="192"/>
      <c r="K79" s="209">
        <v>0.96</v>
      </c>
      <c r="L79" s="194" t="s">
        <v>129</v>
      </c>
      <c r="M79" s="195">
        <f t="shared" si="3"/>
        <v>275.52</v>
      </c>
      <c r="N79" s="196"/>
      <c r="O79" s="195"/>
      <c r="P79" s="197" t="s">
        <v>63</v>
      </c>
      <c r="Q79" s="435"/>
      <c r="R79" s="195"/>
      <c r="S79" s="197" t="s">
        <v>63</v>
      </c>
      <c r="T79" s="205">
        <f t="shared" si="2"/>
        <v>-275.52</v>
      </c>
      <c r="U79" s="199"/>
      <c r="V79" s="199"/>
      <c r="W79" s="208"/>
      <c r="X79" s="198"/>
      <c r="Y79" s="437" t="s">
        <v>130</v>
      </c>
      <c r="Z79" s="231"/>
      <c r="AA79" s="232"/>
      <c r="AB79" s="439"/>
    </row>
    <row r="80" spans="1:32" s="55" customFormat="1" ht="69.95" customHeight="1" x14ac:dyDescent="0.15">
      <c r="A80" s="432"/>
      <c r="B80" s="204">
        <f>$I$6</f>
        <v>274</v>
      </c>
      <c r="C80" s="422" t="str">
        <f>$A$6</f>
        <v>CR</v>
      </c>
      <c r="D80" s="423"/>
      <c r="E80" s="424"/>
      <c r="F80" s="425"/>
      <c r="G80" s="426"/>
      <c r="H80" s="427"/>
      <c r="I80" s="434"/>
      <c r="J80" s="192"/>
      <c r="K80" s="209">
        <v>0.96</v>
      </c>
      <c r="L80" s="194" t="s">
        <v>129</v>
      </c>
      <c r="M80" s="195">
        <f t="shared" ref="M80:M116" si="17">K80*B80</f>
        <v>263.03999999999996</v>
      </c>
      <c r="N80" s="233"/>
      <c r="O80" s="195"/>
      <c r="P80" s="197" t="s">
        <v>63</v>
      </c>
      <c r="Q80" s="436"/>
      <c r="R80" s="195"/>
      <c r="S80" s="197" t="s">
        <v>63</v>
      </c>
      <c r="T80" s="198">
        <f t="shared" si="2"/>
        <v>-263.03999999999996</v>
      </c>
      <c r="U80" s="199"/>
      <c r="V80" s="200"/>
      <c r="W80" s="195"/>
      <c r="X80" s="195"/>
      <c r="Y80" s="438"/>
      <c r="Z80" s="201"/>
      <c r="AA80" s="202"/>
      <c r="AB80" s="440"/>
      <c r="AC80" s="142"/>
      <c r="AD80" s="179"/>
      <c r="AE80" s="179"/>
      <c r="AF80" s="179"/>
    </row>
    <row r="81" spans="1:32" s="206" customFormat="1" ht="69.95" customHeight="1" x14ac:dyDescent="0.15">
      <c r="A81" s="431" t="s">
        <v>120</v>
      </c>
      <c r="B81" s="191">
        <f t="shared" si="15"/>
        <v>287</v>
      </c>
      <c r="C81" s="422" t="str">
        <f t="shared" si="16"/>
        <v>CG</v>
      </c>
      <c r="D81" s="423"/>
      <c r="E81" s="424"/>
      <c r="F81" s="425"/>
      <c r="G81" s="426"/>
      <c r="H81" s="427"/>
      <c r="I81" s="433" t="s">
        <v>75</v>
      </c>
      <c r="J81" s="192"/>
      <c r="K81" s="193">
        <v>2</v>
      </c>
      <c r="L81" s="194" t="s">
        <v>63</v>
      </c>
      <c r="M81" s="195">
        <f t="shared" si="17"/>
        <v>574</v>
      </c>
      <c r="N81" s="196"/>
      <c r="O81" s="195"/>
      <c r="P81" s="197" t="s">
        <v>63</v>
      </c>
      <c r="Q81" s="435"/>
      <c r="R81" s="195"/>
      <c r="S81" s="197" t="s">
        <v>63</v>
      </c>
      <c r="T81" s="205">
        <f t="shared" si="2"/>
        <v>-574</v>
      </c>
      <c r="U81" s="199"/>
      <c r="V81" s="199"/>
      <c r="W81" s="208"/>
      <c r="X81" s="198"/>
      <c r="Y81" s="437" t="s">
        <v>64</v>
      </c>
      <c r="Z81" s="231"/>
      <c r="AA81" s="232"/>
      <c r="AB81" s="439"/>
    </row>
    <row r="82" spans="1:32" s="206" customFormat="1" ht="69.95" customHeight="1" x14ac:dyDescent="0.15">
      <c r="A82" s="432"/>
      <c r="B82" s="204">
        <f>$I$6</f>
        <v>274</v>
      </c>
      <c r="C82" s="422" t="str">
        <f>$A$6</f>
        <v>CR</v>
      </c>
      <c r="D82" s="423"/>
      <c r="E82" s="424"/>
      <c r="F82" s="425"/>
      <c r="G82" s="426"/>
      <c r="H82" s="427"/>
      <c r="I82" s="434"/>
      <c r="J82" s="192"/>
      <c r="K82" s="193">
        <v>2</v>
      </c>
      <c r="L82" s="194" t="s">
        <v>63</v>
      </c>
      <c r="M82" s="195">
        <f t="shared" si="17"/>
        <v>548</v>
      </c>
      <c r="N82" s="233"/>
      <c r="O82" s="195"/>
      <c r="P82" s="197" t="s">
        <v>63</v>
      </c>
      <c r="Q82" s="436"/>
      <c r="R82" s="195"/>
      <c r="S82" s="197" t="s">
        <v>63</v>
      </c>
      <c r="T82" s="198">
        <f t="shared" si="2"/>
        <v>-548</v>
      </c>
      <c r="U82" s="199"/>
      <c r="V82" s="200"/>
      <c r="W82" s="195"/>
      <c r="X82" s="195"/>
      <c r="Y82" s="438"/>
      <c r="Z82" s="201"/>
      <c r="AA82" s="202"/>
      <c r="AB82" s="440"/>
      <c r="AC82" s="234"/>
      <c r="AD82" s="230"/>
      <c r="AE82" s="230"/>
      <c r="AF82" s="230"/>
    </row>
    <row r="83" spans="1:32" s="206" customFormat="1" ht="69.95" customHeight="1" x14ac:dyDescent="0.15">
      <c r="A83" s="431" t="s">
        <v>266</v>
      </c>
      <c r="B83" s="191">
        <f t="shared" si="15"/>
        <v>287</v>
      </c>
      <c r="C83" s="422"/>
      <c r="D83" s="423"/>
      <c r="E83" s="424"/>
      <c r="F83" s="425"/>
      <c r="G83" s="426"/>
      <c r="H83" s="427"/>
      <c r="I83" s="215"/>
      <c r="J83" s="192"/>
      <c r="K83" s="304">
        <v>1.2</v>
      </c>
      <c r="L83" s="194" t="s">
        <v>264</v>
      </c>
      <c r="M83" s="321">
        <f t="shared" si="17"/>
        <v>344.4</v>
      </c>
      <c r="N83" s="233"/>
      <c r="O83" s="195"/>
      <c r="P83" s="197"/>
      <c r="Q83" s="435"/>
      <c r="R83" s="195"/>
      <c r="S83" s="197" t="s">
        <v>264</v>
      </c>
      <c r="T83" s="322">
        <f t="shared" si="2"/>
        <v>-344.4</v>
      </c>
      <c r="U83" s="199"/>
      <c r="V83" s="200"/>
      <c r="W83" s="195"/>
      <c r="X83" s="195"/>
      <c r="Y83" s="437" t="s">
        <v>140</v>
      </c>
      <c r="Z83" s="201"/>
      <c r="AA83" s="202"/>
      <c r="AB83" s="439"/>
      <c r="AC83" s="234"/>
      <c r="AD83" s="230"/>
      <c r="AE83" s="230"/>
      <c r="AF83" s="230"/>
    </row>
    <row r="84" spans="1:32" s="206" customFormat="1" ht="69.95" customHeight="1" x14ac:dyDescent="0.15">
      <c r="A84" s="432"/>
      <c r="B84" s="204">
        <f>$I$6</f>
        <v>274</v>
      </c>
      <c r="C84" s="422"/>
      <c r="D84" s="423"/>
      <c r="E84" s="424"/>
      <c r="F84" s="425"/>
      <c r="G84" s="426"/>
      <c r="H84" s="427"/>
      <c r="I84" s="215"/>
      <c r="J84" s="192"/>
      <c r="K84" s="304">
        <v>1.2</v>
      </c>
      <c r="L84" s="194" t="s">
        <v>264</v>
      </c>
      <c r="M84" s="321">
        <f t="shared" si="17"/>
        <v>328.8</v>
      </c>
      <c r="N84" s="233"/>
      <c r="O84" s="195"/>
      <c r="P84" s="197"/>
      <c r="Q84" s="436"/>
      <c r="R84" s="195"/>
      <c r="S84" s="197" t="s">
        <v>264</v>
      </c>
      <c r="T84" s="322">
        <f t="shared" si="2"/>
        <v>-328.8</v>
      </c>
      <c r="U84" s="199"/>
      <c r="V84" s="200"/>
      <c r="W84" s="195"/>
      <c r="X84" s="195"/>
      <c r="Y84" s="438"/>
      <c r="Z84" s="201"/>
      <c r="AA84" s="202"/>
      <c r="AB84" s="440"/>
      <c r="AC84" s="234"/>
      <c r="AD84" s="230"/>
      <c r="AE84" s="230"/>
      <c r="AF84" s="230"/>
    </row>
    <row r="85" spans="1:32" s="206" customFormat="1" ht="54.95" customHeight="1" x14ac:dyDescent="0.15">
      <c r="A85" s="92" t="s">
        <v>257</v>
      </c>
      <c r="B85" s="87">
        <f>I11</f>
        <v>561</v>
      </c>
      <c r="C85" s="368" t="s">
        <v>71</v>
      </c>
      <c r="D85" s="369"/>
      <c r="E85" s="370"/>
      <c r="F85" s="368"/>
      <c r="G85" s="369"/>
      <c r="H85" s="370"/>
      <c r="I85" s="93"/>
      <c r="J85" s="90"/>
      <c r="K85" s="156">
        <v>1</v>
      </c>
      <c r="L85" s="77" t="s">
        <v>63</v>
      </c>
      <c r="M85" s="88">
        <f t="shared" si="17"/>
        <v>561</v>
      </c>
      <c r="N85" s="91"/>
      <c r="O85" s="91"/>
      <c r="P85" s="88" t="s">
        <v>63</v>
      </c>
      <c r="Q85" s="443">
        <v>46164</v>
      </c>
      <c r="R85" s="93">
        <v>90</v>
      </c>
      <c r="S85" s="88" t="s">
        <v>63</v>
      </c>
      <c r="T85" s="154">
        <f t="shared" si="2"/>
        <v>-471</v>
      </c>
      <c r="U85" s="91"/>
      <c r="V85" s="159"/>
      <c r="W85" s="159"/>
      <c r="X85" s="159"/>
      <c r="Y85" s="160" t="s">
        <v>72</v>
      </c>
      <c r="Z85" s="94"/>
      <c r="AA85" s="95"/>
      <c r="AB85" s="607" t="s">
        <v>341</v>
      </c>
    </row>
    <row r="86" spans="1:32" s="206" customFormat="1" ht="54.95" customHeight="1" x14ac:dyDescent="0.15">
      <c r="A86" s="92" t="s">
        <v>323</v>
      </c>
      <c r="B86" s="87">
        <f>I11</f>
        <v>561</v>
      </c>
      <c r="C86" s="368" t="s">
        <v>71</v>
      </c>
      <c r="D86" s="369"/>
      <c r="E86" s="370"/>
      <c r="F86" s="368"/>
      <c r="G86" s="369"/>
      <c r="H86" s="370"/>
      <c r="I86" s="93"/>
      <c r="J86" s="90"/>
      <c r="K86" s="156">
        <v>1</v>
      </c>
      <c r="L86" s="77" t="s">
        <v>63</v>
      </c>
      <c r="M86" s="88">
        <f t="shared" si="17"/>
        <v>561</v>
      </c>
      <c r="N86" s="91"/>
      <c r="O86" s="91"/>
      <c r="P86" s="88" t="s">
        <v>63</v>
      </c>
      <c r="Q86" s="444"/>
      <c r="R86" s="93">
        <v>561</v>
      </c>
      <c r="S86" s="88" t="s">
        <v>63</v>
      </c>
      <c r="T86" s="154">
        <f t="shared" si="2"/>
        <v>0</v>
      </c>
      <c r="U86" s="91"/>
      <c r="V86" s="159"/>
      <c r="W86" s="159"/>
      <c r="X86" s="159"/>
      <c r="Y86" s="160" t="s">
        <v>72</v>
      </c>
      <c r="Z86" s="94"/>
      <c r="AA86" s="95"/>
      <c r="AB86" s="608"/>
    </row>
    <row r="87" spans="1:32" s="55" customFormat="1" ht="54.95" customHeight="1" x14ac:dyDescent="0.15">
      <c r="A87" s="386" t="s">
        <v>66</v>
      </c>
      <c r="B87" s="87">
        <f>C11</f>
        <v>361</v>
      </c>
      <c r="C87" s="389" t="e">
        <f>#REF!</f>
        <v>#REF!</v>
      </c>
      <c r="D87" s="390"/>
      <c r="E87" s="391"/>
      <c r="F87" s="368"/>
      <c r="G87" s="369"/>
      <c r="H87" s="370"/>
      <c r="I87" s="152"/>
      <c r="J87" s="75"/>
      <c r="K87" s="139">
        <v>1</v>
      </c>
      <c r="L87" s="77" t="s">
        <v>63</v>
      </c>
      <c r="M87" s="88">
        <f t="shared" si="17"/>
        <v>361</v>
      </c>
      <c r="N87" s="89"/>
      <c r="O87" s="153"/>
      <c r="P87" s="88" t="s">
        <v>63</v>
      </c>
      <c r="Q87" s="443">
        <v>46164</v>
      </c>
      <c r="R87" s="153">
        <v>361</v>
      </c>
      <c r="S87" s="88" t="s">
        <v>63</v>
      </c>
      <c r="T87" s="154">
        <f t="shared" si="2"/>
        <v>0</v>
      </c>
      <c r="U87" s="129"/>
      <c r="V87" s="155"/>
      <c r="W87" s="154"/>
      <c r="X87" s="154"/>
      <c r="Y87" s="401" t="s">
        <v>72</v>
      </c>
      <c r="Z87" s="401"/>
      <c r="AA87" s="401"/>
      <c r="AB87" s="579" t="s">
        <v>341</v>
      </c>
    </row>
    <row r="88" spans="1:32" s="55" customFormat="1" ht="54.95" customHeight="1" x14ac:dyDescent="0.15">
      <c r="A88" s="387"/>
      <c r="B88" s="87">
        <f>D11</f>
        <v>200</v>
      </c>
      <c r="C88" s="392"/>
      <c r="D88" s="393"/>
      <c r="E88" s="394"/>
      <c r="F88" s="368"/>
      <c r="G88" s="369"/>
      <c r="H88" s="370"/>
      <c r="I88" s="152"/>
      <c r="J88" s="75"/>
      <c r="K88" s="156">
        <v>1</v>
      </c>
      <c r="L88" s="77" t="s">
        <v>63</v>
      </c>
      <c r="M88" s="88">
        <f t="shared" si="17"/>
        <v>200</v>
      </c>
      <c r="N88" s="89"/>
      <c r="O88" s="153"/>
      <c r="P88" s="88" t="s">
        <v>63</v>
      </c>
      <c r="Q88" s="447"/>
      <c r="R88" s="153">
        <v>200</v>
      </c>
      <c r="S88" s="88" t="s">
        <v>63</v>
      </c>
      <c r="T88" s="154">
        <f t="shared" si="2"/>
        <v>0</v>
      </c>
      <c r="U88" s="129"/>
      <c r="V88" s="155"/>
      <c r="W88" s="154"/>
      <c r="X88" s="154"/>
      <c r="Y88" s="402"/>
      <c r="Z88" s="402"/>
      <c r="AA88" s="402"/>
      <c r="AB88" s="580"/>
    </row>
    <row r="89" spans="1:32" s="55" customFormat="1" ht="54.95" customHeight="1" x14ac:dyDescent="0.15">
      <c r="A89" s="387"/>
      <c r="B89" s="87">
        <f>E11</f>
        <v>0</v>
      </c>
      <c r="C89" s="392"/>
      <c r="D89" s="393"/>
      <c r="E89" s="394"/>
      <c r="F89" s="368"/>
      <c r="G89" s="369"/>
      <c r="H89" s="370"/>
      <c r="I89" s="152"/>
      <c r="J89" s="75"/>
      <c r="K89" s="156">
        <v>1</v>
      </c>
      <c r="L89" s="77" t="s">
        <v>63</v>
      </c>
      <c r="M89" s="88">
        <f t="shared" si="17"/>
        <v>0</v>
      </c>
      <c r="N89" s="89"/>
      <c r="O89" s="153"/>
      <c r="P89" s="88" t="s">
        <v>63</v>
      </c>
      <c r="Q89" s="447"/>
      <c r="R89" s="153"/>
      <c r="S89" s="88" t="s">
        <v>63</v>
      </c>
      <c r="T89" s="154">
        <f t="shared" si="2"/>
        <v>0</v>
      </c>
      <c r="U89" s="129"/>
      <c r="V89" s="155"/>
      <c r="W89" s="154"/>
      <c r="X89" s="154"/>
      <c r="Y89" s="402"/>
      <c r="Z89" s="402"/>
      <c r="AA89" s="402"/>
      <c r="AB89" s="580"/>
    </row>
    <row r="90" spans="1:32" s="55" customFormat="1" ht="54.95" customHeight="1" x14ac:dyDescent="0.15">
      <c r="A90" s="387"/>
      <c r="B90" s="87">
        <f>F11</f>
        <v>0</v>
      </c>
      <c r="C90" s="392"/>
      <c r="D90" s="393"/>
      <c r="E90" s="394"/>
      <c r="F90" s="368"/>
      <c r="G90" s="369"/>
      <c r="H90" s="370"/>
      <c r="I90" s="152"/>
      <c r="J90" s="75"/>
      <c r="K90" s="156">
        <v>1</v>
      </c>
      <c r="L90" s="77" t="s">
        <v>63</v>
      </c>
      <c r="M90" s="88">
        <f t="shared" si="17"/>
        <v>0</v>
      </c>
      <c r="N90" s="89"/>
      <c r="O90" s="153"/>
      <c r="P90" s="88" t="s">
        <v>63</v>
      </c>
      <c r="Q90" s="447"/>
      <c r="R90" s="153"/>
      <c r="S90" s="88" t="s">
        <v>63</v>
      </c>
      <c r="T90" s="154">
        <f t="shared" si="2"/>
        <v>0</v>
      </c>
      <c r="U90" s="129"/>
      <c r="V90" s="155"/>
      <c r="W90" s="154"/>
      <c r="X90" s="154"/>
      <c r="Y90" s="402"/>
      <c r="Z90" s="402"/>
      <c r="AA90" s="402"/>
      <c r="AB90" s="580"/>
    </row>
    <row r="91" spans="1:32" s="55" customFormat="1" ht="54.95" customHeight="1" x14ac:dyDescent="0.15">
      <c r="A91" s="388"/>
      <c r="B91" s="87">
        <f>G11</f>
        <v>0</v>
      </c>
      <c r="C91" s="395"/>
      <c r="D91" s="396"/>
      <c r="E91" s="397"/>
      <c r="F91" s="368"/>
      <c r="G91" s="369"/>
      <c r="H91" s="370"/>
      <c r="I91" s="152"/>
      <c r="J91" s="75"/>
      <c r="K91" s="156">
        <v>1</v>
      </c>
      <c r="L91" s="77" t="s">
        <v>63</v>
      </c>
      <c r="M91" s="88">
        <f t="shared" si="17"/>
        <v>0</v>
      </c>
      <c r="N91" s="89"/>
      <c r="O91" s="153"/>
      <c r="P91" s="88" t="s">
        <v>63</v>
      </c>
      <c r="Q91" s="444"/>
      <c r="R91" s="153"/>
      <c r="S91" s="88" t="s">
        <v>63</v>
      </c>
      <c r="T91" s="154">
        <f t="shared" si="2"/>
        <v>0</v>
      </c>
      <c r="U91" s="129"/>
      <c r="V91" s="155"/>
      <c r="W91" s="154"/>
      <c r="X91" s="154"/>
      <c r="Y91" s="403"/>
      <c r="Z91" s="403"/>
      <c r="AA91" s="403"/>
      <c r="AB91" s="581"/>
    </row>
    <row r="92" spans="1:32" s="55" customFormat="1" ht="54.95" customHeight="1" x14ac:dyDescent="0.15">
      <c r="A92" s="386" t="s">
        <v>68</v>
      </c>
      <c r="B92" s="87">
        <f>C5</f>
        <v>187</v>
      </c>
      <c r="C92" s="461" t="str">
        <f>A5</f>
        <v>CG</v>
      </c>
      <c r="D92" s="461"/>
      <c r="E92" s="461"/>
      <c r="F92" s="368"/>
      <c r="G92" s="369"/>
      <c r="H92" s="370"/>
      <c r="I92" s="152"/>
      <c r="J92" s="152"/>
      <c r="K92" s="156">
        <v>1</v>
      </c>
      <c r="L92" s="77" t="s">
        <v>63</v>
      </c>
      <c r="M92" s="88">
        <f t="shared" si="17"/>
        <v>187</v>
      </c>
      <c r="N92" s="89"/>
      <c r="O92" s="153"/>
      <c r="P92" s="88" t="s">
        <v>63</v>
      </c>
      <c r="Q92" s="443">
        <v>46169</v>
      </c>
      <c r="R92" s="153">
        <v>187</v>
      </c>
      <c r="S92" s="88" t="s">
        <v>63</v>
      </c>
      <c r="T92" s="154">
        <f t="shared" si="2"/>
        <v>0</v>
      </c>
      <c r="U92" s="157"/>
      <c r="V92" s="158"/>
      <c r="W92" s="154"/>
      <c r="X92" s="154"/>
      <c r="Y92" s="582" t="s">
        <v>72</v>
      </c>
      <c r="Z92" s="582"/>
      <c r="AA92" s="582"/>
      <c r="AB92" s="360" t="s">
        <v>340</v>
      </c>
    </row>
    <row r="93" spans="1:32" s="55" customFormat="1" ht="54.95" customHeight="1" x14ac:dyDescent="0.15">
      <c r="A93" s="387"/>
      <c r="B93" s="87">
        <f>D5</f>
        <v>100</v>
      </c>
      <c r="C93" s="461"/>
      <c r="D93" s="461"/>
      <c r="E93" s="461"/>
      <c r="F93" s="368"/>
      <c r="G93" s="369"/>
      <c r="H93" s="370"/>
      <c r="I93" s="152"/>
      <c r="J93" s="152"/>
      <c r="K93" s="156">
        <v>1</v>
      </c>
      <c r="L93" s="77" t="s">
        <v>63</v>
      </c>
      <c r="M93" s="88">
        <f t="shared" si="17"/>
        <v>100</v>
      </c>
      <c r="N93" s="89"/>
      <c r="O93" s="153"/>
      <c r="P93" s="88" t="s">
        <v>63</v>
      </c>
      <c r="Q93" s="447"/>
      <c r="R93" s="153">
        <v>100</v>
      </c>
      <c r="S93" s="88" t="s">
        <v>63</v>
      </c>
      <c r="T93" s="154">
        <f t="shared" si="2"/>
        <v>0</v>
      </c>
      <c r="U93" s="157"/>
      <c r="V93" s="158"/>
      <c r="W93" s="154"/>
      <c r="X93" s="154"/>
      <c r="Y93" s="582"/>
      <c r="Z93" s="582"/>
      <c r="AA93" s="582"/>
      <c r="AB93" s="361"/>
    </row>
    <row r="94" spans="1:32" s="55" customFormat="1" ht="54.95" customHeight="1" x14ac:dyDescent="0.15">
      <c r="A94" s="387"/>
      <c r="B94" s="87">
        <f>E5</f>
        <v>0</v>
      </c>
      <c r="C94" s="461"/>
      <c r="D94" s="461"/>
      <c r="E94" s="461"/>
      <c r="F94" s="368"/>
      <c r="G94" s="369"/>
      <c r="H94" s="370"/>
      <c r="I94" s="152"/>
      <c r="J94" s="152"/>
      <c r="K94" s="156">
        <v>1</v>
      </c>
      <c r="L94" s="77" t="s">
        <v>63</v>
      </c>
      <c r="M94" s="88">
        <f t="shared" si="17"/>
        <v>0</v>
      </c>
      <c r="N94" s="89"/>
      <c r="O94" s="153"/>
      <c r="P94" s="88" t="s">
        <v>63</v>
      </c>
      <c r="Q94" s="447"/>
      <c r="R94" s="153"/>
      <c r="S94" s="88" t="s">
        <v>63</v>
      </c>
      <c r="T94" s="154">
        <f t="shared" si="2"/>
        <v>0</v>
      </c>
      <c r="U94" s="157"/>
      <c r="V94" s="158"/>
      <c r="W94" s="154"/>
      <c r="X94" s="154"/>
      <c r="Y94" s="582"/>
      <c r="Z94" s="582"/>
      <c r="AA94" s="582"/>
      <c r="AB94" s="361"/>
    </row>
    <row r="95" spans="1:32" s="55" customFormat="1" ht="54.95" customHeight="1" x14ac:dyDescent="0.15">
      <c r="A95" s="387"/>
      <c r="B95" s="87">
        <f>C6</f>
        <v>174</v>
      </c>
      <c r="C95" s="461" t="str">
        <f>A6</f>
        <v>CR</v>
      </c>
      <c r="D95" s="461"/>
      <c r="E95" s="461"/>
      <c r="F95" s="368"/>
      <c r="G95" s="369"/>
      <c r="H95" s="370"/>
      <c r="I95" s="152"/>
      <c r="J95" s="152"/>
      <c r="K95" s="156">
        <v>1</v>
      </c>
      <c r="L95" s="77" t="s">
        <v>63</v>
      </c>
      <c r="M95" s="88">
        <f t="shared" si="17"/>
        <v>174</v>
      </c>
      <c r="N95" s="89"/>
      <c r="O95" s="153"/>
      <c r="P95" s="88" t="s">
        <v>63</v>
      </c>
      <c r="Q95" s="447"/>
      <c r="R95" s="77">
        <v>174</v>
      </c>
      <c r="S95" s="88" t="s">
        <v>63</v>
      </c>
      <c r="T95" s="154">
        <f t="shared" si="2"/>
        <v>0</v>
      </c>
      <c r="U95" s="157"/>
      <c r="V95" s="158"/>
      <c r="W95" s="154"/>
      <c r="X95" s="154"/>
      <c r="Y95" s="582" t="s">
        <v>72</v>
      </c>
      <c r="Z95" s="582"/>
      <c r="AA95" s="582"/>
      <c r="AB95" s="361"/>
    </row>
    <row r="96" spans="1:32" s="55" customFormat="1" ht="54.95" customHeight="1" x14ac:dyDescent="0.15">
      <c r="A96" s="387"/>
      <c r="B96" s="87">
        <f>D6</f>
        <v>100</v>
      </c>
      <c r="C96" s="461"/>
      <c r="D96" s="461"/>
      <c r="E96" s="461"/>
      <c r="F96" s="368"/>
      <c r="G96" s="369"/>
      <c r="H96" s="370"/>
      <c r="I96" s="152"/>
      <c r="J96" s="152"/>
      <c r="K96" s="156">
        <v>1</v>
      </c>
      <c r="L96" s="77" t="s">
        <v>63</v>
      </c>
      <c r="M96" s="88">
        <f t="shared" si="17"/>
        <v>100</v>
      </c>
      <c r="N96" s="89"/>
      <c r="O96" s="153"/>
      <c r="P96" s="88" t="s">
        <v>63</v>
      </c>
      <c r="Q96" s="447"/>
      <c r="R96" s="77">
        <v>100</v>
      </c>
      <c r="S96" s="88" t="s">
        <v>63</v>
      </c>
      <c r="T96" s="154">
        <f t="shared" si="2"/>
        <v>0</v>
      </c>
      <c r="U96" s="157"/>
      <c r="V96" s="158"/>
      <c r="W96" s="154"/>
      <c r="X96" s="154"/>
      <c r="Y96" s="582"/>
      <c r="Z96" s="582"/>
      <c r="AA96" s="582"/>
      <c r="AB96" s="361"/>
    </row>
    <row r="97" spans="1:28" s="55" customFormat="1" ht="54.95" customHeight="1" x14ac:dyDescent="0.15">
      <c r="A97" s="387"/>
      <c r="B97" s="87">
        <f>E6</f>
        <v>0</v>
      </c>
      <c r="C97" s="461"/>
      <c r="D97" s="461"/>
      <c r="E97" s="461"/>
      <c r="F97" s="368"/>
      <c r="G97" s="369"/>
      <c r="H97" s="370"/>
      <c r="I97" s="152"/>
      <c r="J97" s="152"/>
      <c r="K97" s="156">
        <v>1</v>
      </c>
      <c r="L97" s="77" t="s">
        <v>63</v>
      </c>
      <c r="M97" s="88">
        <f t="shared" si="17"/>
        <v>0</v>
      </c>
      <c r="N97" s="89"/>
      <c r="O97" s="153"/>
      <c r="P97" s="88" t="s">
        <v>63</v>
      </c>
      <c r="Q97" s="447"/>
      <c r="R97" s="153"/>
      <c r="S97" s="88" t="s">
        <v>63</v>
      </c>
      <c r="T97" s="154">
        <f>R97-M97</f>
        <v>0</v>
      </c>
      <c r="U97" s="157"/>
      <c r="V97" s="158"/>
      <c r="W97" s="154"/>
      <c r="X97" s="154"/>
      <c r="Y97" s="582"/>
      <c r="Z97" s="582"/>
      <c r="AA97" s="582"/>
      <c r="AB97" s="361"/>
    </row>
    <row r="98" spans="1:28" s="55" customFormat="1" ht="54.95" customHeight="1" x14ac:dyDescent="0.15">
      <c r="A98" s="387"/>
      <c r="B98" s="87">
        <f>C7</f>
        <v>0</v>
      </c>
      <c r="C98" s="392">
        <f>A7</f>
        <v>0</v>
      </c>
      <c r="D98" s="393"/>
      <c r="E98" s="394"/>
      <c r="F98" s="368"/>
      <c r="G98" s="369"/>
      <c r="H98" s="370"/>
      <c r="I98" s="152"/>
      <c r="J98" s="152"/>
      <c r="K98" s="156">
        <v>1</v>
      </c>
      <c r="L98" s="77" t="s">
        <v>63</v>
      </c>
      <c r="M98" s="88">
        <f t="shared" si="17"/>
        <v>0</v>
      </c>
      <c r="N98" s="89"/>
      <c r="O98" s="153"/>
      <c r="P98" s="88" t="s">
        <v>63</v>
      </c>
      <c r="Q98" s="447"/>
      <c r="R98" s="153"/>
      <c r="S98" s="88" t="s">
        <v>63</v>
      </c>
      <c r="T98" s="154">
        <f>R98-M98</f>
        <v>0</v>
      </c>
      <c r="U98" s="157"/>
      <c r="V98" s="158"/>
      <c r="W98" s="154"/>
      <c r="X98" s="154"/>
      <c r="Y98" s="582" t="s">
        <v>72</v>
      </c>
      <c r="Z98" s="582"/>
      <c r="AA98" s="582"/>
      <c r="AB98" s="361"/>
    </row>
    <row r="99" spans="1:28" s="55" customFormat="1" ht="54.95" customHeight="1" x14ac:dyDescent="0.15">
      <c r="A99" s="387"/>
      <c r="B99" s="87">
        <f>D7</f>
        <v>0</v>
      </c>
      <c r="C99" s="392"/>
      <c r="D99" s="393"/>
      <c r="E99" s="394"/>
      <c r="F99" s="368"/>
      <c r="G99" s="369"/>
      <c r="H99" s="370"/>
      <c r="I99" s="152"/>
      <c r="J99" s="152"/>
      <c r="K99" s="156">
        <v>1</v>
      </c>
      <c r="L99" s="77" t="s">
        <v>63</v>
      </c>
      <c r="M99" s="88">
        <f t="shared" si="17"/>
        <v>0</v>
      </c>
      <c r="N99" s="89"/>
      <c r="O99" s="153"/>
      <c r="P99" s="88" t="s">
        <v>63</v>
      </c>
      <c r="Q99" s="447"/>
      <c r="R99" s="153"/>
      <c r="S99" s="88" t="s">
        <v>63</v>
      </c>
      <c r="T99" s="154">
        <f>R99-M99</f>
        <v>0</v>
      </c>
      <c r="U99" s="157"/>
      <c r="V99" s="158"/>
      <c r="W99" s="154"/>
      <c r="X99" s="154"/>
      <c r="Y99" s="582"/>
      <c r="Z99" s="582"/>
      <c r="AA99" s="582"/>
      <c r="AB99" s="361"/>
    </row>
    <row r="100" spans="1:28" s="176" customFormat="1" ht="54.95" customHeight="1" x14ac:dyDescent="0.15">
      <c r="A100" s="387"/>
      <c r="B100" s="87">
        <f>E7</f>
        <v>0</v>
      </c>
      <c r="C100" s="392"/>
      <c r="D100" s="393"/>
      <c r="E100" s="394"/>
      <c r="F100" s="371"/>
      <c r="G100" s="372"/>
      <c r="H100" s="373"/>
      <c r="I100" s="276"/>
      <c r="J100" s="276"/>
      <c r="K100" s="167">
        <v>1</v>
      </c>
      <c r="L100" s="168" t="s">
        <v>63</v>
      </c>
      <c r="M100" s="169">
        <f t="shared" si="17"/>
        <v>0</v>
      </c>
      <c r="N100" s="171"/>
      <c r="O100" s="277"/>
      <c r="P100" s="169" t="s">
        <v>63</v>
      </c>
      <c r="Q100" s="444"/>
      <c r="R100" s="168"/>
      <c r="S100" s="169" t="s">
        <v>63</v>
      </c>
      <c r="T100" s="278">
        <f>R100-M100</f>
        <v>0</v>
      </c>
      <c r="U100" s="281"/>
      <c r="V100" s="282"/>
      <c r="W100" s="278"/>
      <c r="X100" s="278"/>
      <c r="Y100" s="582"/>
      <c r="Z100" s="582"/>
      <c r="AA100" s="582"/>
      <c r="AB100" s="362"/>
    </row>
    <row r="101" spans="1:28" s="176" customFormat="1" ht="54.95" customHeight="1" x14ac:dyDescent="0.15">
      <c r="A101" s="386" t="s">
        <v>69</v>
      </c>
      <c r="B101" s="164">
        <f>C5</f>
        <v>187</v>
      </c>
      <c r="C101" s="461" t="str">
        <f>A5</f>
        <v>CG</v>
      </c>
      <c r="D101" s="461"/>
      <c r="E101" s="461"/>
      <c r="F101" s="371"/>
      <c r="G101" s="372"/>
      <c r="H101" s="373"/>
      <c r="I101" s="276"/>
      <c r="J101" s="276"/>
      <c r="K101" s="167">
        <v>1</v>
      </c>
      <c r="L101" s="168" t="s">
        <v>63</v>
      </c>
      <c r="M101" s="169">
        <f t="shared" si="17"/>
        <v>187</v>
      </c>
      <c r="N101" s="171"/>
      <c r="O101" s="277"/>
      <c r="P101" s="169" t="s">
        <v>63</v>
      </c>
      <c r="Q101" s="376">
        <v>46164</v>
      </c>
      <c r="R101" s="277">
        <v>187</v>
      </c>
      <c r="S101" s="169" t="s">
        <v>63</v>
      </c>
      <c r="T101" s="278">
        <f t="shared" si="2"/>
        <v>0</v>
      </c>
      <c r="U101" s="281"/>
      <c r="V101" s="282"/>
      <c r="W101" s="278"/>
      <c r="X101" s="278"/>
      <c r="Y101" s="597" t="s">
        <v>67</v>
      </c>
      <c r="Z101" s="597"/>
      <c r="AA101" s="597"/>
      <c r="AB101" s="404" t="s">
        <v>341</v>
      </c>
    </row>
    <row r="102" spans="1:28" s="176" customFormat="1" ht="54.95" customHeight="1" x14ac:dyDescent="0.15">
      <c r="A102" s="387"/>
      <c r="B102" s="164">
        <f>D5</f>
        <v>100</v>
      </c>
      <c r="C102" s="461"/>
      <c r="D102" s="461"/>
      <c r="E102" s="461"/>
      <c r="F102" s="371"/>
      <c r="G102" s="372"/>
      <c r="H102" s="373"/>
      <c r="I102" s="276"/>
      <c r="J102" s="276"/>
      <c r="K102" s="167">
        <v>1</v>
      </c>
      <c r="L102" s="168" t="s">
        <v>63</v>
      </c>
      <c r="M102" s="169">
        <f t="shared" si="17"/>
        <v>100</v>
      </c>
      <c r="N102" s="171"/>
      <c r="O102" s="277"/>
      <c r="P102" s="169" t="s">
        <v>63</v>
      </c>
      <c r="Q102" s="377"/>
      <c r="R102" s="277">
        <v>100</v>
      </c>
      <c r="S102" s="169" t="s">
        <v>63</v>
      </c>
      <c r="T102" s="278">
        <f t="shared" si="2"/>
        <v>0</v>
      </c>
      <c r="U102" s="281"/>
      <c r="V102" s="282"/>
      <c r="W102" s="278"/>
      <c r="X102" s="278"/>
      <c r="Y102" s="597"/>
      <c r="Z102" s="597"/>
      <c r="AA102" s="597"/>
      <c r="AB102" s="405"/>
    </row>
    <row r="103" spans="1:28" s="176" customFormat="1" ht="54.95" customHeight="1" x14ac:dyDescent="0.15">
      <c r="A103" s="387"/>
      <c r="B103" s="164">
        <f>E5</f>
        <v>0</v>
      </c>
      <c r="C103" s="461"/>
      <c r="D103" s="461"/>
      <c r="E103" s="461"/>
      <c r="F103" s="371"/>
      <c r="G103" s="372"/>
      <c r="H103" s="373"/>
      <c r="I103" s="276"/>
      <c r="J103" s="276"/>
      <c r="K103" s="167">
        <v>1</v>
      </c>
      <c r="L103" s="168" t="s">
        <v>63</v>
      </c>
      <c r="M103" s="169">
        <f t="shared" si="17"/>
        <v>0</v>
      </c>
      <c r="N103" s="171"/>
      <c r="O103" s="277"/>
      <c r="P103" s="169" t="s">
        <v>63</v>
      </c>
      <c r="Q103" s="377"/>
      <c r="R103" s="277"/>
      <c r="S103" s="169" t="s">
        <v>63</v>
      </c>
      <c r="T103" s="278">
        <f t="shared" si="2"/>
        <v>0</v>
      </c>
      <c r="U103" s="281"/>
      <c r="V103" s="282"/>
      <c r="W103" s="278"/>
      <c r="X103" s="278"/>
      <c r="Y103" s="597"/>
      <c r="Z103" s="597"/>
      <c r="AA103" s="597"/>
      <c r="AB103" s="405"/>
    </row>
    <row r="104" spans="1:28" s="176" customFormat="1" ht="54.95" customHeight="1" x14ac:dyDescent="0.15">
      <c r="A104" s="387"/>
      <c r="B104" s="164">
        <f>C6</f>
        <v>174</v>
      </c>
      <c r="C104" s="461" t="str">
        <f>A6</f>
        <v>CR</v>
      </c>
      <c r="D104" s="461"/>
      <c r="E104" s="461"/>
      <c r="F104" s="371"/>
      <c r="G104" s="372"/>
      <c r="H104" s="373"/>
      <c r="I104" s="276"/>
      <c r="J104" s="276"/>
      <c r="K104" s="167">
        <v>1</v>
      </c>
      <c r="L104" s="168" t="s">
        <v>63</v>
      </c>
      <c r="M104" s="169">
        <f t="shared" si="17"/>
        <v>174</v>
      </c>
      <c r="N104" s="171"/>
      <c r="O104" s="277"/>
      <c r="P104" s="169" t="s">
        <v>63</v>
      </c>
      <c r="Q104" s="377"/>
      <c r="R104" s="168">
        <v>174</v>
      </c>
      <c r="S104" s="169" t="s">
        <v>63</v>
      </c>
      <c r="T104" s="278">
        <f t="shared" si="2"/>
        <v>0</v>
      </c>
      <c r="U104" s="281"/>
      <c r="V104" s="282"/>
      <c r="W104" s="278"/>
      <c r="X104" s="278"/>
      <c r="Y104" s="597" t="s">
        <v>67</v>
      </c>
      <c r="AA104" s="597"/>
      <c r="AB104" s="405"/>
    </row>
    <row r="105" spans="1:28" s="176" customFormat="1" ht="54.95" customHeight="1" x14ac:dyDescent="0.15">
      <c r="A105" s="387"/>
      <c r="B105" s="164">
        <f>D6</f>
        <v>100</v>
      </c>
      <c r="C105" s="461"/>
      <c r="D105" s="461"/>
      <c r="E105" s="461"/>
      <c r="F105" s="371"/>
      <c r="G105" s="372"/>
      <c r="H105" s="373"/>
      <c r="I105" s="276"/>
      <c r="J105" s="276"/>
      <c r="K105" s="167">
        <v>1</v>
      </c>
      <c r="L105" s="168" t="s">
        <v>63</v>
      </c>
      <c r="M105" s="169">
        <f t="shared" si="17"/>
        <v>100</v>
      </c>
      <c r="N105" s="171"/>
      <c r="O105" s="277"/>
      <c r="P105" s="169" t="s">
        <v>63</v>
      </c>
      <c r="Q105" s="377"/>
      <c r="R105" s="168">
        <v>100</v>
      </c>
      <c r="S105" s="169" t="s">
        <v>63</v>
      </c>
      <c r="T105" s="278">
        <f t="shared" si="2"/>
        <v>0</v>
      </c>
      <c r="U105" s="281"/>
      <c r="V105" s="282"/>
      <c r="W105" s="278"/>
      <c r="X105" s="278"/>
      <c r="Y105" s="597"/>
      <c r="AA105" s="597"/>
      <c r="AB105" s="405"/>
    </row>
    <row r="106" spans="1:28" s="176" customFormat="1" ht="54.95" customHeight="1" x14ac:dyDescent="0.15">
      <c r="A106" s="387"/>
      <c r="B106" s="164">
        <f>E6</f>
        <v>0</v>
      </c>
      <c r="C106" s="461"/>
      <c r="D106" s="461"/>
      <c r="E106" s="461"/>
      <c r="F106" s="371"/>
      <c r="G106" s="372"/>
      <c r="H106" s="373"/>
      <c r="I106" s="276"/>
      <c r="J106" s="276"/>
      <c r="K106" s="167">
        <v>1</v>
      </c>
      <c r="L106" s="168" t="s">
        <v>63</v>
      </c>
      <c r="M106" s="169">
        <f t="shared" si="17"/>
        <v>0</v>
      </c>
      <c r="N106" s="171"/>
      <c r="O106" s="277"/>
      <c r="P106" s="169" t="s">
        <v>63</v>
      </c>
      <c r="Q106" s="377"/>
      <c r="R106" s="277"/>
      <c r="S106" s="169" t="s">
        <v>63</v>
      </c>
      <c r="T106" s="278">
        <f t="shared" si="2"/>
        <v>0</v>
      </c>
      <c r="U106" s="281"/>
      <c r="V106" s="282"/>
      <c r="W106" s="278"/>
      <c r="X106" s="278"/>
      <c r="Y106" s="597"/>
      <c r="AA106" s="597"/>
      <c r="AB106" s="405"/>
    </row>
    <row r="107" spans="1:28" s="176" customFormat="1" ht="54.95" customHeight="1" x14ac:dyDescent="0.15">
      <c r="A107" s="387"/>
      <c r="B107" s="164">
        <f>C7</f>
        <v>0</v>
      </c>
      <c r="C107" s="392">
        <f>A7</f>
        <v>0</v>
      </c>
      <c r="D107" s="393"/>
      <c r="E107" s="394"/>
      <c r="F107" s="371"/>
      <c r="G107" s="372"/>
      <c r="H107" s="373"/>
      <c r="I107" s="276"/>
      <c r="J107" s="276"/>
      <c r="K107" s="167">
        <v>1</v>
      </c>
      <c r="L107" s="168" t="s">
        <v>63</v>
      </c>
      <c r="M107" s="169">
        <f t="shared" si="17"/>
        <v>0</v>
      </c>
      <c r="N107" s="171"/>
      <c r="O107" s="277"/>
      <c r="P107" s="169" t="s">
        <v>63</v>
      </c>
      <c r="Q107" s="377"/>
      <c r="R107" s="277"/>
      <c r="S107" s="169" t="s">
        <v>63</v>
      </c>
      <c r="T107" s="278">
        <f t="shared" si="2"/>
        <v>0</v>
      </c>
      <c r="U107" s="281"/>
      <c r="V107" s="282"/>
      <c r="W107" s="278"/>
      <c r="X107" s="278"/>
      <c r="Y107" s="597" t="s">
        <v>67</v>
      </c>
      <c r="Z107" s="597"/>
      <c r="AA107" s="597"/>
      <c r="AB107" s="405"/>
    </row>
    <row r="108" spans="1:28" s="176" customFormat="1" ht="54.95" customHeight="1" x14ac:dyDescent="0.15">
      <c r="A108" s="387"/>
      <c r="B108" s="164">
        <f>D7</f>
        <v>0</v>
      </c>
      <c r="C108" s="392"/>
      <c r="D108" s="393"/>
      <c r="E108" s="394"/>
      <c r="F108" s="371"/>
      <c r="G108" s="372"/>
      <c r="H108" s="373"/>
      <c r="I108" s="276"/>
      <c r="J108" s="276"/>
      <c r="K108" s="167">
        <v>1</v>
      </c>
      <c r="L108" s="168" t="s">
        <v>63</v>
      </c>
      <c r="M108" s="169">
        <f t="shared" si="17"/>
        <v>0</v>
      </c>
      <c r="N108" s="171"/>
      <c r="O108" s="277"/>
      <c r="P108" s="169" t="s">
        <v>63</v>
      </c>
      <c r="Q108" s="377"/>
      <c r="R108" s="277"/>
      <c r="S108" s="169" t="s">
        <v>63</v>
      </c>
      <c r="T108" s="278">
        <f t="shared" si="2"/>
        <v>0</v>
      </c>
      <c r="U108" s="281"/>
      <c r="V108" s="282"/>
      <c r="W108" s="278"/>
      <c r="X108" s="278"/>
      <c r="Y108" s="597"/>
      <c r="Z108" s="597"/>
      <c r="AA108" s="597"/>
      <c r="AB108" s="405"/>
    </row>
    <row r="109" spans="1:28" s="176" customFormat="1" ht="54.95" customHeight="1" x14ac:dyDescent="0.15">
      <c r="A109" s="387"/>
      <c r="B109" s="164">
        <f>E7</f>
        <v>0</v>
      </c>
      <c r="C109" s="392"/>
      <c r="D109" s="393"/>
      <c r="E109" s="394"/>
      <c r="F109" s="371"/>
      <c r="G109" s="372"/>
      <c r="H109" s="373"/>
      <c r="I109" s="276"/>
      <c r="J109" s="276"/>
      <c r="K109" s="167">
        <v>1</v>
      </c>
      <c r="L109" s="168" t="s">
        <v>63</v>
      </c>
      <c r="M109" s="169">
        <f t="shared" si="17"/>
        <v>0</v>
      </c>
      <c r="N109" s="171"/>
      <c r="O109" s="277"/>
      <c r="P109" s="169" t="s">
        <v>63</v>
      </c>
      <c r="Q109" s="378"/>
      <c r="R109" s="168"/>
      <c r="S109" s="169" t="s">
        <v>63</v>
      </c>
      <c r="T109" s="278">
        <f t="shared" si="2"/>
        <v>0</v>
      </c>
      <c r="U109" s="281"/>
      <c r="V109" s="282"/>
      <c r="W109" s="278"/>
      <c r="X109" s="278"/>
      <c r="Y109" s="597"/>
      <c r="Z109" s="597"/>
      <c r="AA109" s="597"/>
      <c r="AB109" s="405"/>
    </row>
    <row r="110" spans="1:28" s="55" customFormat="1" ht="54.95" customHeight="1" x14ac:dyDescent="0.15">
      <c r="A110" s="386" t="s">
        <v>70</v>
      </c>
      <c r="B110" s="87">
        <f>C11</f>
        <v>361</v>
      </c>
      <c r="C110" s="389" t="s">
        <v>71</v>
      </c>
      <c r="D110" s="390"/>
      <c r="E110" s="391"/>
      <c r="F110" s="368"/>
      <c r="G110" s="369"/>
      <c r="H110" s="370"/>
      <c r="I110" s="152"/>
      <c r="J110" s="90"/>
      <c r="K110" s="156">
        <v>1</v>
      </c>
      <c r="L110" s="77" t="s">
        <v>63</v>
      </c>
      <c r="M110" s="88">
        <f t="shared" si="17"/>
        <v>361</v>
      </c>
      <c r="N110" s="89"/>
      <c r="O110" s="153"/>
      <c r="P110" s="88" t="s">
        <v>63</v>
      </c>
      <c r="Q110" s="398">
        <v>46164</v>
      </c>
      <c r="R110" s="93">
        <v>160</v>
      </c>
      <c r="S110" s="88" t="s">
        <v>63</v>
      </c>
      <c r="T110" s="154">
        <f t="shared" si="2"/>
        <v>-201</v>
      </c>
      <c r="U110" s="91"/>
      <c r="V110" s="159"/>
      <c r="W110" s="159"/>
      <c r="X110" s="159"/>
      <c r="Y110" s="401" t="s">
        <v>258</v>
      </c>
      <c r="Z110" s="416"/>
      <c r="AA110" s="416"/>
      <c r="AB110" s="419" t="s">
        <v>332</v>
      </c>
    </row>
    <row r="111" spans="1:28" s="55" customFormat="1" ht="54.95" customHeight="1" x14ac:dyDescent="0.15">
      <c r="A111" s="387"/>
      <c r="B111" s="87">
        <f>D11</f>
        <v>200</v>
      </c>
      <c r="C111" s="392"/>
      <c r="D111" s="393"/>
      <c r="E111" s="394"/>
      <c r="F111" s="368"/>
      <c r="G111" s="369"/>
      <c r="H111" s="370"/>
      <c r="I111" s="152"/>
      <c r="J111" s="90"/>
      <c r="K111" s="156">
        <v>1</v>
      </c>
      <c r="L111" s="77" t="s">
        <v>63</v>
      </c>
      <c r="M111" s="88">
        <f t="shared" si="17"/>
        <v>200</v>
      </c>
      <c r="N111" s="89"/>
      <c r="O111" s="153"/>
      <c r="P111" s="88" t="s">
        <v>63</v>
      </c>
      <c r="Q111" s="399"/>
      <c r="R111" s="93">
        <v>8</v>
      </c>
      <c r="S111" s="88" t="s">
        <v>63</v>
      </c>
      <c r="T111" s="154">
        <f t="shared" si="2"/>
        <v>-192</v>
      </c>
      <c r="U111" s="91"/>
      <c r="V111" s="159"/>
      <c r="W111" s="159"/>
      <c r="X111" s="159"/>
      <c r="Y111" s="402"/>
      <c r="Z111" s="417"/>
      <c r="AA111" s="417"/>
      <c r="AB111" s="420"/>
    </row>
    <row r="112" spans="1:28" s="55" customFormat="1" ht="54.95" customHeight="1" x14ac:dyDescent="0.15">
      <c r="A112" s="387"/>
      <c r="B112" s="87">
        <f>E11</f>
        <v>0</v>
      </c>
      <c r="C112" s="392"/>
      <c r="D112" s="393"/>
      <c r="E112" s="394"/>
      <c r="F112" s="368"/>
      <c r="G112" s="369"/>
      <c r="H112" s="370"/>
      <c r="I112" s="152"/>
      <c r="J112" s="90"/>
      <c r="K112" s="156">
        <v>1</v>
      </c>
      <c r="L112" s="77" t="s">
        <v>63</v>
      </c>
      <c r="M112" s="88">
        <f t="shared" si="17"/>
        <v>0</v>
      </c>
      <c r="N112" s="89"/>
      <c r="O112" s="153"/>
      <c r="P112" s="88" t="s">
        <v>63</v>
      </c>
      <c r="Q112" s="399"/>
      <c r="R112" s="93"/>
      <c r="S112" s="88" t="s">
        <v>63</v>
      </c>
      <c r="T112" s="154">
        <f t="shared" si="2"/>
        <v>0</v>
      </c>
      <c r="U112" s="91"/>
      <c r="V112" s="159"/>
      <c r="W112" s="159"/>
      <c r="X112" s="159"/>
      <c r="Y112" s="402"/>
      <c r="Z112" s="417"/>
      <c r="AA112" s="417"/>
      <c r="AB112" s="420"/>
    </row>
    <row r="113" spans="1:29" s="55" customFormat="1" ht="54.95" customHeight="1" x14ac:dyDescent="0.15">
      <c r="A113" s="388"/>
      <c r="B113" s="87">
        <f>F11</f>
        <v>0</v>
      </c>
      <c r="C113" s="395"/>
      <c r="D113" s="396"/>
      <c r="E113" s="397"/>
      <c r="F113" s="368"/>
      <c r="G113" s="369"/>
      <c r="H113" s="370"/>
      <c r="I113" s="152"/>
      <c r="J113" s="90"/>
      <c r="K113" s="156"/>
      <c r="L113" s="77" t="s">
        <v>63</v>
      </c>
      <c r="M113" s="88">
        <f t="shared" si="17"/>
        <v>0</v>
      </c>
      <c r="N113" s="89"/>
      <c r="O113" s="153"/>
      <c r="P113" s="88" t="s">
        <v>63</v>
      </c>
      <c r="Q113" s="400"/>
      <c r="R113" s="162"/>
      <c r="S113" s="88" t="s">
        <v>63</v>
      </c>
      <c r="T113" s="154">
        <f t="shared" si="2"/>
        <v>0</v>
      </c>
      <c r="U113" s="91"/>
      <c r="V113" s="159"/>
      <c r="W113" s="159"/>
      <c r="X113" s="159"/>
      <c r="Y113" s="403"/>
      <c r="Z113" s="418"/>
      <c r="AA113" s="418"/>
      <c r="AB113" s="421"/>
    </row>
    <row r="114" spans="1:29" s="176" customFormat="1" ht="54.95" customHeight="1" x14ac:dyDescent="0.15">
      <c r="A114" s="92" t="s">
        <v>73</v>
      </c>
      <c r="B114" s="164">
        <f>I11</f>
        <v>561</v>
      </c>
      <c r="C114" s="371" t="s">
        <v>71</v>
      </c>
      <c r="D114" s="372"/>
      <c r="E114" s="373"/>
      <c r="F114" s="371"/>
      <c r="G114" s="372"/>
      <c r="H114" s="373"/>
      <c r="I114" s="165"/>
      <c r="J114" s="166"/>
      <c r="K114" s="167">
        <v>1</v>
      </c>
      <c r="L114" s="168" t="s">
        <v>63</v>
      </c>
      <c r="M114" s="88">
        <f t="shared" si="17"/>
        <v>561</v>
      </c>
      <c r="N114" s="170"/>
      <c r="O114" s="170"/>
      <c r="P114" s="169" t="s">
        <v>63</v>
      </c>
      <c r="Q114" s="363">
        <v>46164</v>
      </c>
      <c r="R114" s="165">
        <v>561</v>
      </c>
      <c r="S114" s="169" t="s">
        <v>63</v>
      </c>
      <c r="T114" s="154">
        <f t="shared" si="2"/>
        <v>0</v>
      </c>
      <c r="U114" s="170"/>
      <c r="V114" s="172"/>
      <c r="W114" s="172"/>
      <c r="X114" s="172"/>
      <c r="Y114" s="173" t="s">
        <v>72</v>
      </c>
      <c r="Z114" s="174"/>
      <c r="AA114" s="175"/>
      <c r="AB114" s="586"/>
    </row>
    <row r="115" spans="1:29" s="55" customFormat="1" ht="54.95" customHeight="1" x14ac:dyDescent="0.15">
      <c r="A115" s="92" t="s">
        <v>81</v>
      </c>
      <c r="B115" s="87">
        <f>I11</f>
        <v>561</v>
      </c>
      <c r="C115" s="368" t="s">
        <v>71</v>
      </c>
      <c r="D115" s="369"/>
      <c r="E115" s="370"/>
      <c r="F115" s="368"/>
      <c r="G115" s="369"/>
      <c r="H115" s="370"/>
      <c r="I115" s="93"/>
      <c r="J115" s="90"/>
      <c r="K115" s="156">
        <v>1</v>
      </c>
      <c r="L115" s="77" t="s">
        <v>63</v>
      </c>
      <c r="M115" s="88">
        <f>K115*B115</f>
        <v>561</v>
      </c>
      <c r="N115" s="91"/>
      <c r="O115" s="91"/>
      <c r="P115" s="88" t="s">
        <v>63</v>
      </c>
      <c r="Q115" s="365"/>
      <c r="R115" s="93">
        <v>561</v>
      </c>
      <c r="S115" s="88" t="s">
        <v>63</v>
      </c>
      <c r="T115" s="154">
        <f t="shared" si="2"/>
        <v>0</v>
      </c>
      <c r="U115" s="91"/>
      <c r="V115" s="91"/>
      <c r="W115" s="91"/>
      <c r="X115" s="91"/>
      <c r="Y115" s="160" t="s">
        <v>72</v>
      </c>
      <c r="Z115" s="94"/>
      <c r="AA115" s="95"/>
      <c r="AB115" s="588"/>
    </row>
    <row r="116" spans="1:29" s="55" customFormat="1" ht="54.95" customHeight="1" x14ac:dyDescent="0.15">
      <c r="A116" s="96" t="s">
        <v>74</v>
      </c>
      <c r="B116" s="87">
        <f>I11</f>
        <v>561</v>
      </c>
      <c r="C116" s="368" t="s">
        <v>71</v>
      </c>
      <c r="D116" s="369"/>
      <c r="E116" s="370"/>
      <c r="F116" s="368"/>
      <c r="G116" s="369"/>
      <c r="H116" s="370"/>
      <c r="I116" s="93" t="s">
        <v>282</v>
      </c>
      <c r="J116" s="93"/>
      <c r="K116" s="156">
        <v>1</v>
      </c>
      <c r="L116" s="77" t="s">
        <v>63</v>
      </c>
      <c r="M116" s="88">
        <f t="shared" si="17"/>
        <v>561</v>
      </c>
      <c r="N116" s="91"/>
      <c r="O116" s="91"/>
      <c r="P116" s="89" t="s">
        <v>63</v>
      </c>
      <c r="Q116" s="332"/>
      <c r="R116" s="93"/>
      <c r="S116" s="89" t="s">
        <v>63</v>
      </c>
      <c r="T116" s="154">
        <f t="shared" si="2"/>
        <v>-561</v>
      </c>
      <c r="U116" s="91"/>
      <c r="V116" s="91"/>
      <c r="W116" s="91"/>
      <c r="X116" s="91"/>
      <c r="Y116" s="160" t="s">
        <v>72</v>
      </c>
      <c r="Z116" s="97"/>
      <c r="AA116" s="98"/>
      <c r="AB116" s="331" t="s">
        <v>338</v>
      </c>
    </row>
    <row r="117" spans="1:29" ht="13.5" customHeight="1" x14ac:dyDescent="0.15">
      <c r="A117" s="177"/>
      <c r="B117" s="366"/>
      <c r="C117" s="366"/>
      <c r="D117" s="177"/>
      <c r="E117" s="177"/>
      <c r="F117" s="100"/>
      <c r="G117" s="100"/>
      <c r="H117" s="100"/>
      <c r="I117" s="177"/>
      <c r="J117" s="177"/>
      <c r="K117" s="101"/>
      <c r="L117" s="102"/>
      <c r="M117" s="103"/>
      <c r="N117" s="104"/>
      <c r="O117" s="104"/>
      <c r="P117" s="177"/>
      <c r="Q117" s="105"/>
      <c r="R117" s="105"/>
      <c r="S117" s="106"/>
      <c r="T117" s="107"/>
      <c r="U117" s="108"/>
      <c r="V117" s="108"/>
      <c r="W117" s="109"/>
      <c r="X117" s="107"/>
      <c r="Y117" s="110"/>
      <c r="Z117" s="111"/>
      <c r="AA117" s="111"/>
    </row>
    <row r="118" spans="1:29" ht="13.5" customHeight="1" x14ac:dyDescent="0.15">
      <c r="A118" s="177"/>
      <c r="B118" s="366"/>
      <c r="C118" s="366"/>
      <c r="D118" s="177"/>
      <c r="E118" s="177"/>
      <c r="F118" s="367"/>
      <c r="G118" s="367"/>
      <c r="H118" s="367"/>
      <c r="I118" s="177"/>
      <c r="J118" s="177"/>
      <c r="K118" s="101"/>
      <c r="L118" s="102"/>
      <c r="M118" s="103"/>
      <c r="N118" s="104"/>
      <c r="O118" s="104"/>
      <c r="P118" s="177"/>
      <c r="Q118" s="105"/>
      <c r="R118" s="105"/>
      <c r="S118" s="106"/>
      <c r="T118" s="107"/>
      <c r="U118" s="108"/>
      <c r="V118" s="108"/>
      <c r="W118" s="109"/>
      <c r="X118" s="107"/>
      <c r="Y118" s="112"/>
      <c r="Z118" s="111"/>
      <c r="AA118" s="111"/>
    </row>
    <row r="119" spans="1:29" ht="13.5" customHeight="1" x14ac:dyDescent="0.15">
      <c r="J119" s="177"/>
    </row>
    <row r="120" spans="1:29" ht="13.5" customHeight="1" x14ac:dyDescent="0.15">
      <c r="J120" s="177"/>
    </row>
    <row r="127" spans="1:29" s="114" customFormat="1" x14ac:dyDescent="0.15">
      <c r="A127" s="1"/>
      <c r="B127" s="113"/>
      <c r="C127" s="1"/>
      <c r="D127" s="1"/>
      <c r="E127" s="1"/>
      <c r="F127" s="1"/>
      <c r="G127" s="1"/>
      <c r="H127" s="1"/>
      <c r="I127" s="1"/>
      <c r="J127" s="1"/>
      <c r="L127" s="115"/>
      <c r="M127" s="116"/>
      <c r="N127" s="117"/>
      <c r="O127" s="117"/>
      <c r="P127" s="1"/>
      <c r="Q127" s="118"/>
      <c r="R127" s="118"/>
      <c r="S127" s="115"/>
      <c r="T127" s="119"/>
      <c r="U127" s="1"/>
      <c r="V127" s="1"/>
      <c r="W127" s="120"/>
      <c r="X127" s="121"/>
      <c r="Y127" s="1"/>
      <c r="Z127" s="1"/>
      <c r="AA127" s="1"/>
      <c r="AB127" s="1"/>
      <c r="AC127" s="1"/>
    </row>
    <row r="128" spans="1:29" s="114" customFormat="1" x14ac:dyDescent="0.15">
      <c r="A128" s="1"/>
      <c r="B128" s="113"/>
      <c r="C128" s="1"/>
      <c r="D128" s="1"/>
      <c r="E128" s="1"/>
      <c r="F128" s="1"/>
      <c r="G128" s="1"/>
      <c r="H128" s="1"/>
      <c r="I128" s="1"/>
      <c r="J128" s="1"/>
      <c r="L128" s="115"/>
      <c r="M128" s="116"/>
      <c r="N128" s="117"/>
      <c r="O128" s="117"/>
      <c r="P128" s="1"/>
      <c r="Q128" s="118"/>
      <c r="R128" s="118"/>
      <c r="S128" s="115"/>
      <c r="T128" s="119"/>
      <c r="U128" s="1"/>
      <c r="V128" s="1"/>
      <c r="W128" s="120"/>
      <c r="X128" s="121"/>
      <c r="Y128" s="1"/>
      <c r="Z128" s="1"/>
      <c r="AA128" s="1"/>
      <c r="AB128" s="1"/>
      <c r="AC128" s="1"/>
    </row>
  </sheetData>
  <mergeCells count="422">
    <mergeCell ref="AB85:AB86"/>
    <mergeCell ref="AB66:AB71"/>
    <mergeCell ref="Q85:Q86"/>
    <mergeCell ref="F115:H115"/>
    <mergeCell ref="C116:E116"/>
    <mergeCell ref="F116:H116"/>
    <mergeCell ref="B117:C117"/>
    <mergeCell ref="B118:C118"/>
    <mergeCell ref="F118:H118"/>
    <mergeCell ref="AA110:AA113"/>
    <mergeCell ref="AB110:AB113"/>
    <mergeCell ref="F111:H111"/>
    <mergeCell ref="F112:H112"/>
    <mergeCell ref="F113:H113"/>
    <mergeCell ref="C114:E114"/>
    <mergeCell ref="F114:H114"/>
    <mergeCell ref="C115:E115"/>
    <mergeCell ref="AB114:AB115"/>
    <mergeCell ref="Q114:Q115"/>
    <mergeCell ref="AA104:AA106"/>
    <mergeCell ref="AA107:AA109"/>
    <mergeCell ref="F109:H109"/>
    <mergeCell ref="AA101:AA103"/>
    <mergeCell ref="AB101:AB109"/>
    <mergeCell ref="A110:A113"/>
    <mergeCell ref="C110:E113"/>
    <mergeCell ref="F110:H110"/>
    <mergeCell ref="Q110:Q113"/>
    <mergeCell ref="Y110:Y113"/>
    <mergeCell ref="Z110:Z113"/>
    <mergeCell ref="C107:E109"/>
    <mergeCell ref="F107:H107"/>
    <mergeCell ref="Y107:Y109"/>
    <mergeCell ref="Z107:Z109"/>
    <mergeCell ref="A101:A109"/>
    <mergeCell ref="F102:H102"/>
    <mergeCell ref="F103:H103"/>
    <mergeCell ref="C104:E106"/>
    <mergeCell ref="F104:H104"/>
    <mergeCell ref="Y104:Y106"/>
    <mergeCell ref="F105:H105"/>
    <mergeCell ref="F106:H106"/>
    <mergeCell ref="C101:E103"/>
    <mergeCell ref="F101:H101"/>
    <mergeCell ref="Q101:Q109"/>
    <mergeCell ref="Y101:Y103"/>
    <mergeCell ref="Z101:Z103"/>
    <mergeCell ref="F108:H108"/>
    <mergeCell ref="F87:H87"/>
    <mergeCell ref="Q87:Q91"/>
    <mergeCell ref="AA92:AA94"/>
    <mergeCell ref="AB92:AB100"/>
    <mergeCell ref="F93:H93"/>
    <mergeCell ref="F94:H94"/>
    <mergeCell ref="C95:E97"/>
    <mergeCell ref="F95:H95"/>
    <mergeCell ref="Y95:Y97"/>
    <mergeCell ref="Z95:Z97"/>
    <mergeCell ref="AA95:AA97"/>
    <mergeCell ref="F96:H96"/>
    <mergeCell ref="C92:E94"/>
    <mergeCell ref="F92:H92"/>
    <mergeCell ref="Q92:Q100"/>
    <mergeCell ref="Y92:Y94"/>
    <mergeCell ref="Z92:Z94"/>
    <mergeCell ref="Z98:Z100"/>
    <mergeCell ref="Y83:Y84"/>
    <mergeCell ref="A92:A100"/>
    <mergeCell ref="F84:H84"/>
    <mergeCell ref="C85:E85"/>
    <mergeCell ref="F85:H85"/>
    <mergeCell ref="Y87:Y91"/>
    <mergeCell ref="Z87:Z91"/>
    <mergeCell ref="AA87:AA91"/>
    <mergeCell ref="AB87:AB91"/>
    <mergeCell ref="F88:H88"/>
    <mergeCell ref="F89:H89"/>
    <mergeCell ref="F90:H90"/>
    <mergeCell ref="F91:H91"/>
    <mergeCell ref="C86:E86"/>
    <mergeCell ref="F86:H86"/>
    <mergeCell ref="F97:H97"/>
    <mergeCell ref="C98:E100"/>
    <mergeCell ref="F98:H98"/>
    <mergeCell ref="Y98:Y100"/>
    <mergeCell ref="AA98:AA100"/>
    <mergeCell ref="F99:H99"/>
    <mergeCell ref="F100:H100"/>
    <mergeCell ref="A87:A91"/>
    <mergeCell ref="C87:E91"/>
    <mergeCell ref="C82:E82"/>
    <mergeCell ref="F82:H82"/>
    <mergeCell ref="A83:A84"/>
    <mergeCell ref="C83:E83"/>
    <mergeCell ref="F83:H83"/>
    <mergeCell ref="Q83:Q84"/>
    <mergeCell ref="AB79:AB80"/>
    <mergeCell ref="C80:E80"/>
    <mergeCell ref="F80:H80"/>
    <mergeCell ref="A81:A82"/>
    <mergeCell ref="C81:E81"/>
    <mergeCell ref="F81:H81"/>
    <mergeCell ref="I81:I82"/>
    <mergeCell ref="Q81:Q82"/>
    <mergeCell ref="Y81:Y82"/>
    <mergeCell ref="AB81:AB82"/>
    <mergeCell ref="A79:A80"/>
    <mergeCell ref="C79:E79"/>
    <mergeCell ref="F79:H79"/>
    <mergeCell ref="I79:I80"/>
    <mergeCell ref="Q79:Q80"/>
    <mergeCell ref="Y79:Y80"/>
    <mergeCell ref="AB83:AB84"/>
    <mergeCell ref="C84:E84"/>
    <mergeCell ref="A77:A78"/>
    <mergeCell ref="C77:E77"/>
    <mergeCell ref="F77:H77"/>
    <mergeCell ref="Q77:Q78"/>
    <mergeCell ref="Y77:Y78"/>
    <mergeCell ref="AB77:AB78"/>
    <mergeCell ref="C78:E78"/>
    <mergeCell ref="F78:H78"/>
    <mergeCell ref="A75:A76"/>
    <mergeCell ref="C75:E75"/>
    <mergeCell ref="F75:H75"/>
    <mergeCell ref="Q75:Q76"/>
    <mergeCell ref="Y75:Y76"/>
    <mergeCell ref="AB75:AB76"/>
    <mergeCell ref="C76:E76"/>
    <mergeCell ref="F76:H76"/>
    <mergeCell ref="A72:A74"/>
    <mergeCell ref="C72:E72"/>
    <mergeCell ref="F72:H72"/>
    <mergeCell ref="Q72:Q74"/>
    <mergeCell ref="Y72:Y74"/>
    <mergeCell ref="AB72:AB74"/>
    <mergeCell ref="C73:E73"/>
    <mergeCell ref="F73:H73"/>
    <mergeCell ref="C74:E74"/>
    <mergeCell ref="F74:H74"/>
    <mergeCell ref="A69:A71"/>
    <mergeCell ref="C69:E69"/>
    <mergeCell ref="F69:H69"/>
    <mergeCell ref="I69:I71"/>
    <mergeCell ref="A66:A68"/>
    <mergeCell ref="C66:E66"/>
    <mergeCell ref="F66:H66"/>
    <mergeCell ref="I66:I68"/>
    <mergeCell ref="Y69:Y71"/>
    <mergeCell ref="C70:E70"/>
    <mergeCell ref="F70:H70"/>
    <mergeCell ref="C71:E71"/>
    <mergeCell ref="F71:H71"/>
    <mergeCell ref="C67:E67"/>
    <mergeCell ref="F67:H67"/>
    <mergeCell ref="C68:E68"/>
    <mergeCell ref="F68:H68"/>
    <mergeCell ref="Y66:Y68"/>
    <mergeCell ref="Q66:Q71"/>
    <mergeCell ref="A64:A65"/>
    <mergeCell ref="C64:E64"/>
    <mergeCell ref="F64:H64"/>
    <mergeCell ref="Y64:Y65"/>
    <mergeCell ref="AB64:AB65"/>
    <mergeCell ref="C65:E65"/>
    <mergeCell ref="F65:H65"/>
    <mergeCell ref="A62:A63"/>
    <mergeCell ref="C62:E62"/>
    <mergeCell ref="F62:H62"/>
    <mergeCell ref="Q62:Q63"/>
    <mergeCell ref="Y62:Y63"/>
    <mergeCell ref="AB62:AB63"/>
    <mergeCell ref="C63:E63"/>
    <mergeCell ref="F63:H63"/>
    <mergeCell ref="A60:A61"/>
    <mergeCell ref="C60:E60"/>
    <mergeCell ref="F60:H60"/>
    <mergeCell ref="Q60:Q61"/>
    <mergeCell ref="Y60:Y61"/>
    <mergeCell ref="AB60:AB61"/>
    <mergeCell ref="C61:E61"/>
    <mergeCell ref="F61:H61"/>
    <mergeCell ref="AC57:AF57"/>
    <mergeCell ref="A58:A59"/>
    <mergeCell ref="C58:E58"/>
    <mergeCell ref="F58:H58"/>
    <mergeCell ref="I58:I59"/>
    <mergeCell ref="Q58:Q59"/>
    <mergeCell ref="Y58:Y59"/>
    <mergeCell ref="AB58:AB59"/>
    <mergeCell ref="C59:E59"/>
    <mergeCell ref="F59:H59"/>
    <mergeCell ref="AC55:AF55"/>
    <mergeCell ref="A56:A57"/>
    <mergeCell ref="C56:E56"/>
    <mergeCell ref="F56:H56"/>
    <mergeCell ref="I56:I57"/>
    <mergeCell ref="Q56:Q57"/>
    <mergeCell ref="Y56:Y57"/>
    <mergeCell ref="AB56:AB57"/>
    <mergeCell ref="C57:E57"/>
    <mergeCell ref="F57:H57"/>
    <mergeCell ref="A53:A55"/>
    <mergeCell ref="C53:E53"/>
    <mergeCell ref="F53:H53"/>
    <mergeCell ref="I53:I55"/>
    <mergeCell ref="Y53:Y55"/>
    <mergeCell ref="C54:E54"/>
    <mergeCell ref="F54:H54"/>
    <mergeCell ref="C55:E55"/>
    <mergeCell ref="F55:H55"/>
    <mergeCell ref="AB47:AB55"/>
    <mergeCell ref="C48:E48"/>
    <mergeCell ref="F48:H48"/>
    <mergeCell ref="AC48:AF48"/>
    <mergeCell ref="C49:E49"/>
    <mergeCell ref="A50:A52"/>
    <mergeCell ref="C50:E50"/>
    <mergeCell ref="F50:H50"/>
    <mergeCell ref="I50:I52"/>
    <mergeCell ref="Y50:Y52"/>
    <mergeCell ref="C51:E51"/>
    <mergeCell ref="F51:H51"/>
    <mergeCell ref="C52:E52"/>
    <mergeCell ref="F52:H52"/>
    <mergeCell ref="C43:E43"/>
    <mergeCell ref="F43:H43"/>
    <mergeCell ref="F49:H49"/>
    <mergeCell ref="AC49:AF49"/>
    <mergeCell ref="AC51:AF51"/>
    <mergeCell ref="AC52:AF52"/>
    <mergeCell ref="AC54:AF54"/>
    <mergeCell ref="AB45:AB46"/>
    <mergeCell ref="C46:E46"/>
    <mergeCell ref="F46:H46"/>
    <mergeCell ref="AC46:AF46"/>
    <mergeCell ref="C41:E41"/>
    <mergeCell ref="F41:H41"/>
    <mergeCell ref="A47:A49"/>
    <mergeCell ref="C47:E47"/>
    <mergeCell ref="F47:H47"/>
    <mergeCell ref="I47:I49"/>
    <mergeCell ref="Q47:Q55"/>
    <mergeCell ref="Y47:Y49"/>
    <mergeCell ref="AC43:AF43"/>
    <mergeCell ref="C44:E44"/>
    <mergeCell ref="F44:H44"/>
    <mergeCell ref="AC44:AF44"/>
    <mergeCell ref="A45:A46"/>
    <mergeCell ref="C45:E45"/>
    <mergeCell ref="F45:H45"/>
    <mergeCell ref="I45:I46"/>
    <mergeCell ref="Q45:Q46"/>
    <mergeCell ref="Y45:Y46"/>
    <mergeCell ref="A42:A44"/>
    <mergeCell ref="C42:E42"/>
    <mergeCell ref="F42:H42"/>
    <mergeCell ref="I42:I44"/>
    <mergeCell ref="Q42:Q44"/>
    <mergeCell ref="Y42:Y44"/>
    <mergeCell ref="AC35:AF35"/>
    <mergeCell ref="A36:A38"/>
    <mergeCell ref="C36:E36"/>
    <mergeCell ref="F36:H36"/>
    <mergeCell ref="I36:I38"/>
    <mergeCell ref="Q36:Q38"/>
    <mergeCell ref="Y36:Y38"/>
    <mergeCell ref="AB36:AB44"/>
    <mergeCell ref="C37:E37"/>
    <mergeCell ref="F37:H37"/>
    <mergeCell ref="AC37:AF37"/>
    <mergeCell ref="C38:E38"/>
    <mergeCell ref="F38:H38"/>
    <mergeCell ref="AC38:AF38"/>
    <mergeCell ref="AC40:AF40"/>
    <mergeCell ref="AC41:AF41"/>
    <mergeCell ref="A39:A41"/>
    <mergeCell ref="C39:E39"/>
    <mergeCell ref="F39:H39"/>
    <mergeCell ref="I39:I41"/>
    <mergeCell ref="Q39:Q41"/>
    <mergeCell ref="Y39:Y41"/>
    <mergeCell ref="C40:E40"/>
    <mergeCell ref="F40:H40"/>
    <mergeCell ref="A34:A35"/>
    <mergeCell ref="C34:E34"/>
    <mergeCell ref="F34:H34"/>
    <mergeCell ref="I34:I35"/>
    <mergeCell ref="Q34:Q35"/>
    <mergeCell ref="Y34:Y35"/>
    <mergeCell ref="AB34:AB35"/>
    <mergeCell ref="C35:E35"/>
    <mergeCell ref="F35:H35"/>
    <mergeCell ref="A31:A33"/>
    <mergeCell ref="C31:E31"/>
    <mergeCell ref="F31:H31"/>
    <mergeCell ref="I31:I33"/>
    <mergeCell ref="Q31:Q33"/>
    <mergeCell ref="Y31:Y33"/>
    <mergeCell ref="AB31:AB33"/>
    <mergeCell ref="C32:E32"/>
    <mergeCell ref="F32:H32"/>
    <mergeCell ref="C33:E33"/>
    <mergeCell ref="F33:H33"/>
    <mergeCell ref="AB26:AB28"/>
    <mergeCell ref="C27:E27"/>
    <mergeCell ref="F27:H27"/>
    <mergeCell ref="C28:E28"/>
    <mergeCell ref="F28:H28"/>
    <mergeCell ref="A29:A30"/>
    <mergeCell ref="C29:E29"/>
    <mergeCell ref="F29:H29"/>
    <mergeCell ref="I29:I30"/>
    <mergeCell ref="Q29:Q30"/>
    <mergeCell ref="A26:A28"/>
    <mergeCell ref="C26:E26"/>
    <mergeCell ref="F26:H26"/>
    <mergeCell ref="I26:I28"/>
    <mergeCell ref="Q26:Q28"/>
    <mergeCell ref="Y26:Y28"/>
    <mergeCell ref="Y29:Y30"/>
    <mergeCell ref="AB29:AB30"/>
    <mergeCell ref="C30:E30"/>
    <mergeCell ref="F30:H30"/>
    <mergeCell ref="A23:A25"/>
    <mergeCell ref="C23:E23"/>
    <mergeCell ref="F23:H23"/>
    <mergeCell ref="Q23:Q25"/>
    <mergeCell ref="Y23:Y25"/>
    <mergeCell ref="AB23:AB25"/>
    <mergeCell ref="C24:E24"/>
    <mergeCell ref="F24:H24"/>
    <mergeCell ref="C25:E25"/>
    <mergeCell ref="F25:H25"/>
    <mergeCell ref="A20:A22"/>
    <mergeCell ref="C20:E20"/>
    <mergeCell ref="F20:H20"/>
    <mergeCell ref="Q20:Q22"/>
    <mergeCell ref="Y20:Y22"/>
    <mergeCell ref="AB20:AB22"/>
    <mergeCell ref="C21:E21"/>
    <mergeCell ref="F21:H21"/>
    <mergeCell ref="C22:E22"/>
    <mergeCell ref="F22:H22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Q15:Q17"/>
    <mergeCell ref="AB15:AB17"/>
    <mergeCell ref="A18:A19"/>
    <mergeCell ref="C18:E18"/>
    <mergeCell ref="F18:H18"/>
    <mergeCell ref="Q18:Q19"/>
    <mergeCell ref="Y18:Y19"/>
    <mergeCell ref="AB18:AB19"/>
    <mergeCell ref="C19:E19"/>
    <mergeCell ref="F19:H19"/>
    <mergeCell ref="A13:A14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0" orientation="portrait" r:id="rId1"/>
  <headerFooter alignWithMargins="0"/>
  <rowBreaks count="1" manualBreakCount="1">
    <brk id="91" max="27" man="1"/>
  </rowBreaks>
  <colBreaks count="1" manualBreakCount="1">
    <brk id="2" max="46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02AE-D0C7-4316-954E-8C4A81D00FD6}">
  <sheetPr>
    <tabColor rgb="FFFF0000"/>
  </sheetPr>
  <dimension ref="A1"/>
  <sheetViews>
    <sheetView workbookViewId="0">
      <selection activeCell="C35" sqref="C35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D137-3FD3-4CCA-82A8-895287A17289}">
  <sheetPr>
    <pageSetUpPr fitToPage="1"/>
  </sheetPr>
  <dimension ref="A1:AF113"/>
  <sheetViews>
    <sheetView view="pageBreakPreview" topLeftCell="A13" zoomScale="75" zoomScaleNormal="100" zoomScaleSheetLayoutView="75" workbookViewId="0">
      <selection activeCell="Q15" sqref="Q15:Q17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7773437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342</v>
      </c>
      <c r="C2" s="548"/>
      <c r="D2" s="548"/>
      <c r="E2" s="548"/>
      <c r="F2" s="548"/>
      <c r="G2" s="549"/>
      <c r="H2" s="180" t="s">
        <v>1</v>
      </c>
      <c r="I2" s="550">
        <f>I11</f>
        <v>987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343</v>
      </c>
      <c r="B5" s="480"/>
      <c r="C5" s="182">
        <v>200</v>
      </c>
      <c r="D5" s="182">
        <v>124</v>
      </c>
      <c r="E5" s="182"/>
      <c r="F5" s="182"/>
      <c r="G5" s="182"/>
      <c r="H5" s="542" t="s">
        <v>24</v>
      </c>
      <c r="I5" s="524">
        <f t="shared" ref="I5:I11" si="0">SUM(C5:G5)</f>
        <v>324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344</v>
      </c>
      <c r="B6" s="523"/>
      <c r="C6" s="182">
        <v>200</v>
      </c>
      <c r="D6" s="182">
        <v>122</v>
      </c>
      <c r="E6" s="182"/>
      <c r="F6" s="182"/>
      <c r="G6" s="182"/>
      <c r="H6" s="537"/>
      <c r="I6" s="524">
        <f t="shared" si="0"/>
        <v>322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 t="s">
        <v>345</v>
      </c>
      <c r="B7" s="531"/>
      <c r="C7" s="183">
        <v>200</v>
      </c>
      <c r="D7" s="183">
        <v>141</v>
      </c>
      <c r="E7" s="183"/>
      <c r="F7" s="183"/>
      <c r="G7" s="183"/>
      <c r="H7" s="532"/>
      <c r="I7" s="532">
        <f t="shared" si="0"/>
        <v>341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46181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90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600</v>
      </c>
      <c r="D11" s="181">
        <f>SUM(D5:D10)</f>
        <v>387</v>
      </c>
      <c r="E11" s="181">
        <f>SUM(E5:E10)</f>
        <v>0</v>
      </c>
      <c r="F11" s="181">
        <f>SUM(F5:F10)</f>
        <v>0</v>
      </c>
      <c r="G11" s="181">
        <f>SUM(G5:G10)</f>
        <v>0</v>
      </c>
      <c r="H11" s="182"/>
      <c r="I11" s="481">
        <f t="shared" si="0"/>
        <v>987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46267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612</v>
      </c>
      <c r="D12" s="43">
        <f>D11*1.02</f>
        <v>394.74</v>
      </c>
      <c r="E12" s="43">
        <f>E11*1.02</f>
        <v>0</v>
      </c>
      <c r="F12" s="43">
        <f>F11*1.02</f>
        <v>0</v>
      </c>
      <c r="G12" s="43">
        <f>G11*1.02</f>
        <v>0</v>
      </c>
      <c r="H12" s="44"/>
      <c r="I12" s="486">
        <f>I11*1.02</f>
        <v>1006.74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>$I$5</f>
        <v>324</v>
      </c>
      <c r="C15" s="474" t="str">
        <f>$A$5</f>
        <v>CR</v>
      </c>
      <c r="D15" s="475"/>
      <c r="E15" s="476"/>
      <c r="F15" s="474"/>
      <c r="G15" s="475"/>
      <c r="H15" s="476"/>
      <c r="I15" s="71" t="s">
        <v>128</v>
      </c>
      <c r="J15" s="65" t="s">
        <v>6</v>
      </c>
      <c r="K15" s="66">
        <v>1.33</v>
      </c>
      <c r="L15" s="67" t="s">
        <v>7</v>
      </c>
      <c r="M15" s="68">
        <f>K15*B15</f>
        <v>430.92</v>
      </c>
      <c r="N15" s="69"/>
      <c r="O15" s="70"/>
      <c r="P15" s="67" t="s">
        <v>7</v>
      </c>
      <c r="Q15" s="478"/>
      <c r="R15" s="311"/>
      <c r="S15" s="71" t="s">
        <v>7</v>
      </c>
      <c r="T15" s="123">
        <f t="shared" ref="T15:T17" si="1">R15-M15</f>
        <v>-430.92</v>
      </c>
      <c r="U15" s="72"/>
      <c r="V15" s="72"/>
      <c r="W15" s="73"/>
      <c r="X15" s="74"/>
      <c r="Y15" s="314" t="s">
        <v>270</v>
      </c>
      <c r="Z15" s="63"/>
      <c r="AA15" s="64"/>
      <c r="AB15" s="566"/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322</v>
      </c>
      <c r="C16" s="368" t="str">
        <f>$A$6</f>
        <v>LB</v>
      </c>
      <c r="D16" s="369"/>
      <c r="E16" s="370"/>
      <c r="F16" s="368"/>
      <c r="G16" s="369"/>
      <c r="H16" s="370"/>
      <c r="I16" s="75" t="s">
        <v>128</v>
      </c>
      <c r="J16" s="76" t="s">
        <v>6</v>
      </c>
      <c r="K16" s="83">
        <v>1.33</v>
      </c>
      <c r="L16" s="77" t="s">
        <v>7</v>
      </c>
      <c r="M16" s="78">
        <f t="shared" ref="M16:M17" si="2">K16*B16</f>
        <v>428.26000000000005</v>
      </c>
      <c r="N16" s="79"/>
      <c r="O16" s="128"/>
      <c r="P16" s="77" t="s">
        <v>7</v>
      </c>
      <c r="Q16" s="447"/>
      <c r="R16" s="294"/>
      <c r="S16" s="75" t="s">
        <v>7</v>
      </c>
      <c r="T16" s="81">
        <f t="shared" si="1"/>
        <v>-428.26000000000005</v>
      </c>
      <c r="U16" s="131"/>
      <c r="V16" s="131"/>
      <c r="W16" s="132"/>
      <c r="X16" s="133"/>
      <c r="Y16" s="320" t="s">
        <v>329</v>
      </c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thickBot="1" x14ac:dyDescent="0.2">
      <c r="A17" s="432"/>
      <c r="B17" s="182">
        <f>$I$7</f>
        <v>341</v>
      </c>
      <c r="C17" s="368" t="str">
        <f>$A$7</f>
        <v>DG</v>
      </c>
      <c r="D17" s="369"/>
      <c r="E17" s="370"/>
      <c r="F17" s="368"/>
      <c r="G17" s="369"/>
      <c r="H17" s="370"/>
      <c r="I17" s="75" t="s">
        <v>128</v>
      </c>
      <c r="J17" s="76" t="s">
        <v>6</v>
      </c>
      <c r="K17" s="83">
        <v>1.34</v>
      </c>
      <c r="L17" s="77" t="s">
        <v>7</v>
      </c>
      <c r="M17" s="78">
        <f t="shared" si="2"/>
        <v>456.94000000000005</v>
      </c>
      <c r="N17" s="79"/>
      <c r="O17" s="128"/>
      <c r="P17" s="77" t="s">
        <v>7</v>
      </c>
      <c r="Q17" s="444"/>
      <c r="R17" s="294"/>
      <c r="S17" s="75" t="s">
        <v>7</v>
      </c>
      <c r="T17" s="81">
        <f t="shared" si="1"/>
        <v>-456.94000000000005</v>
      </c>
      <c r="U17" s="131"/>
      <c r="V17" s="131"/>
      <c r="W17" s="132"/>
      <c r="X17" s="133"/>
      <c r="Y17" s="320" t="s">
        <v>329</v>
      </c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73" t="s">
        <v>346</v>
      </c>
      <c r="B18" s="185">
        <f>$I$5</f>
        <v>324</v>
      </c>
      <c r="C18" s="474" t="str">
        <f>$A$5</f>
        <v>CR</v>
      </c>
      <c r="D18" s="475"/>
      <c r="E18" s="476"/>
      <c r="F18" s="474"/>
      <c r="G18" s="475"/>
      <c r="H18" s="476"/>
      <c r="I18" s="71" t="s">
        <v>128</v>
      </c>
      <c r="J18" s="65" t="s">
        <v>6</v>
      </c>
      <c r="K18" s="66">
        <v>1.33</v>
      </c>
      <c r="L18" s="67" t="s">
        <v>7</v>
      </c>
      <c r="M18" s="68">
        <f>K18*B18</f>
        <v>430.92</v>
      </c>
      <c r="N18" s="69"/>
      <c r="O18" s="70"/>
      <c r="P18" s="67" t="s">
        <v>7</v>
      </c>
      <c r="Q18" s="339"/>
      <c r="R18" s="311"/>
      <c r="S18" s="71" t="s">
        <v>7</v>
      </c>
      <c r="T18" s="123">
        <f t="shared" ref="T18:T104" si="3">R18-M18</f>
        <v>-430.92</v>
      </c>
      <c r="U18" s="72"/>
      <c r="V18" s="72"/>
      <c r="W18" s="73"/>
      <c r="X18" s="74"/>
      <c r="Y18" s="314" t="s">
        <v>270</v>
      </c>
      <c r="Z18" s="63"/>
      <c r="AA18" s="64"/>
      <c r="AB18" s="566"/>
      <c r="AC18" s="178"/>
      <c r="AD18" s="179"/>
      <c r="AE18" s="179"/>
      <c r="AF18" s="179"/>
    </row>
    <row r="19" spans="1:32" s="55" customFormat="1" ht="69.95" hidden="1" customHeight="1" x14ac:dyDescent="0.15">
      <c r="A19" s="559"/>
      <c r="B19" s="182">
        <f>$I$6</f>
        <v>322</v>
      </c>
      <c r="C19" s="368" t="str">
        <f>$A$6</f>
        <v>LB</v>
      </c>
      <c r="D19" s="369"/>
      <c r="E19" s="370"/>
      <c r="F19" s="368"/>
      <c r="G19" s="369"/>
      <c r="H19" s="370"/>
      <c r="I19" s="75" t="s">
        <v>128</v>
      </c>
      <c r="J19" s="76" t="s">
        <v>6</v>
      </c>
      <c r="K19" s="83">
        <v>1.33</v>
      </c>
      <c r="L19" s="77" t="s">
        <v>7</v>
      </c>
      <c r="M19" s="78">
        <f t="shared" ref="M19" si="4">K19*B19</f>
        <v>428.26000000000005</v>
      </c>
      <c r="N19" s="79"/>
      <c r="O19" s="128"/>
      <c r="P19" s="77" t="s">
        <v>7</v>
      </c>
      <c r="Q19" s="328"/>
      <c r="R19" s="294"/>
      <c r="S19" s="75" t="s">
        <v>7</v>
      </c>
      <c r="T19" s="81">
        <f t="shared" ref="T19" si="5">R19-M19</f>
        <v>-428.26000000000005</v>
      </c>
      <c r="U19" s="131"/>
      <c r="V19" s="131"/>
      <c r="W19" s="132"/>
      <c r="X19" s="133"/>
      <c r="Y19" s="320" t="s">
        <v>329</v>
      </c>
      <c r="Z19" s="134"/>
      <c r="AA19" s="135"/>
      <c r="AB19" s="361"/>
      <c r="AC19" s="178"/>
      <c r="AD19" s="179"/>
      <c r="AE19" s="179"/>
      <c r="AF19" s="179"/>
    </row>
    <row r="20" spans="1:32" s="55" customFormat="1" ht="69.95" customHeight="1" thickTop="1" x14ac:dyDescent="0.15">
      <c r="A20" s="559"/>
      <c r="B20" s="182">
        <f>$I$5</f>
        <v>324</v>
      </c>
      <c r="C20" s="474" t="str">
        <f>$A$5</f>
        <v>CR</v>
      </c>
      <c r="D20" s="475"/>
      <c r="E20" s="476"/>
      <c r="F20" s="368"/>
      <c r="G20" s="369"/>
      <c r="H20" s="370"/>
      <c r="I20" s="75" t="s">
        <v>8</v>
      </c>
      <c r="J20" s="76" t="s">
        <v>6</v>
      </c>
      <c r="K20" s="83">
        <v>1.95</v>
      </c>
      <c r="L20" s="77" t="s">
        <v>7</v>
      </c>
      <c r="M20" s="78">
        <f t="shared" ref="M20:M104" si="6">K20*B20</f>
        <v>631.79999999999995</v>
      </c>
      <c r="N20" s="79"/>
      <c r="O20" s="128"/>
      <c r="P20" s="77" t="s">
        <v>7</v>
      </c>
      <c r="Q20" s="338"/>
      <c r="R20" s="294"/>
      <c r="S20" s="75" t="s">
        <v>7</v>
      </c>
      <c r="T20" s="81">
        <f t="shared" si="3"/>
        <v>-631.79999999999995</v>
      </c>
      <c r="U20" s="131"/>
      <c r="V20" s="131"/>
      <c r="W20" s="132"/>
      <c r="X20" s="133"/>
      <c r="Y20" s="445" t="s">
        <v>347</v>
      </c>
      <c r="Z20" s="134"/>
      <c r="AA20" s="135"/>
      <c r="AB20" s="362"/>
      <c r="AC20" s="178"/>
      <c r="AD20" s="179"/>
      <c r="AE20" s="179"/>
      <c r="AF20" s="179"/>
    </row>
    <row r="21" spans="1:32" s="55" customFormat="1" ht="69.95" customHeight="1" x14ac:dyDescent="0.15">
      <c r="A21" s="559"/>
      <c r="B21" s="182">
        <f>$I$6</f>
        <v>322</v>
      </c>
      <c r="C21" s="368" t="str">
        <f>$A$6</f>
        <v>LB</v>
      </c>
      <c r="D21" s="369"/>
      <c r="E21" s="370"/>
      <c r="F21" s="461"/>
      <c r="G21" s="461"/>
      <c r="H21" s="461"/>
      <c r="I21" s="75" t="s">
        <v>8</v>
      </c>
      <c r="J21" s="76" t="s">
        <v>6</v>
      </c>
      <c r="K21" s="136">
        <v>1.95</v>
      </c>
      <c r="L21" s="77" t="s">
        <v>7</v>
      </c>
      <c r="M21" s="78">
        <f t="shared" si="6"/>
        <v>627.9</v>
      </c>
      <c r="N21" s="79"/>
      <c r="O21" s="78"/>
      <c r="P21" s="80" t="s">
        <v>7</v>
      </c>
      <c r="Q21" s="337"/>
      <c r="R21" s="78"/>
      <c r="S21" s="80" t="s">
        <v>7</v>
      </c>
      <c r="T21" s="81">
        <f t="shared" si="3"/>
        <v>-627.9</v>
      </c>
      <c r="U21" s="82"/>
      <c r="V21" s="137"/>
      <c r="W21" s="78"/>
      <c r="X21" s="78"/>
      <c r="Y21" s="557"/>
      <c r="Z21" s="138"/>
      <c r="AA21" s="135"/>
      <c r="AB21" s="360"/>
      <c r="AC21" s="178"/>
      <c r="AD21" s="179"/>
      <c r="AE21" s="179"/>
      <c r="AF21" s="179"/>
    </row>
    <row r="22" spans="1:32" s="206" customFormat="1" ht="69.95" customHeight="1" x14ac:dyDescent="0.15">
      <c r="A22" s="432"/>
      <c r="B22" s="182">
        <f>$I$7</f>
        <v>341</v>
      </c>
      <c r="C22" s="368" t="str">
        <f>$A$7</f>
        <v>DG</v>
      </c>
      <c r="D22" s="369"/>
      <c r="E22" s="370"/>
      <c r="F22" s="461"/>
      <c r="G22" s="461"/>
      <c r="H22" s="461"/>
      <c r="I22" s="75" t="s">
        <v>8</v>
      </c>
      <c r="J22" s="76" t="s">
        <v>6</v>
      </c>
      <c r="K22" s="136">
        <v>1.95</v>
      </c>
      <c r="L22" s="77" t="s">
        <v>7</v>
      </c>
      <c r="M22" s="78">
        <f t="shared" si="6"/>
        <v>664.94999999999993</v>
      </c>
      <c r="N22" s="79"/>
      <c r="O22" s="128"/>
      <c r="P22" s="77" t="s">
        <v>7</v>
      </c>
      <c r="Q22" s="338"/>
      <c r="R22" s="130"/>
      <c r="S22" s="75" t="s">
        <v>7</v>
      </c>
      <c r="T22" s="81">
        <f t="shared" si="3"/>
        <v>-664.94999999999993</v>
      </c>
      <c r="U22" s="131"/>
      <c r="V22" s="131"/>
      <c r="W22" s="132"/>
      <c r="X22" s="133"/>
      <c r="Y22" s="446"/>
      <c r="Z22" s="134"/>
      <c r="AA22" s="135"/>
      <c r="AB22" s="362"/>
      <c r="AC22" s="229"/>
      <c r="AD22" s="230"/>
      <c r="AE22" s="230"/>
      <c r="AF22" s="230"/>
    </row>
    <row r="23" spans="1:32" s="55" customFormat="1" ht="69.95" customHeight="1" x14ac:dyDescent="0.15">
      <c r="A23" s="611" t="s">
        <v>115</v>
      </c>
      <c r="B23" s="191">
        <f t="shared" ref="B23" si="7">$I$5</f>
        <v>324</v>
      </c>
      <c r="C23" s="465" t="str">
        <f t="shared" ref="C23:C25" si="8">$A$5</f>
        <v>CR</v>
      </c>
      <c r="D23" s="465"/>
      <c r="E23" s="465"/>
      <c r="F23" s="465"/>
      <c r="G23" s="465"/>
      <c r="H23" s="465"/>
      <c r="I23" s="433" t="s">
        <v>8</v>
      </c>
      <c r="J23" s="192" t="s">
        <v>6</v>
      </c>
      <c r="K23" s="209"/>
      <c r="L23" s="194" t="s">
        <v>7</v>
      </c>
      <c r="M23" s="195">
        <f t="shared" si="6"/>
        <v>0</v>
      </c>
      <c r="N23" s="196"/>
      <c r="O23" s="195"/>
      <c r="P23" s="197" t="s">
        <v>7</v>
      </c>
      <c r="Q23" s="435"/>
      <c r="R23" s="195"/>
      <c r="S23" s="197" t="s">
        <v>7</v>
      </c>
      <c r="T23" s="198">
        <f t="shared" si="3"/>
        <v>0</v>
      </c>
      <c r="U23" s="199"/>
      <c r="V23" s="200"/>
      <c r="W23" s="195"/>
      <c r="X23" s="195"/>
      <c r="Y23" s="437" t="s">
        <v>93</v>
      </c>
      <c r="Z23" s="235"/>
      <c r="AA23" s="202"/>
      <c r="AB23" s="439"/>
      <c r="AC23" s="178"/>
      <c r="AD23" s="179"/>
      <c r="AE23" s="179"/>
      <c r="AF23" s="179"/>
    </row>
    <row r="24" spans="1:32" s="143" customFormat="1" ht="69.95" customHeight="1" x14ac:dyDescent="0.15">
      <c r="A24" s="612"/>
      <c r="B24" s="191">
        <f>$I$6</f>
        <v>322</v>
      </c>
      <c r="C24" s="465" t="str">
        <f>$A$6</f>
        <v>LB</v>
      </c>
      <c r="D24" s="465"/>
      <c r="E24" s="465"/>
      <c r="F24" s="465"/>
      <c r="G24" s="465"/>
      <c r="H24" s="465"/>
      <c r="I24" s="434"/>
      <c r="J24" s="192" t="s">
        <v>6</v>
      </c>
      <c r="K24" s="209"/>
      <c r="L24" s="194" t="s">
        <v>7</v>
      </c>
      <c r="M24" s="195">
        <f t="shared" si="6"/>
        <v>0</v>
      </c>
      <c r="N24" s="196"/>
      <c r="O24" s="210"/>
      <c r="P24" s="194" t="s">
        <v>7</v>
      </c>
      <c r="Q24" s="436"/>
      <c r="R24" s="236"/>
      <c r="S24" s="207" t="s">
        <v>7</v>
      </c>
      <c r="T24" s="198">
        <f t="shared" si="3"/>
        <v>0</v>
      </c>
      <c r="U24" s="211"/>
      <c r="V24" s="211"/>
      <c r="W24" s="212"/>
      <c r="X24" s="213"/>
      <c r="Y24" s="438"/>
      <c r="Z24" s="238"/>
      <c r="AA24" s="238"/>
      <c r="AB24" s="440"/>
    </row>
    <row r="25" spans="1:32" s="143" customFormat="1" ht="69.95" customHeight="1" x14ac:dyDescent="0.15">
      <c r="A25" s="431" t="s">
        <v>107</v>
      </c>
      <c r="B25" s="182">
        <f>$I$5</f>
        <v>324</v>
      </c>
      <c r="C25" s="461" t="str">
        <f t="shared" si="8"/>
        <v>CR</v>
      </c>
      <c r="D25" s="461"/>
      <c r="E25" s="461"/>
      <c r="F25" s="461"/>
      <c r="G25" s="461"/>
      <c r="H25" s="461"/>
      <c r="I25" s="333" t="s">
        <v>58</v>
      </c>
      <c r="J25" s="76" t="s">
        <v>6</v>
      </c>
      <c r="K25" s="136">
        <v>0.04</v>
      </c>
      <c r="L25" s="77" t="s">
        <v>7</v>
      </c>
      <c r="M25" s="78">
        <f t="shared" si="6"/>
        <v>12.96</v>
      </c>
      <c r="N25" s="79"/>
      <c r="O25" s="78"/>
      <c r="P25" s="80" t="s">
        <v>7</v>
      </c>
      <c r="Q25" s="443"/>
      <c r="R25" s="81"/>
      <c r="S25" s="80" t="s">
        <v>7</v>
      </c>
      <c r="T25" s="81">
        <f t="shared" si="3"/>
        <v>-12.96</v>
      </c>
      <c r="U25" s="82"/>
      <c r="V25" s="137"/>
      <c r="W25" s="78"/>
      <c r="X25" s="78"/>
      <c r="Y25" s="445" t="s">
        <v>59</v>
      </c>
      <c r="Z25" s="138"/>
      <c r="AA25" s="135"/>
      <c r="AB25" s="360"/>
      <c r="AC25" s="577"/>
      <c r="AD25" s="578"/>
      <c r="AE25" s="578"/>
      <c r="AF25" s="578"/>
    </row>
    <row r="26" spans="1:32" s="143" customFormat="1" ht="69.95" customHeight="1" thickBot="1" x14ac:dyDescent="0.2">
      <c r="A26" s="559"/>
      <c r="B26" s="182">
        <f>$I$6</f>
        <v>322</v>
      </c>
      <c r="C26" s="461" t="str">
        <f>$A$6</f>
        <v>LB</v>
      </c>
      <c r="D26" s="461"/>
      <c r="E26" s="461"/>
      <c r="F26" s="461"/>
      <c r="G26" s="461"/>
      <c r="H26" s="461"/>
      <c r="I26" s="333" t="s">
        <v>58</v>
      </c>
      <c r="J26" s="76" t="s">
        <v>6</v>
      </c>
      <c r="K26" s="136">
        <v>0.04</v>
      </c>
      <c r="L26" s="77" t="s">
        <v>7</v>
      </c>
      <c r="M26" s="78">
        <f t="shared" si="6"/>
        <v>12.88</v>
      </c>
      <c r="N26" s="79"/>
      <c r="O26" s="128"/>
      <c r="P26" s="77" t="s">
        <v>7</v>
      </c>
      <c r="Q26" s="444"/>
      <c r="R26" s="130"/>
      <c r="S26" s="75" t="s">
        <v>7</v>
      </c>
      <c r="T26" s="81">
        <f t="shared" si="3"/>
        <v>-12.88</v>
      </c>
      <c r="U26" s="131"/>
      <c r="V26" s="131"/>
      <c r="W26" s="132"/>
      <c r="X26" s="133"/>
      <c r="Y26" s="557"/>
      <c r="Z26" s="134"/>
      <c r="AA26" s="135"/>
      <c r="AB26" s="362"/>
    </row>
    <row r="27" spans="1:32" s="206" customFormat="1" ht="69.95" customHeight="1" thickTop="1" x14ac:dyDescent="0.15">
      <c r="A27" s="559"/>
      <c r="B27" s="182">
        <f>$I$7</f>
        <v>341</v>
      </c>
      <c r="C27" s="368" t="str">
        <f>$A$7</f>
        <v>DG</v>
      </c>
      <c r="D27" s="369"/>
      <c r="E27" s="370"/>
      <c r="F27" s="461"/>
      <c r="G27" s="461"/>
      <c r="H27" s="461"/>
      <c r="I27" s="333" t="s">
        <v>58</v>
      </c>
      <c r="J27" s="76" t="s">
        <v>6</v>
      </c>
      <c r="K27" s="136">
        <v>0.04</v>
      </c>
      <c r="L27" s="77" t="s">
        <v>7</v>
      </c>
      <c r="M27" s="78">
        <f t="shared" ref="M27" si="9">K27*B27</f>
        <v>13.64</v>
      </c>
      <c r="N27" s="79"/>
      <c r="O27" s="128"/>
      <c r="P27" s="77" t="s">
        <v>7</v>
      </c>
      <c r="Q27" s="337"/>
      <c r="R27" s="130"/>
      <c r="S27" s="75" t="s">
        <v>7</v>
      </c>
      <c r="T27" s="81">
        <f t="shared" ref="T27" si="10">R27-M27</f>
        <v>-13.64</v>
      </c>
      <c r="U27" s="131"/>
      <c r="V27" s="131"/>
      <c r="W27" s="132"/>
      <c r="X27" s="133"/>
      <c r="Y27" s="557"/>
      <c r="Z27" s="134"/>
      <c r="AA27" s="135"/>
      <c r="AB27" s="342"/>
      <c r="AC27" s="229"/>
      <c r="AD27" s="230"/>
      <c r="AE27" s="230"/>
      <c r="AF27" s="230"/>
    </row>
    <row r="28" spans="1:32" s="206" customFormat="1" ht="69.95" customHeight="1" x14ac:dyDescent="0.15">
      <c r="A28" s="613"/>
      <c r="B28" s="191"/>
      <c r="C28" s="422"/>
      <c r="D28" s="423"/>
      <c r="E28" s="424"/>
      <c r="F28" s="422"/>
      <c r="G28" s="423"/>
      <c r="H28" s="424"/>
      <c r="I28" s="336"/>
      <c r="J28" s="192"/>
      <c r="K28" s="209"/>
      <c r="L28" s="194"/>
      <c r="M28" s="195"/>
      <c r="N28" s="196"/>
      <c r="O28" s="210"/>
      <c r="P28" s="194"/>
      <c r="Q28" s="307"/>
      <c r="R28" s="236"/>
      <c r="S28" s="207"/>
      <c r="T28" s="198"/>
      <c r="U28" s="211"/>
      <c r="V28" s="211"/>
      <c r="W28" s="212"/>
      <c r="X28" s="213"/>
      <c r="Y28" s="562"/>
      <c r="Z28" s="214"/>
      <c r="AA28" s="202"/>
      <c r="AB28" s="558"/>
      <c r="AC28" s="229"/>
      <c r="AD28" s="230"/>
      <c r="AE28" s="230"/>
      <c r="AF28" s="230"/>
    </row>
    <row r="29" spans="1:32" s="206" customFormat="1" ht="69.95" customHeight="1" x14ac:dyDescent="0.15">
      <c r="A29" s="613"/>
      <c r="B29" s="191"/>
      <c r="C29" s="422"/>
      <c r="D29" s="423"/>
      <c r="E29" s="424"/>
      <c r="F29" s="422"/>
      <c r="G29" s="423"/>
      <c r="H29" s="424"/>
      <c r="I29" s="336"/>
      <c r="J29" s="192"/>
      <c r="K29" s="209"/>
      <c r="L29" s="194"/>
      <c r="M29" s="195"/>
      <c r="N29" s="196"/>
      <c r="O29" s="210"/>
      <c r="P29" s="194"/>
      <c r="Q29" s="307"/>
      <c r="R29" s="236"/>
      <c r="S29" s="207"/>
      <c r="T29" s="198"/>
      <c r="U29" s="211"/>
      <c r="V29" s="211"/>
      <c r="W29" s="212"/>
      <c r="X29" s="213"/>
      <c r="Y29" s="562"/>
      <c r="Z29" s="214"/>
      <c r="AA29" s="202"/>
      <c r="AB29" s="558"/>
      <c r="AC29" s="229"/>
      <c r="AD29" s="230"/>
      <c r="AE29" s="230"/>
      <c r="AF29" s="230"/>
    </row>
    <row r="30" spans="1:32" s="143" customFormat="1" ht="69.95" customHeight="1" x14ac:dyDescent="0.15">
      <c r="A30" s="612"/>
      <c r="B30" s="191">
        <f>$I$6</f>
        <v>322</v>
      </c>
      <c r="C30" s="465" t="str">
        <f>$A$6</f>
        <v>LB</v>
      </c>
      <c r="D30" s="465"/>
      <c r="E30" s="465"/>
      <c r="F30" s="465"/>
      <c r="G30" s="465"/>
      <c r="H30" s="465"/>
      <c r="I30" s="340"/>
      <c r="J30" s="192" t="s">
        <v>6</v>
      </c>
      <c r="K30" s="209"/>
      <c r="L30" s="194" t="s">
        <v>7</v>
      </c>
      <c r="M30" s="195">
        <f>K30*B30</f>
        <v>0</v>
      </c>
      <c r="N30" s="196"/>
      <c r="O30" s="210"/>
      <c r="P30" s="194" t="s">
        <v>7</v>
      </c>
      <c r="Q30" s="341"/>
      <c r="R30" s="200"/>
      <c r="S30" s="207" t="s">
        <v>9</v>
      </c>
      <c r="T30" s="198">
        <f t="shared" si="3"/>
        <v>0</v>
      </c>
      <c r="U30" s="211"/>
      <c r="V30" s="211"/>
      <c r="W30" s="212"/>
      <c r="X30" s="213"/>
      <c r="Y30" s="438"/>
      <c r="Z30" s="214"/>
      <c r="AA30" s="202"/>
      <c r="AB30" s="440"/>
      <c r="AC30" s="577"/>
      <c r="AD30" s="578"/>
      <c r="AE30" s="578"/>
      <c r="AF30" s="578"/>
    </row>
    <row r="31" spans="1:32" s="143" customFormat="1" ht="69.95" customHeight="1" x14ac:dyDescent="0.15">
      <c r="A31" s="464" t="s">
        <v>86</v>
      </c>
      <c r="B31" s="182">
        <f>$I$5</f>
        <v>324</v>
      </c>
      <c r="C31" s="461" t="str">
        <f t="shared" ref="C31" si="11">$A$5</f>
        <v>CR</v>
      </c>
      <c r="D31" s="461"/>
      <c r="E31" s="461"/>
      <c r="F31" s="461"/>
      <c r="G31" s="461"/>
      <c r="H31" s="461"/>
      <c r="I31" s="441" t="s">
        <v>251</v>
      </c>
      <c r="J31" s="76"/>
      <c r="K31" s="136">
        <v>14</v>
      </c>
      <c r="L31" s="77" t="s">
        <v>7</v>
      </c>
      <c r="M31" s="78">
        <f t="shared" ref="M31:M41" si="12">K31*B31/50</f>
        <v>90.72</v>
      </c>
      <c r="N31" s="79"/>
      <c r="O31" s="78"/>
      <c r="P31" s="80" t="s">
        <v>7</v>
      </c>
      <c r="Q31" s="443"/>
      <c r="R31" s="78"/>
      <c r="S31" s="80" t="s">
        <v>9</v>
      </c>
      <c r="T31" s="81">
        <f t="shared" si="3"/>
        <v>-90.72</v>
      </c>
      <c r="U31" s="82"/>
      <c r="V31" s="137"/>
      <c r="W31" s="78"/>
      <c r="X31" s="78"/>
      <c r="Y31" s="445" t="s">
        <v>94</v>
      </c>
      <c r="Z31" s="141"/>
      <c r="AA31" s="135"/>
      <c r="AB31" s="360"/>
    </row>
    <row r="32" spans="1:32" s="143" customFormat="1" ht="69.95" customHeight="1" x14ac:dyDescent="0.15">
      <c r="A32" s="464"/>
      <c r="B32" s="182">
        <f>$I$6</f>
        <v>322</v>
      </c>
      <c r="C32" s="461" t="str">
        <f>$A$6</f>
        <v>LB</v>
      </c>
      <c r="D32" s="461"/>
      <c r="E32" s="461"/>
      <c r="F32" s="461"/>
      <c r="G32" s="461"/>
      <c r="H32" s="461"/>
      <c r="I32" s="563"/>
      <c r="J32" s="76"/>
      <c r="K32" s="136">
        <v>14</v>
      </c>
      <c r="L32" s="77" t="s">
        <v>7</v>
      </c>
      <c r="M32" s="78">
        <f t="shared" ref="M32" si="13">K32*B32/50</f>
        <v>90.16</v>
      </c>
      <c r="N32" s="79"/>
      <c r="O32" s="128"/>
      <c r="P32" s="77" t="s">
        <v>7</v>
      </c>
      <c r="Q32" s="447"/>
      <c r="R32" s="137"/>
      <c r="S32" s="75" t="s">
        <v>9</v>
      </c>
      <c r="T32" s="81">
        <f t="shared" ref="T32" si="14">R32-M32</f>
        <v>-90.16</v>
      </c>
      <c r="U32" s="131"/>
      <c r="V32" s="131"/>
      <c r="W32" s="132"/>
      <c r="X32" s="133"/>
      <c r="Y32" s="557"/>
      <c r="Z32" s="134"/>
      <c r="AA32" s="135"/>
      <c r="AB32" s="361"/>
      <c r="AC32" s="577"/>
      <c r="AD32" s="578"/>
      <c r="AE32" s="578"/>
      <c r="AF32" s="578"/>
    </row>
    <row r="33" spans="1:32" s="203" customFormat="1" ht="69.95" customHeight="1" x14ac:dyDescent="0.15">
      <c r="A33" s="464"/>
      <c r="B33" s="182">
        <f>$I$7</f>
        <v>341</v>
      </c>
      <c r="C33" s="368" t="str">
        <f>$A$7</f>
        <v>DG</v>
      </c>
      <c r="D33" s="369"/>
      <c r="E33" s="370"/>
      <c r="F33" s="461"/>
      <c r="G33" s="461"/>
      <c r="H33" s="461"/>
      <c r="I33" s="442"/>
      <c r="J33" s="76"/>
      <c r="K33" s="136">
        <v>14</v>
      </c>
      <c r="L33" s="77" t="s">
        <v>7</v>
      </c>
      <c r="M33" s="78">
        <f t="shared" si="12"/>
        <v>95.48</v>
      </c>
      <c r="N33" s="79"/>
      <c r="O33" s="128"/>
      <c r="P33" s="77" t="s">
        <v>7</v>
      </c>
      <c r="Q33" s="444"/>
      <c r="R33" s="137"/>
      <c r="S33" s="75" t="s">
        <v>9</v>
      </c>
      <c r="T33" s="81">
        <f t="shared" si="3"/>
        <v>-95.48</v>
      </c>
      <c r="U33" s="131"/>
      <c r="V33" s="131"/>
      <c r="W33" s="132"/>
      <c r="X33" s="133"/>
      <c r="Y33" s="446"/>
      <c r="Z33" s="134"/>
      <c r="AA33" s="135"/>
      <c r="AB33" s="362"/>
    </row>
    <row r="34" spans="1:32" s="203" customFormat="1" ht="69.95" customHeight="1" x14ac:dyDescent="0.15">
      <c r="A34" s="464" t="s">
        <v>222</v>
      </c>
      <c r="B34" s="182">
        <f>$I$5</f>
        <v>324</v>
      </c>
      <c r="C34" s="461" t="str">
        <f t="shared" ref="C34" si="15">$A$5</f>
        <v>CR</v>
      </c>
      <c r="D34" s="461"/>
      <c r="E34" s="461"/>
      <c r="F34" s="461"/>
      <c r="G34" s="461"/>
      <c r="H34" s="461"/>
      <c r="I34" s="441" t="s">
        <v>252</v>
      </c>
      <c r="J34" s="76"/>
      <c r="K34" s="136">
        <v>0.8</v>
      </c>
      <c r="L34" s="77" t="s">
        <v>7</v>
      </c>
      <c r="M34" s="78">
        <f t="shared" si="12"/>
        <v>5.1840000000000002</v>
      </c>
      <c r="N34" s="79"/>
      <c r="O34" s="78"/>
      <c r="P34" s="80" t="s">
        <v>7</v>
      </c>
      <c r="Q34" s="443"/>
      <c r="R34" s="78"/>
      <c r="S34" s="80" t="s">
        <v>9</v>
      </c>
      <c r="T34" s="81">
        <f t="shared" si="3"/>
        <v>-5.1840000000000002</v>
      </c>
      <c r="U34" s="82"/>
      <c r="V34" s="137"/>
      <c r="W34" s="78"/>
      <c r="X34" s="78"/>
      <c r="Y34" s="445" t="s">
        <v>94</v>
      </c>
      <c r="Z34" s="141"/>
      <c r="AA34" s="135"/>
      <c r="AB34" s="360"/>
      <c r="AC34" s="466"/>
      <c r="AD34" s="467"/>
      <c r="AE34" s="467"/>
      <c r="AF34" s="467"/>
    </row>
    <row r="35" spans="1:32" s="203" customFormat="1" ht="69.95" customHeight="1" x14ac:dyDescent="0.15">
      <c r="A35" s="464"/>
      <c r="B35" s="182">
        <f>$I$6</f>
        <v>322</v>
      </c>
      <c r="C35" s="461" t="str">
        <f>$A$6</f>
        <v>LB</v>
      </c>
      <c r="D35" s="461"/>
      <c r="E35" s="461"/>
      <c r="F35" s="368"/>
      <c r="G35" s="369"/>
      <c r="H35" s="370"/>
      <c r="I35" s="563"/>
      <c r="J35" s="76"/>
      <c r="K35" s="136">
        <v>0.8</v>
      </c>
      <c r="L35" s="77" t="s">
        <v>7</v>
      </c>
      <c r="M35" s="78">
        <f t="shared" si="12"/>
        <v>5.1520000000000001</v>
      </c>
      <c r="N35" s="79"/>
      <c r="O35" s="78"/>
      <c r="P35" s="80" t="s">
        <v>7</v>
      </c>
      <c r="Q35" s="447"/>
      <c r="R35" s="78"/>
      <c r="S35" s="80" t="s">
        <v>9</v>
      </c>
      <c r="T35" s="133">
        <f t="shared" si="3"/>
        <v>-5.1520000000000001</v>
      </c>
      <c r="U35" s="82"/>
      <c r="V35" s="137"/>
      <c r="W35" s="78"/>
      <c r="X35" s="78"/>
      <c r="Y35" s="557"/>
      <c r="Z35" s="141"/>
      <c r="AA35" s="135"/>
      <c r="AB35" s="361"/>
      <c r="AC35" s="334"/>
      <c r="AD35" s="335"/>
      <c r="AE35" s="335"/>
      <c r="AF35" s="335"/>
    </row>
    <row r="36" spans="1:32" s="203" customFormat="1" ht="69.95" customHeight="1" x14ac:dyDescent="0.15">
      <c r="A36" s="464"/>
      <c r="B36" s="182">
        <f>$I$7</f>
        <v>341</v>
      </c>
      <c r="C36" s="368" t="str">
        <f>$A$7</f>
        <v>DG</v>
      </c>
      <c r="D36" s="369"/>
      <c r="E36" s="370"/>
      <c r="F36" s="461"/>
      <c r="G36" s="461"/>
      <c r="H36" s="461"/>
      <c r="I36" s="442"/>
      <c r="J36" s="76"/>
      <c r="K36" s="136">
        <v>0.8</v>
      </c>
      <c r="L36" s="77" t="s">
        <v>7</v>
      </c>
      <c r="M36" s="78">
        <f t="shared" si="12"/>
        <v>5.4560000000000004</v>
      </c>
      <c r="N36" s="79"/>
      <c r="O36" s="128"/>
      <c r="P36" s="77" t="s">
        <v>7</v>
      </c>
      <c r="Q36" s="444"/>
      <c r="R36" s="137"/>
      <c r="S36" s="75" t="s">
        <v>9</v>
      </c>
      <c r="T36" s="81">
        <f t="shared" si="3"/>
        <v>-5.4560000000000004</v>
      </c>
      <c r="U36" s="131"/>
      <c r="V36" s="131"/>
      <c r="W36" s="132"/>
      <c r="X36" s="133"/>
      <c r="Y36" s="446"/>
      <c r="Z36" s="134"/>
      <c r="AA36" s="135"/>
      <c r="AB36" s="362"/>
      <c r="AC36" s="466"/>
      <c r="AD36" s="467"/>
      <c r="AE36" s="467"/>
      <c r="AF36" s="467"/>
    </row>
    <row r="37" spans="1:32" s="203" customFormat="1" ht="69.95" customHeight="1" x14ac:dyDescent="0.15">
      <c r="A37" s="464" t="s">
        <v>77</v>
      </c>
      <c r="B37" s="182">
        <f>$I$5</f>
        <v>324</v>
      </c>
      <c r="C37" s="461" t="str">
        <f t="shared" ref="C37" si="16">$A$5</f>
        <v>CR</v>
      </c>
      <c r="D37" s="461"/>
      <c r="E37" s="461"/>
      <c r="F37" s="461"/>
      <c r="G37" s="461"/>
      <c r="H37" s="461"/>
      <c r="I37" s="441" t="s">
        <v>76</v>
      </c>
      <c r="J37" s="76"/>
      <c r="K37" s="136">
        <v>0.6</v>
      </c>
      <c r="L37" s="77" t="s">
        <v>7</v>
      </c>
      <c r="M37" s="78">
        <f t="shared" si="12"/>
        <v>3.8879999999999999</v>
      </c>
      <c r="N37" s="79"/>
      <c r="O37" s="78"/>
      <c r="P37" s="80" t="s">
        <v>7</v>
      </c>
      <c r="Q37" s="443"/>
      <c r="R37" s="78"/>
      <c r="S37" s="80" t="s">
        <v>9</v>
      </c>
      <c r="T37" s="81">
        <f>R37-M37</f>
        <v>-3.8879999999999999</v>
      </c>
      <c r="U37" s="82"/>
      <c r="V37" s="137"/>
      <c r="W37" s="78"/>
      <c r="X37" s="78"/>
      <c r="Y37" s="445" t="s">
        <v>94</v>
      </c>
      <c r="Z37" s="141"/>
      <c r="AA37" s="135"/>
      <c r="AB37" s="360"/>
    </row>
    <row r="38" spans="1:32" s="203" customFormat="1" ht="69.95" customHeight="1" x14ac:dyDescent="0.15">
      <c r="A38" s="464"/>
      <c r="B38" s="182">
        <f>$I$6</f>
        <v>322</v>
      </c>
      <c r="C38" s="461" t="str">
        <f>$A$6</f>
        <v>LB</v>
      </c>
      <c r="D38" s="461"/>
      <c r="E38" s="461"/>
      <c r="F38" s="461"/>
      <c r="G38" s="461"/>
      <c r="H38" s="461"/>
      <c r="I38" s="563"/>
      <c r="J38" s="76"/>
      <c r="K38" s="136">
        <v>0.6</v>
      </c>
      <c r="L38" s="77" t="s">
        <v>7</v>
      </c>
      <c r="M38" s="78">
        <f t="shared" ref="M38" si="17">K38*B38/50</f>
        <v>3.8639999999999999</v>
      </c>
      <c r="N38" s="79"/>
      <c r="O38" s="128"/>
      <c r="P38" s="77" t="s">
        <v>7</v>
      </c>
      <c r="Q38" s="447"/>
      <c r="R38" s="137"/>
      <c r="S38" s="75" t="s">
        <v>9</v>
      </c>
      <c r="T38" s="81">
        <f>R38-M38</f>
        <v>-3.8639999999999999</v>
      </c>
      <c r="U38" s="131"/>
      <c r="V38" s="131"/>
      <c r="W38" s="132"/>
      <c r="X38" s="133"/>
      <c r="Y38" s="557"/>
      <c r="Z38" s="134"/>
      <c r="AA38" s="135"/>
      <c r="AB38" s="361"/>
      <c r="AC38" s="466"/>
      <c r="AD38" s="467"/>
      <c r="AE38" s="467"/>
      <c r="AF38" s="467"/>
    </row>
    <row r="39" spans="1:32" s="143" customFormat="1" ht="69.95" customHeight="1" x14ac:dyDescent="0.15">
      <c r="A39" s="464"/>
      <c r="B39" s="182">
        <f>$I$7</f>
        <v>341</v>
      </c>
      <c r="C39" s="368" t="str">
        <f>$A$7</f>
        <v>DG</v>
      </c>
      <c r="D39" s="369"/>
      <c r="E39" s="370"/>
      <c r="F39" s="461"/>
      <c r="G39" s="461"/>
      <c r="H39" s="461"/>
      <c r="I39" s="442"/>
      <c r="J39" s="76"/>
      <c r="K39" s="136">
        <v>0.6</v>
      </c>
      <c r="L39" s="77" t="s">
        <v>7</v>
      </c>
      <c r="M39" s="78">
        <f t="shared" si="12"/>
        <v>4.0919999999999996</v>
      </c>
      <c r="N39" s="79"/>
      <c r="O39" s="128"/>
      <c r="P39" s="77" t="s">
        <v>7</v>
      </c>
      <c r="Q39" s="444"/>
      <c r="R39" s="137"/>
      <c r="S39" s="75" t="s">
        <v>9</v>
      </c>
      <c r="T39" s="81">
        <f>R39-M39</f>
        <v>-4.0919999999999996</v>
      </c>
      <c r="U39" s="131"/>
      <c r="V39" s="131"/>
      <c r="W39" s="132"/>
      <c r="X39" s="133"/>
      <c r="Y39" s="446"/>
      <c r="Z39" s="134"/>
      <c r="AA39" s="135"/>
      <c r="AB39" s="362"/>
    </row>
    <row r="40" spans="1:32" s="55" customFormat="1" ht="69.95" customHeight="1" x14ac:dyDescent="0.15">
      <c r="A40" s="464" t="s">
        <v>116</v>
      </c>
      <c r="B40" s="191">
        <f>$I$5</f>
        <v>324</v>
      </c>
      <c r="C40" s="465" t="str">
        <f>$A$5</f>
        <v>CR</v>
      </c>
      <c r="D40" s="465"/>
      <c r="E40" s="465"/>
      <c r="F40" s="465"/>
      <c r="G40" s="465"/>
      <c r="H40" s="465"/>
      <c r="I40" s="433" t="s">
        <v>76</v>
      </c>
      <c r="J40" s="192"/>
      <c r="K40" s="209"/>
      <c r="L40" s="194" t="s">
        <v>7</v>
      </c>
      <c r="M40" s="195">
        <f t="shared" si="12"/>
        <v>0</v>
      </c>
      <c r="N40" s="196"/>
      <c r="O40" s="195"/>
      <c r="P40" s="197" t="s">
        <v>7</v>
      </c>
      <c r="Q40" s="435"/>
      <c r="R40" s="195"/>
      <c r="S40" s="197" t="s">
        <v>9</v>
      </c>
      <c r="T40" s="198">
        <f t="shared" si="3"/>
        <v>0</v>
      </c>
      <c r="U40" s="199"/>
      <c r="V40" s="200"/>
      <c r="W40" s="195"/>
      <c r="X40" s="195"/>
      <c r="Y40" s="437" t="s">
        <v>94</v>
      </c>
      <c r="Z40" s="201"/>
      <c r="AA40" s="202"/>
      <c r="AB40" s="439"/>
      <c r="AC40" s="471"/>
      <c r="AD40" s="472"/>
      <c r="AE40" s="472"/>
      <c r="AF40" s="472"/>
    </row>
    <row r="41" spans="1:32" s="55" customFormat="1" ht="69.95" customHeight="1" x14ac:dyDescent="0.15">
      <c r="A41" s="464"/>
      <c r="B41" s="191">
        <f>$I$6</f>
        <v>322</v>
      </c>
      <c r="C41" s="465" t="str">
        <f>$A$6</f>
        <v>LB</v>
      </c>
      <c r="D41" s="465"/>
      <c r="E41" s="465"/>
      <c r="F41" s="465"/>
      <c r="G41" s="465"/>
      <c r="H41" s="465"/>
      <c r="I41" s="434"/>
      <c r="J41" s="192"/>
      <c r="K41" s="208"/>
      <c r="L41" s="194" t="s">
        <v>7</v>
      </c>
      <c r="M41" s="195">
        <f t="shared" si="12"/>
        <v>0</v>
      </c>
      <c r="N41" s="196"/>
      <c r="O41" s="210"/>
      <c r="P41" s="194" t="s">
        <v>7</v>
      </c>
      <c r="Q41" s="436"/>
      <c r="R41" s="200"/>
      <c r="S41" s="207" t="s">
        <v>9</v>
      </c>
      <c r="T41" s="198">
        <f t="shared" si="3"/>
        <v>0</v>
      </c>
      <c r="U41" s="211"/>
      <c r="V41" s="211"/>
      <c r="W41" s="212"/>
      <c r="X41" s="213"/>
      <c r="Y41" s="438"/>
      <c r="Z41" s="214"/>
      <c r="AA41" s="202"/>
      <c r="AB41" s="440"/>
      <c r="AC41" s="471"/>
      <c r="AD41" s="472"/>
      <c r="AE41" s="472"/>
      <c r="AF41" s="472"/>
    </row>
    <row r="42" spans="1:32" s="143" customFormat="1" ht="69.95" customHeight="1" x14ac:dyDescent="0.15">
      <c r="A42" s="431" t="s">
        <v>88</v>
      </c>
      <c r="B42" s="182">
        <f>$I$5</f>
        <v>324</v>
      </c>
      <c r="C42" s="461" t="str">
        <f>$A$5</f>
        <v>CR</v>
      </c>
      <c r="D42" s="461"/>
      <c r="E42" s="461"/>
      <c r="F42" s="461" t="str">
        <f>$A$5</f>
        <v>CR</v>
      </c>
      <c r="G42" s="461"/>
      <c r="H42" s="461"/>
      <c r="I42" s="441" t="s">
        <v>62</v>
      </c>
      <c r="J42" s="76"/>
      <c r="K42" s="139">
        <v>250</v>
      </c>
      <c r="L42" s="77" t="s">
        <v>61</v>
      </c>
      <c r="M42" s="78">
        <f t="shared" ref="M42:M44" si="18">K42*B42/2500</f>
        <v>32.4</v>
      </c>
      <c r="N42" s="79"/>
      <c r="O42" s="78"/>
      <c r="P42" s="80" t="s">
        <v>10</v>
      </c>
      <c r="Q42" s="443"/>
      <c r="R42" s="78"/>
      <c r="S42" s="80" t="s">
        <v>10</v>
      </c>
      <c r="T42" s="81">
        <f t="shared" si="3"/>
        <v>-32.4</v>
      </c>
      <c r="U42" s="82"/>
      <c r="V42" s="137"/>
      <c r="W42" s="78"/>
      <c r="X42" s="78"/>
      <c r="Y42" s="445" t="s">
        <v>94</v>
      </c>
      <c r="Z42" s="141"/>
      <c r="AA42" s="135"/>
      <c r="AB42" s="360"/>
    </row>
    <row r="43" spans="1:32" s="55" customFormat="1" ht="69.95" customHeight="1" x14ac:dyDescent="0.15">
      <c r="A43" s="559"/>
      <c r="B43" s="186">
        <f>$I$6</f>
        <v>322</v>
      </c>
      <c r="C43" s="395" t="str">
        <f>$A$6</f>
        <v>LB</v>
      </c>
      <c r="D43" s="396"/>
      <c r="E43" s="397"/>
      <c r="F43" s="395" t="str">
        <f>$A$6</f>
        <v>LB</v>
      </c>
      <c r="G43" s="396"/>
      <c r="H43" s="397"/>
      <c r="I43" s="563"/>
      <c r="J43" s="144"/>
      <c r="K43" s="139">
        <v>250</v>
      </c>
      <c r="L43" s="145" t="s">
        <v>61</v>
      </c>
      <c r="M43" s="78">
        <f t="shared" ref="M43" si="19">K43*B43/2500</f>
        <v>32.200000000000003</v>
      </c>
      <c r="N43" s="146"/>
      <c r="O43" s="147"/>
      <c r="P43" s="145" t="s">
        <v>10</v>
      </c>
      <c r="Q43" s="447"/>
      <c r="R43" s="161"/>
      <c r="S43" s="148" t="s">
        <v>10</v>
      </c>
      <c r="T43" s="84">
        <f t="shared" ref="T43" si="20">R43-M43</f>
        <v>-32.200000000000003</v>
      </c>
      <c r="U43" s="149"/>
      <c r="V43" s="149"/>
      <c r="W43" s="150"/>
      <c r="X43" s="151"/>
      <c r="Y43" s="557"/>
      <c r="Z43" s="216"/>
      <c r="AA43" s="217"/>
      <c r="AB43" s="361"/>
      <c r="AC43" s="471"/>
      <c r="AD43" s="472"/>
      <c r="AE43" s="472"/>
      <c r="AF43" s="472"/>
    </row>
    <row r="44" spans="1:32" s="143" customFormat="1" ht="69.95" customHeight="1" x14ac:dyDescent="0.15">
      <c r="A44" s="432"/>
      <c r="B44" s="186">
        <f>$I$7</f>
        <v>341</v>
      </c>
      <c r="C44" s="395" t="str">
        <f>$A$7</f>
        <v>DG</v>
      </c>
      <c r="D44" s="396"/>
      <c r="E44" s="397"/>
      <c r="F44" s="395" t="str">
        <f>$A$7</f>
        <v>DG</v>
      </c>
      <c r="G44" s="396"/>
      <c r="H44" s="397"/>
      <c r="I44" s="442"/>
      <c r="J44" s="144"/>
      <c r="K44" s="139">
        <v>250</v>
      </c>
      <c r="L44" s="145" t="s">
        <v>61</v>
      </c>
      <c r="M44" s="78">
        <f t="shared" si="18"/>
        <v>34.1</v>
      </c>
      <c r="N44" s="146"/>
      <c r="O44" s="147"/>
      <c r="P44" s="145" t="s">
        <v>10</v>
      </c>
      <c r="Q44" s="444"/>
      <c r="R44" s="161"/>
      <c r="S44" s="148" t="s">
        <v>10</v>
      </c>
      <c r="T44" s="84">
        <f t="shared" si="3"/>
        <v>-34.1</v>
      </c>
      <c r="U44" s="149"/>
      <c r="V44" s="149"/>
      <c r="W44" s="150"/>
      <c r="X44" s="151"/>
      <c r="Y44" s="446"/>
      <c r="Z44" s="216"/>
      <c r="AA44" s="217"/>
      <c r="AB44" s="362"/>
    </row>
    <row r="45" spans="1:32" s="143" customFormat="1" ht="69.95" customHeight="1" x14ac:dyDescent="0.15">
      <c r="A45" s="431" t="s">
        <v>348</v>
      </c>
      <c r="B45" s="182">
        <f>$I$5</f>
        <v>324</v>
      </c>
      <c r="C45" s="461" t="str">
        <f>$A$5</f>
        <v>CR</v>
      </c>
      <c r="D45" s="461"/>
      <c r="E45" s="461"/>
      <c r="F45" s="461" t="str">
        <f>$A$5</f>
        <v>CR</v>
      </c>
      <c r="G45" s="461"/>
      <c r="H45" s="461"/>
      <c r="I45" s="441" t="s">
        <v>62</v>
      </c>
      <c r="J45" s="76"/>
      <c r="K45" s="139">
        <v>300</v>
      </c>
      <c r="L45" s="77" t="s">
        <v>61</v>
      </c>
      <c r="M45" s="78">
        <f t="shared" ref="M45:M47" si="21">K45*B45/2500</f>
        <v>38.880000000000003</v>
      </c>
      <c r="N45" s="79"/>
      <c r="O45" s="78"/>
      <c r="P45" s="80" t="s">
        <v>10</v>
      </c>
      <c r="Q45" s="443"/>
      <c r="R45" s="78"/>
      <c r="S45" s="80" t="s">
        <v>10</v>
      </c>
      <c r="T45" s="81">
        <f t="shared" ref="T45:T47" si="22">R45-M45</f>
        <v>-38.880000000000003</v>
      </c>
      <c r="U45" s="82"/>
      <c r="V45" s="137"/>
      <c r="W45" s="78"/>
      <c r="X45" s="78"/>
      <c r="Y45" s="445" t="s">
        <v>94</v>
      </c>
      <c r="Z45" s="141"/>
      <c r="AA45" s="135"/>
      <c r="AB45" s="360"/>
    </row>
    <row r="46" spans="1:32" s="55" customFormat="1" ht="69.95" customHeight="1" x14ac:dyDescent="0.15">
      <c r="A46" s="559"/>
      <c r="B46" s="186">
        <f>$I$6</f>
        <v>322</v>
      </c>
      <c r="C46" s="395" t="str">
        <f>$A$6</f>
        <v>LB</v>
      </c>
      <c r="D46" s="396"/>
      <c r="E46" s="397"/>
      <c r="F46" s="395" t="str">
        <f>$A$6</f>
        <v>LB</v>
      </c>
      <c r="G46" s="396"/>
      <c r="H46" s="397"/>
      <c r="I46" s="563"/>
      <c r="J46" s="144"/>
      <c r="K46" s="139">
        <v>300</v>
      </c>
      <c r="L46" s="145" t="s">
        <v>61</v>
      </c>
      <c r="M46" s="78">
        <f t="shared" si="21"/>
        <v>38.64</v>
      </c>
      <c r="N46" s="146"/>
      <c r="O46" s="147"/>
      <c r="P46" s="145" t="s">
        <v>10</v>
      </c>
      <c r="Q46" s="447"/>
      <c r="R46" s="161"/>
      <c r="S46" s="148" t="s">
        <v>10</v>
      </c>
      <c r="T46" s="84">
        <f t="shared" si="22"/>
        <v>-38.64</v>
      </c>
      <c r="U46" s="149"/>
      <c r="V46" s="149"/>
      <c r="W46" s="150"/>
      <c r="X46" s="151"/>
      <c r="Y46" s="557"/>
      <c r="Z46" s="216"/>
      <c r="AA46" s="217"/>
      <c r="AB46" s="361"/>
      <c r="AC46" s="471"/>
      <c r="AD46" s="472"/>
      <c r="AE46" s="472"/>
      <c r="AF46" s="472"/>
    </row>
    <row r="47" spans="1:32" s="143" customFormat="1" ht="69.95" customHeight="1" x14ac:dyDescent="0.15">
      <c r="A47" s="432"/>
      <c r="B47" s="186">
        <f>$I$7</f>
        <v>341</v>
      </c>
      <c r="C47" s="395" t="str">
        <f>$A$7</f>
        <v>DG</v>
      </c>
      <c r="D47" s="396"/>
      <c r="E47" s="397"/>
      <c r="F47" s="395" t="str">
        <f>$A$7</f>
        <v>DG</v>
      </c>
      <c r="G47" s="396"/>
      <c r="H47" s="397"/>
      <c r="I47" s="442"/>
      <c r="J47" s="144"/>
      <c r="K47" s="139">
        <v>300</v>
      </c>
      <c r="L47" s="145" t="s">
        <v>61</v>
      </c>
      <c r="M47" s="78">
        <f t="shared" si="21"/>
        <v>40.92</v>
      </c>
      <c r="N47" s="146"/>
      <c r="O47" s="147"/>
      <c r="P47" s="145" t="s">
        <v>10</v>
      </c>
      <c r="Q47" s="444"/>
      <c r="R47" s="161"/>
      <c r="S47" s="148" t="s">
        <v>10</v>
      </c>
      <c r="T47" s="84">
        <f t="shared" si="22"/>
        <v>-40.92</v>
      </c>
      <c r="U47" s="149"/>
      <c r="V47" s="149"/>
      <c r="W47" s="150"/>
      <c r="X47" s="151"/>
      <c r="Y47" s="446"/>
      <c r="Z47" s="216"/>
      <c r="AA47" s="217"/>
      <c r="AB47" s="362"/>
    </row>
    <row r="48" spans="1:32" s="143" customFormat="1" ht="69.95" customHeight="1" x14ac:dyDescent="0.15">
      <c r="A48" s="431" t="s">
        <v>285</v>
      </c>
      <c r="B48" s="182">
        <f>$I$5</f>
        <v>324</v>
      </c>
      <c r="C48" s="461" t="str">
        <f>$A$5</f>
        <v>CR</v>
      </c>
      <c r="D48" s="461"/>
      <c r="E48" s="461"/>
      <c r="F48" s="461" t="str">
        <f>$A$5</f>
        <v>CR</v>
      </c>
      <c r="G48" s="461"/>
      <c r="H48" s="461"/>
      <c r="I48" s="441" t="s">
        <v>60</v>
      </c>
      <c r="J48" s="76"/>
      <c r="K48" s="139">
        <v>10</v>
      </c>
      <c r="L48" s="77" t="s">
        <v>61</v>
      </c>
      <c r="M48" s="78">
        <f t="shared" ref="M48:M50" si="23">K48*B48/2500</f>
        <v>1.296</v>
      </c>
      <c r="N48" s="79"/>
      <c r="O48" s="78"/>
      <c r="P48" s="80" t="s">
        <v>10</v>
      </c>
      <c r="Q48" s="443"/>
      <c r="R48" s="78"/>
      <c r="S48" s="80" t="s">
        <v>10</v>
      </c>
      <c r="T48" s="81">
        <f t="shared" ref="T48:T50" si="24">R48-M48</f>
        <v>-1.296</v>
      </c>
      <c r="U48" s="82"/>
      <c r="V48" s="137"/>
      <c r="W48" s="78"/>
      <c r="X48" s="78"/>
      <c r="Y48" s="445" t="s">
        <v>94</v>
      </c>
      <c r="Z48" s="141"/>
      <c r="AA48" s="135"/>
      <c r="AB48" s="360"/>
    </row>
    <row r="49" spans="1:32" s="55" customFormat="1" ht="69.95" customHeight="1" x14ac:dyDescent="0.15">
      <c r="A49" s="559"/>
      <c r="B49" s="186">
        <f>$I$6</f>
        <v>322</v>
      </c>
      <c r="C49" s="395" t="str">
        <f>$A$6</f>
        <v>LB</v>
      </c>
      <c r="D49" s="396"/>
      <c r="E49" s="397"/>
      <c r="F49" s="395" t="str">
        <f>$A$6</f>
        <v>LB</v>
      </c>
      <c r="G49" s="396"/>
      <c r="H49" s="397"/>
      <c r="I49" s="563"/>
      <c r="J49" s="144"/>
      <c r="K49" s="139">
        <v>10</v>
      </c>
      <c r="L49" s="145" t="s">
        <v>61</v>
      </c>
      <c r="M49" s="78">
        <f t="shared" si="23"/>
        <v>1.288</v>
      </c>
      <c r="N49" s="146"/>
      <c r="O49" s="147"/>
      <c r="P49" s="145" t="s">
        <v>10</v>
      </c>
      <c r="Q49" s="447"/>
      <c r="R49" s="161"/>
      <c r="S49" s="148" t="s">
        <v>10</v>
      </c>
      <c r="T49" s="84">
        <f t="shared" si="24"/>
        <v>-1.288</v>
      </c>
      <c r="U49" s="149"/>
      <c r="V49" s="149"/>
      <c r="W49" s="150"/>
      <c r="X49" s="151"/>
      <c r="Y49" s="557"/>
      <c r="Z49" s="216"/>
      <c r="AA49" s="217"/>
      <c r="AB49" s="361"/>
      <c r="AC49" s="471"/>
      <c r="AD49" s="472"/>
      <c r="AE49" s="472"/>
      <c r="AF49" s="472"/>
    </row>
    <row r="50" spans="1:32" s="143" customFormat="1" ht="69.95" customHeight="1" x14ac:dyDescent="0.15">
      <c r="A50" s="559"/>
      <c r="B50" s="186">
        <f>$I$7</f>
        <v>341</v>
      </c>
      <c r="C50" s="395" t="str">
        <f>$A$7</f>
        <v>DG</v>
      </c>
      <c r="D50" s="396"/>
      <c r="E50" s="397"/>
      <c r="F50" s="395" t="str">
        <f>$A$7</f>
        <v>DG</v>
      </c>
      <c r="G50" s="396"/>
      <c r="H50" s="397"/>
      <c r="I50" s="442"/>
      <c r="J50" s="144"/>
      <c r="K50" s="139">
        <v>10</v>
      </c>
      <c r="L50" s="145" t="s">
        <v>61</v>
      </c>
      <c r="M50" s="78">
        <f t="shared" si="23"/>
        <v>1.3640000000000001</v>
      </c>
      <c r="N50" s="146"/>
      <c r="O50" s="147"/>
      <c r="P50" s="145" t="s">
        <v>10</v>
      </c>
      <c r="Q50" s="447"/>
      <c r="R50" s="161"/>
      <c r="S50" s="148" t="s">
        <v>10</v>
      </c>
      <c r="T50" s="84">
        <f t="shared" si="24"/>
        <v>-1.3640000000000001</v>
      </c>
      <c r="U50" s="149"/>
      <c r="V50" s="149"/>
      <c r="W50" s="150"/>
      <c r="X50" s="151"/>
      <c r="Y50" s="557"/>
      <c r="Z50" s="216"/>
      <c r="AA50" s="217"/>
      <c r="AB50" s="361"/>
    </row>
    <row r="51" spans="1:32" s="206" customFormat="1" ht="69.95" customHeight="1" x14ac:dyDescent="0.15">
      <c r="A51" s="431" t="s">
        <v>117</v>
      </c>
      <c r="B51" s="191">
        <f t="shared" ref="B51:B53" si="25">$I$5</f>
        <v>324</v>
      </c>
      <c r="C51" s="422" t="str">
        <f t="shared" ref="C51:C53" si="26">$A$5</f>
        <v>CR</v>
      </c>
      <c r="D51" s="423"/>
      <c r="E51" s="424"/>
      <c r="F51" s="425"/>
      <c r="G51" s="423"/>
      <c r="H51" s="424"/>
      <c r="I51" s="433" t="s">
        <v>80</v>
      </c>
      <c r="J51" s="192"/>
      <c r="K51" s="193"/>
      <c r="L51" s="194" t="s">
        <v>65</v>
      </c>
      <c r="M51" s="195">
        <f t="shared" ref="M51:M67" si="27">K51*B51</f>
        <v>0</v>
      </c>
      <c r="N51" s="196"/>
      <c r="O51" s="195"/>
      <c r="P51" s="194" t="s">
        <v>65</v>
      </c>
      <c r="Q51" s="435"/>
      <c r="R51" s="195"/>
      <c r="S51" s="194" t="s">
        <v>65</v>
      </c>
      <c r="T51" s="205">
        <f t="shared" si="3"/>
        <v>0</v>
      </c>
      <c r="U51" s="199"/>
      <c r="V51" s="199"/>
      <c r="W51" s="208"/>
      <c r="X51" s="198"/>
      <c r="Y51" s="437" t="s">
        <v>57</v>
      </c>
      <c r="Z51" s="231"/>
      <c r="AA51" s="232"/>
      <c r="AB51" s="439"/>
      <c r="AC51" s="234"/>
      <c r="AD51" s="230"/>
      <c r="AE51" s="230"/>
      <c r="AF51" s="230"/>
    </row>
    <row r="52" spans="1:32" s="55" customFormat="1" ht="69.95" customHeight="1" x14ac:dyDescent="0.15">
      <c r="A52" s="432"/>
      <c r="B52" s="204">
        <f>$I$6</f>
        <v>322</v>
      </c>
      <c r="C52" s="453" t="str">
        <f>$A$6</f>
        <v>LB</v>
      </c>
      <c r="D52" s="454"/>
      <c r="E52" s="455"/>
      <c r="F52" s="425"/>
      <c r="G52" s="423"/>
      <c r="H52" s="424"/>
      <c r="I52" s="434"/>
      <c r="J52" s="192"/>
      <c r="K52" s="193"/>
      <c r="L52" s="194" t="s">
        <v>65</v>
      </c>
      <c r="M52" s="195">
        <f t="shared" si="27"/>
        <v>0</v>
      </c>
      <c r="N52" s="233"/>
      <c r="O52" s="195"/>
      <c r="P52" s="194" t="s">
        <v>65</v>
      </c>
      <c r="Q52" s="436"/>
      <c r="R52" s="195"/>
      <c r="S52" s="194" t="s">
        <v>65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202"/>
      <c r="AB52" s="440"/>
    </row>
    <row r="53" spans="1:32" s="55" customFormat="1" ht="69.95" customHeight="1" x14ac:dyDescent="0.15">
      <c r="A53" s="431" t="s">
        <v>78</v>
      </c>
      <c r="B53" s="191">
        <f t="shared" si="25"/>
        <v>324</v>
      </c>
      <c r="C53" s="422" t="str">
        <f t="shared" si="26"/>
        <v>CR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si="27"/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57</v>
      </c>
      <c r="Z53" s="231"/>
      <c r="AA53" s="232"/>
      <c r="AB53" s="439"/>
      <c r="AC53" s="142"/>
      <c r="AD53" s="179"/>
      <c r="AE53" s="179"/>
      <c r="AF53" s="179"/>
    </row>
    <row r="54" spans="1:32" s="206" customFormat="1" ht="69.95" customHeight="1" x14ac:dyDescent="0.15">
      <c r="A54" s="432"/>
      <c r="B54" s="204">
        <f>$I$6</f>
        <v>322</v>
      </c>
      <c r="C54" s="453" t="str">
        <f>$A$6</f>
        <v>LB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27"/>
        <v>0</v>
      </c>
      <c r="N54" s="233"/>
      <c r="O54" s="195"/>
      <c r="P54" s="194" t="s">
        <v>65</v>
      </c>
      <c r="Q54" s="436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438"/>
      <c r="Z54" s="201"/>
      <c r="AA54" s="202"/>
      <c r="AB54" s="440"/>
      <c r="AC54" s="234"/>
      <c r="AD54" s="230"/>
      <c r="AE54" s="230"/>
      <c r="AF54" s="230"/>
    </row>
    <row r="55" spans="1:32" s="206" customFormat="1" ht="69.95" customHeight="1" x14ac:dyDescent="0.15">
      <c r="A55" s="431" t="s">
        <v>100</v>
      </c>
      <c r="B55" s="191">
        <f t="shared" ref="B55:B64" si="28">$I$5</f>
        <v>324</v>
      </c>
      <c r="C55" s="422" t="str">
        <f t="shared" ref="C55:C64" si="29">$A$5</f>
        <v>CR</v>
      </c>
      <c r="D55" s="423"/>
      <c r="E55" s="424"/>
      <c r="F55" s="425"/>
      <c r="G55" s="423"/>
      <c r="H55" s="424"/>
      <c r="I55" s="207" t="s">
        <v>101</v>
      </c>
      <c r="J55" s="192"/>
      <c r="K55" s="193"/>
      <c r="L55" s="194" t="s">
        <v>63</v>
      </c>
      <c r="M55" s="195">
        <f t="shared" si="27"/>
        <v>0</v>
      </c>
      <c r="N55" s="196"/>
      <c r="O55" s="195"/>
      <c r="P55" s="197" t="s">
        <v>63</v>
      </c>
      <c r="Q55" s="435"/>
      <c r="R55" s="195"/>
      <c r="S55" s="197" t="s">
        <v>63</v>
      </c>
      <c r="T55" s="205">
        <f t="shared" si="3"/>
        <v>0</v>
      </c>
      <c r="U55" s="199"/>
      <c r="V55" s="199"/>
      <c r="W55" s="208"/>
      <c r="X55" s="198"/>
      <c r="Y55" s="437" t="s">
        <v>94</v>
      </c>
      <c r="Z55" s="231"/>
      <c r="AA55" s="232"/>
      <c r="AB55" s="439"/>
      <c r="AC55" s="234"/>
      <c r="AD55" s="230"/>
      <c r="AE55" s="230"/>
      <c r="AF55" s="230"/>
    </row>
    <row r="56" spans="1:32" s="206" customFormat="1" ht="69.95" customHeight="1" x14ac:dyDescent="0.15">
      <c r="A56" s="432"/>
      <c r="B56" s="204">
        <f>$I$6</f>
        <v>322</v>
      </c>
      <c r="C56" s="453" t="str">
        <f>$A$6</f>
        <v>LB</v>
      </c>
      <c r="D56" s="454"/>
      <c r="E56" s="455"/>
      <c r="F56" s="425"/>
      <c r="G56" s="423"/>
      <c r="H56" s="424"/>
      <c r="I56" s="207" t="s">
        <v>101</v>
      </c>
      <c r="J56" s="192"/>
      <c r="K56" s="193"/>
      <c r="L56" s="194" t="s">
        <v>63</v>
      </c>
      <c r="M56" s="195">
        <f t="shared" si="27"/>
        <v>0</v>
      </c>
      <c r="N56" s="233"/>
      <c r="O56" s="195"/>
      <c r="P56" s="197" t="s">
        <v>63</v>
      </c>
      <c r="Q56" s="436"/>
      <c r="R56" s="195"/>
      <c r="S56" s="197" t="s">
        <v>63</v>
      </c>
      <c r="T56" s="198">
        <f t="shared" si="3"/>
        <v>0</v>
      </c>
      <c r="U56" s="199"/>
      <c r="V56" s="200"/>
      <c r="W56" s="195"/>
      <c r="X56" s="195"/>
      <c r="Y56" s="438"/>
      <c r="Z56" s="201"/>
      <c r="AA56" s="202"/>
      <c r="AB56" s="440"/>
    </row>
    <row r="57" spans="1:32" s="206" customFormat="1" ht="69.95" customHeight="1" x14ac:dyDescent="0.15">
      <c r="A57" s="431" t="s">
        <v>265</v>
      </c>
      <c r="B57" s="191">
        <f t="shared" ref="B57" si="30">$I$5</f>
        <v>324</v>
      </c>
      <c r="C57" s="422" t="str">
        <f t="shared" si="29"/>
        <v>CR</v>
      </c>
      <c r="D57" s="423"/>
      <c r="E57" s="424"/>
      <c r="F57" s="425"/>
      <c r="G57" s="426"/>
      <c r="H57" s="427"/>
      <c r="I57" s="215"/>
      <c r="J57" s="192"/>
      <c r="K57" s="193">
        <v>2</v>
      </c>
      <c r="L57" s="194" t="s">
        <v>267</v>
      </c>
      <c r="M57" s="321">
        <f t="shared" si="27"/>
        <v>648</v>
      </c>
      <c r="N57" s="233"/>
      <c r="O57" s="195"/>
      <c r="P57" s="197"/>
      <c r="Q57" s="317"/>
      <c r="R57" s="195"/>
      <c r="S57" s="197" t="s">
        <v>264</v>
      </c>
      <c r="T57" s="322">
        <f t="shared" si="3"/>
        <v>-648</v>
      </c>
      <c r="U57" s="199"/>
      <c r="V57" s="200"/>
      <c r="W57" s="195"/>
      <c r="X57" s="195"/>
      <c r="Y57" s="437" t="s">
        <v>64</v>
      </c>
      <c r="Z57" s="201"/>
      <c r="AA57" s="202"/>
      <c r="AB57" s="439"/>
      <c r="AC57" s="234"/>
      <c r="AD57" s="230"/>
      <c r="AE57" s="230"/>
      <c r="AF57" s="230"/>
    </row>
    <row r="58" spans="1:32" s="206" customFormat="1" ht="69.95" customHeight="1" x14ac:dyDescent="0.15">
      <c r="A58" s="432"/>
      <c r="B58" s="204">
        <f>$I$6</f>
        <v>322</v>
      </c>
      <c r="C58" s="422" t="str">
        <f>$A$6</f>
        <v>LB</v>
      </c>
      <c r="D58" s="423"/>
      <c r="E58" s="424"/>
      <c r="F58" s="425"/>
      <c r="G58" s="426"/>
      <c r="H58" s="427"/>
      <c r="I58" s="215"/>
      <c r="J58" s="192"/>
      <c r="K58" s="193">
        <v>2</v>
      </c>
      <c r="L58" s="194" t="s">
        <v>267</v>
      </c>
      <c r="M58" s="321">
        <f t="shared" si="27"/>
        <v>644</v>
      </c>
      <c r="N58" s="233"/>
      <c r="O58" s="195"/>
      <c r="P58" s="197"/>
      <c r="Q58" s="317"/>
      <c r="R58" s="195"/>
      <c r="S58" s="197" t="s">
        <v>264</v>
      </c>
      <c r="T58" s="322">
        <f t="shared" si="3"/>
        <v>-644</v>
      </c>
      <c r="U58" s="199"/>
      <c r="V58" s="200"/>
      <c r="W58" s="195"/>
      <c r="X58" s="195"/>
      <c r="Y58" s="438"/>
      <c r="Z58" s="201"/>
      <c r="AA58" s="202"/>
      <c r="AB58" s="440"/>
      <c r="AC58" s="234"/>
      <c r="AD58" s="230"/>
      <c r="AE58" s="230"/>
      <c r="AF58" s="230"/>
    </row>
    <row r="59" spans="1:32" s="55" customFormat="1" ht="69.95" customHeight="1" x14ac:dyDescent="0.15">
      <c r="A59" s="431" t="s">
        <v>90</v>
      </c>
      <c r="B59" s="182">
        <f t="shared" si="28"/>
        <v>324</v>
      </c>
      <c r="C59" s="368" t="str">
        <f t="shared" si="29"/>
        <v>CR</v>
      </c>
      <c r="D59" s="369"/>
      <c r="E59" s="370"/>
      <c r="F59" s="428"/>
      <c r="G59" s="429"/>
      <c r="H59" s="430"/>
      <c r="I59" s="75" t="s">
        <v>121</v>
      </c>
      <c r="J59" s="76"/>
      <c r="K59" s="139">
        <v>1</v>
      </c>
      <c r="L59" s="77" t="s">
        <v>63</v>
      </c>
      <c r="M59" s="78">
        <f t="shared" si="27"/>
        <v>324</v>
      </c>
      <c r="N59" s="79"/>
      <c r="O59" s="78"/>
      <c r="P59" s="80" t="s">
        <v>63</v>
      </c>
      <c r="Q59" s="443"/>
      <c r="R59" s="78"/>
      <c r="S59" s="80" t="s">
        <v>63</v>
      </c>
      <c r="T59" s="84">
        <f t="shared" si="3"/>
        <v>-324</v>
      </c>
      <c r="U59" s="82"/>
      <c r="V59" s="82"/>
      <c r="W59" s="83"/>
      <c r="X59" s="81"/>
      <c r="Y59" s="445" t="s">
        <v>64</v>
      </c>
      <c r="Z59" s="86"/>
      <c r="AA59" s="85"/>
      <c r="AB59" s="360"/>
    </row>
    <row r="60" spans="1:32" s="55" customFormat="1" ht="69.95" customHeight="1" x14ac:dyDescent="0.15">
      <c r="A60" s="559"/>
      <c r="B60" s="186">
        <f>$I$6</f>
        <v>322</v>
      </c>
      <c r="C60" s="368" t="str">
        <f>$A$6</f>
        <v>LB</v>
      </c>
      <c r="D60" s="369"/>
      <c r="E60" s="370"/>
      <c r="F60" s="428"/>
      <c r="G60" s="429"/>
      <c r="H60" s="430"/>
      <c r="I60" s="75" t="s">
        <v>121</v>
      </c>
      <c r="J60" s="76"/>
      <c r="K60" s="139">
        <v>1</v>
      </c>
      <c r="L60" s="77" t="s">
        <v>63</v>
      </c>
      <c r="M60" s="78">
        <f t="shared" ref="M60" si="31">K60*B60</f>
        <v>322</v>
      </c>
      <c r="N60" s="140"/>
      <c r="O60" s="78"/>
      <c r="P60" s="80" t="s">
        <v>63</v>
      </c>
      <c r="Q60" s="447"/>
      <c r="R60" s="78"/>
      <c r="S60" s="80" t="s">
        <v>63</v>
      </c>
      <c r="T60" s="81">
        <f t="shared" ref="T60" si="32">R60-M60</f>
        <v>-322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6">
        <f>$I$7</f>
        <v>341</v>
      </c>
      <c r="C61" s="368" t="str">
        <f>$A$7</f>
        <v>DG</v>
      </c>
      <c r="D61" s="369"/>
      <c r="E61" s="370"/>
      <c r="F61" s="428"/>
      <c r="G61" s="429"/>
      <c r="H61" s="430"/>
      <c r="I61" s="75" t="s">
        <v>121</v>
      </c>
      <c r="J61" s="76"/>
      <c r="K61" s="139">
        <v>1</v>
      </c>
      <c r="L61" s="77" t="s">
        <v>63</v>
      </c>
      <c r="M61" s="78">
        <f t="shared" si="27"/>
        <v>341</v>
      </c>
      <c r="N61" s="140"/>
      <c r="O61" s="78"/>
      <c r="P61" s="80" t="s">
        <v>63</v>
      </c>
      <c r="Q61" s="444"/>
      <c r="R61" s="78"/>
      <c r="S61" s="80" t="s">
        <v>63</v>
      </c>
      <c r="T61" s="81">
        <f t="shared" si="3"/>
        <v>-341</v>
      </c>
      <c r="U61" s="82"/>
      <c r="V61" s="137"/>
      <c r="W61" s="78"/>
      <c r="X61" s="78"/>
      <c r="Y61" s="446"/>
      <c r="Z61" s="141"/>
      <c r="AA61" s="135"/>
      <c r="AB61" s="362"/>
    </row>
    <row r="62" spans="1:32" s="55" customFormat="1" ht="69.95" customHeight="1" x14ac:dyDescent="0.15">
      <c r="A62" s="431" t="s">
        <v>91</v>
      </c>
      <c r="B62" s="191">
        <f t="shared" si="28"/>
        <v>324</v>
      </c>
      <c r="C62" s="422" t="str">
        <f t="shared" si="29"/>
        <v>CR</v>
      </c>
      <c r="D62" s="423"/>
      <c r="E62" s="424"/>
      <c r="F62" s="425"/>
      <c r="G62" s="426"/>
      <c r="H62" s="427"/>
      <c r="I62" s="207" t="s">
        <v>75</v>
      </c>
      <c r="J62" s="192"/>
      <c r="K62" s="193"/>
      <c r="L62" s="194" t="s">
        <v>63</v>
      </c>
      <c r="M62" s="195">
        <f t="shared" si="27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  <c r="AC62" s="142"/>
      <c r="AD62" s="179"/>
      <c r="AE62" s="179"/>
      <c r="AF62" s="179"/>
    </row>
    <row r="63" spans="1:32" s="55" customFormat="1" ht="69.95" customHeight="1" x14ac:dyDescent="0.15">
      <c r="A63" s="432"/>
      <c r="B63" s="204">
        <f>$I$6</f>
        <v>322</v>
      </c>
      <c r="C63" s="422" t="str">
        <f>$A$6</f>
        <v>LB</v>
      </c>
      <c r="D63" s="423"/>
      <c r="E63" s="424"/>
      <c r="F63" s="425"/>
      <c r="G63" s="426"/>
      <c r="H63" s="427"/>
      <c r="I63" s="207" t="s">
        <v>75</v>
      </c>
      <c r="J63" s="192"/>
      <c r="K63" s="193"/>
      <c r="L63" s="194" t="s">
        <v>63</v>
      </c>
      <c r="M63" s="195">
        <f t="shared" si="27"/>
        <v>0</v>
      </c>
      <c r="N63" s="233"/>
      <c r="O63" s="195"/>
      <c r="P63" s="197" t="s">
        <v>63</v>
      </c>
      <c r="Q63" s="436"/>
      <c r="R63" s="195"/>
      <c r="S63" s="197" t="s">
        <v>63</v>
      </c>
      <c r="T63" s="198">
        <f t="shared" si="3"/>
        <v>0</v>
      </c>
      <c r="U63" s="199"/>
      <c r="V63" s="200"/>
      <c r="W63" s="195"/>
      <c r="X63" s="195"/>
      <c r="Y63" s="438"/>
      <c r="Z63" s="201"/>
      <c r="AA63" s="202"/>
      <c r="AB63" s="440"/>
    </row>
    <row r="64" spans="1:32" s="55" customFormat="1" ht="69.95" customHeight="1" x14ac:dyDescent="0.15">
      <c r="A64" s="431" t="s">
        <v>255</v>
      </c>
      <c r="B64" s="191">
        <f t="shared" si="28"/>
        <v>324</v>
      </c>
      <c r="C64" s="422" t="str">
        <f t="shared" si="29"/>
        <v>CR</v>
      </c>
      <c r="D64" s="423"/>
      <c r="E64" s="424"/>
      <c r="F64" s="425"/>
      <c r="G64" s="426"/>
      <c r="H64" s="427"/>
      <c r="I64" s="207" t="s">
        <v>79</v>
      </c>
      <c r="J64" s="192"/>
      <c r="K64" s="193">
        <v>4</v>
      </c>
      <c r="L64" s="194" t="s">
        <v>65</v>
      </c>
      <c r="M64" s="195">
        <f t="shared" si="27"/>
        <v>1296</v>
      </c>
      <c r="N64" s="196"/>
      <c r="O64" s="195"/>
      <c r="P64" s="197" t="s">
        <v>63</v>
      </c>
      <c r="Q64" s="435"/>
      <c r="R64" s="195"/>
      <c r="S64" s="197" t="s">
        <v>63</v>
      </c>
      <c r="T64" s="205">
        <f t="shared" si="3"/>
        <v>-1296</v>
      </c>
      <c r="U64" s="199"/>
      <c r="V64" s="199"/>
      <c r="W64" s="208"/>
      <c r="X64" s="198"/>
      <c r="Y64" s="437" t="s">
        <v>64</v>
      </c>
      <c r="Z64" s="231"/>
      <c r="AA64" s="232"/>
      <c r="AB64" s="439"/>
      <c r="AC64" s="142"/>
      <c r="AD64" s="179"/>
      <c r="AE64" s="179"/>
      <c r="AF64" s="179"/>
    </row>
    <row r="65" spans="1:32" s="55" customFormat="1" ht="69.95" customHeight="1" x14ac:dyDescent="0.15">
      <c r="A65" s="432"/>
      <c r="B65" s="204">
        <f>$I$6</f>
        <v>322</v>
      </c>
      <c r="C65" s="422" t="str">
        <f>$A$6</f>
        <v>LB</v>
      </c>
      <c r="D65" s="423"/>
      <c r="E65" s="424"/>
      <c r="F65" s="425"/>
      <c r="G65" s="426"/>
      <c r="H65" s="427"/>
      <c r="I65" s="207" t="s">
        <v>79</v>
      </c>
      <c r="J65" s="192"/>
      <c r="K65" s="193">
        <v>4</v>
      </c>
      <c r="L65" s="194" t="s">
        <v>65</v>
      </c>
      <c r="M65" s="195">
        <f t="shared" si="27"/>
        <v>1288</v>
      </c>
      <c r="N65" s="233"/>
      <c r="O65" s="195"/>
      <c r="P65" s="197" t="s">
        <v>63</v>
      </c>
      <c r="Q65" s="436"/>
      <c r="R65" s="195"/>
      <c r="S65" s="197" t="s">
        <v>63</v>
      </c>
      <c r="T65" s="198">
        <f t="shared" si="3"/>
        <v>-1288</v>
      </c>
      <c r="U65" s="199"/>
      <c r="V65" s="200"/>
      <c r="W65" s="195"/>
      <c r="X65" s="195"/>
      <c r="Y65" s="438"/>
      <c r="Z65" s="201"/>
      <c r="AA65" s="202"/>
      <c r="AB65" s="440"/>
    </row>
    <row r="66" spans="1:32" s="55" customFormat="1" ht="69.95" customHeight="1" x14ac:dyDescent="0.15">
      <c r="A66" s="431" t="s">
        <v>103</v>
      </c>
      <c r="B66" s="191">
        <f t="shared" ref="B66" si="33">$I$5</f>
        <v>324</v>
      </c>
      <c r="C66" s="422" t="str">
        <f t="shared" ref="C66" si="34">$A$5</f>
        <v>CR</v>
      </c>
      <c r="D66" s="423"/>
      <c r="E66" s="424"/>
      <c r="F66" s="425"/>
      <c r="G66" s="426"/>
      <c r="H66" s="427"/>
      <c r="I66" s="207"/>
      <c r="J66" s="192"/>
      <c r="K66" s="193"/>
      <c r="L66" s="194" t="s">
        <v>65</v>
      </c>
      <c r="M66" s="195">
        <f t="shared" si="27"/>
        <v>0</v>
      </c>
      <c r="N66" s="196"/>
      <c r="O66" s="195"/>
      <c r="P66" s="197" t="s">
        <v>65</v>
      </c>
      <c r="Q66" s="435"/>
      <c r="R66" s="195"/>
      <c r="S66" s="197" t="s">
        <v>65</v>
      </c>
      <c r="T66" s="205">
        <f t="shared" si="3"/>
        <v>0</v>
      </c>
      <c r="U66" s="199"/>
      <c r="V66" s="199"/>
      <c r="W66" s="208"/>
      <c r="X66" s="198"/>
      <c r="Y66" s="437" t="s">
        <v>94</v>
      </c>
      <c r="Z66" s="231"/>
      <c r="AA66" s="232"/>
      <c r="AB66" s="439"/>
      <c r="AC66" s="142"/>
      <c r="AD66" s="179"/>
      <c r="AE66" s="179"/>
      <c r="AF66" s="179"/>
    </row>
    <row r="67" spans="1:32" s="206" customFormat="1" ht="69.95" customHeight="1" x14ac:dyDescent="0.15">
      <c r="A67" s="432"/>
      <c r="B67" s="204">
        <f>$I$6</f>
        <v>322</v>
      </c>
      <c r="C67" s="422" t="str">
        <f>$A$6</f>
        <v>LB</v>
      </c>
      <c r="D67" s="423"/>
      <c r="E67" s="424"/>
      <c r="F67" s="425"/>
      <c r="G67" s="426"/>
      <c r="H67" s="427"/>
      <c r="I67" s="207"/>
      <c r="J67" s="192"/>
      <c r="K67" s="193"/>
      <c r="L67" s="194" t="s">
        <v>65</v>
      </c>
      <c r="M67" s="195">
        <f t="shared" si="27"/>
        <v>0</v>
      </c>
      <c r="N67" s="233"/>
      <c r="O67" s="195"/>
      <c r="P67" s="197" t="s">
        <v>65</v>
      </c>
      <c r="Q67" s="436"/>
      <c r="R67" s="195"/>
      <c r="S67" s="197" t="s">
        <v>65</v>
      </c>
      <c r="T67" s="198">
        <f t="shared" si="3"/>
        <v>0</v>
      </c>
      <c r="U67" s="199"/>
      <c r="V67" s="200"/>
      <c r="W67" s="195"/>
      <c r="X67" s="195"/>
      <c r="Y67" s="438"/>
      <c r="Z67" s="201"/>
      <c r="AA67" s="202"/>
      <c r="AB67" s="440"/>
    </row>
    <row r="68" spans="1:32" s="206" customFormat="1" ht="69.95" customHeight="1" x14ac:dyDescent="0.15">
      <c r="A68" s="431" t="s">
        <v>256</v>
      </c>
      <c r="B68" s="191">
        <f t="shared" ref="B68:B72" si="35">$I$5</f>
        <v>324</v>
      </c>
      <c r="C68" s="422" t="str">
        <f t="shared" ref="C68:C70" si="36">$A$5</f>
        <v>CR</v>
      </c>
      <c r="D68" s="423"/>
      <c r="E68" s="424"/>
      <c r="F68" s="425"/>
      <c r="G68" s="426"/>
      <c r="H68" s="427"/>
      <c r="I68" s="433" t="s">
        <v>102</v>
      </c>
      <c r="J68" s="192"/>
      <c r="K68" s="209">
        <v>0.96</v>
      </c>
      <c r="L68" s="194" t="s">
        <v>129</v>
      </c>
      <c r="M68" s="195">
        <f t="shared" si="6"/>
        <v>311.03999999999996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3"/>
        <v>-311.03999999999996</v>
      </c>
      <c r="U68" s="199"/>
      <c r="V68" s="199"/>
      <c r="W68" s="208"/>
      <c r="X68" s="198"/>
      <c r="Y68" s="437" t="s">
        <v>130</v>
      </c>
      <c r="Z68" s="231"/>
      <c r="AA68" s="232"/>
      <c r="AB68" s="439"/>
      <c r="AC68" s="234"/>
      <c r="AD68" s="230"/>
      <c r="AE68" s="230"/>
      <c r="AF68" s="230"/>
    </row>
    <row r="69" spans="1:32" s="206" customFormat="1" ht="69.95" customHeight="1" x14ac:dyDescent="0.15">
      <c r="A69" s="432"/>
      <c r="B69" s="204">
        <f>$I$6</f>
        <v>322</v>
      </c>
      <c r="C69" s="422" t="str">
        <f>$A$6</f>
        <v>LB</v>
      </c>
      <c r="D69" s="423"/>
      <c r="E69" s="424"/>
      <c r="F69" s="425"/>
      <c r="G69" s="426"/>
      <c r="H69" s="427"/>
      <c r="I69" s="434"/>
      <c r="J69" s="192"/>
      <c r="K69" s="209">
        <v>0.96</v>
      </c>
      <c r="L69" s="194" t="s">
        <v>129</v>
      </c>
      <c r="M69" s="195">
        <f t="shared" si="6"/>
        <v>309.12</v>
      </c>
      <c r="N69" s="233"/>
      <c r="O69" s="195"/>
      <c r="P69" s="197" t="s">
        <v>63</v>
      </c>
      <c r="Q69" s="436"/>
      <c r="R69" s="195"/>
      <c r="S69" s="197" t="s">
        <v>63</v>
      </c>
      <c r="T69" s="198">
        <f t="shared" si="3"/>
        <v>-309.12</v>
      </c>
      <c r="U69" s="199"/>
      <c r="V69" s="200"/>
      <c r="W69" s="195"/>
      <c r="X69" s="195"/>
      <c r="Y69" s="438"/>
      <c r="Z69" s="201"/>
      <c r="AA69" s="202"/>
      <c r="AB69" s="440"/>
      <c r="AC69" s="234"/>
      <c r="AD69" s="230"/>
      <c r="AE69" s="230"/>
      <c r="AF69" s="230"/>
    </row>
    <row r="70" spans="1:32" s="206" customFormat="1" ht="69.95" customHeight="1" x14ac:dyDescent="0.15">
      <c r="A70" s="431" t="s">
        <v>120</v>
      </c>
      <c r="B70" s="191">
        <f t="shared" si="35"/>
        <v>324</v>
      </c>
      <c r="C70" s="422" t="str">
        <f t="shared" si="36"/>
        <v>CR</v>
      </c>
      <c r="D70" s="423"/>
      <c r="E70" s="424"/>
      <c r="F70" s="425"/>
      <c r="G70" s="426"/>
      <c r="H70" s="427"/>
      <c r="I70" s="433" t="s">
        <v>75</v>
      </c>
      <c r="J70" s="192"/>
      <c r="K70" s="193">
        <v>2</v>
      </c>
      <c r="L70" s="194" t="s">
        <v>63</v>
      </c>
      <c r="M70" s="195">
        <f t="shared" si="6"/>
        <v>648</v>
      </c>
      <c r="N70" s="196"/>
      <c r="O70" s="195"/>
      <c r="P70" s="197" t="s">
        <v>63</v>
      </c>
      <c r="Q70" s="435"/>
      <c r="R70" s="195"/>
      <c r="S70" s="197" t="s">
        <v>63</v>
      </c>
      <c r="T70" s="205">
        <f t="shared" si="3"/>
        <v>-648</v>
      </c>
      <c r="U70" s="199"/>
      <c r="V70" s="199"/>
      <c r="W70" s="208"/>
      <c r="X70" s="198"/>
      <c r="Y70" s="437" t="s">
        <v>64</v>
      </c>
      <c r="Z70" s="231"/>
      <c r="AA70" s="232"/>
      <c r="AB70" s="439"/>
      <c r="AC70" s="234"/>
      <c r="AD70" s="230"/>
      <c r="AE70" s="230"/>
      <c r="AF70" s="230"/>
    </row>
    <row r="71" spans="1:32" s="206" customFormat="1" ht="54.95" customHeight="1" x14ac:dyDescent="0.15">
      <c r="A71" s="432"/>
      <c r="B71" s="204">
        <f>$I$6</f>
        <v>322</v>
      </c>
      <c r="C71" s="422" t="str">
        <f>$A$6</f>
        <v>LB</v>
      </c>
      <c r="D71" s="423"/>
      <c r="E71" s="424"/>
      <c r="F71" s="425"/>
      <c r="G71" s="426"/>
      <c r="H71" s="427"/>
      <c r="I71" s="434"/>
      <c r="J71" s="192"/>
      <c r="K71" s="193">
        <v>2</v>
      </c>
      <c r="L71" s="194" t="s">
        <v>63</v>
      </c>
      <c r="M71" s="195">
        <f t="shared" si="6"/>
        <v>644</v>
      </c>
      <c r="N71" s="233"/>
      <c r="O71" s="195"/>
      <c r="P71" s="197" t="s">
        <v>63</v>
      </c>
      <c r="Q71" s="436"/>
      <c r="R71" s="195"/>
      <c r="S71" s="197" t="s">
        <v>63</v>
      </c>
      <c r="T71" s="198">
        <f t="shared" si="3"/>
        <v>-644</v>
      </c>
      <c r="U71" s="199"/>
      <c r="V71" s="200"/>
      <c r="W71" s="195"/>
      <c r="X71" s="195"/>
      <c r="Y71" s="438"/>
      <c r="Z71" s="201"/>
      <c r="AA71" s="202"/>
      <c r="AB71" s="440"/>
    </row>
    <row r="72" spans="1:32" s="55" customFormat="1" ht="54.95" customHeight="1" x14ac:dyDescent="0.15">
      <c r="A72" s="431" t="s">
        <v>266</v>
      </c>
      <c r="B72" s="191">
        <f t="shared" si="35"/>
        <v>324</v>
      </c>
      <c r="C72" s="422"/>
      <c r="D72" s="423"/>
      <c r="E72" s="424"/>
      <c r="F72" s="425"/>
      <c r="G72" s="426"/>
      <c r="H72" s="427"/>
      <c r="I72" s="215"/>
      <c r="J72" s="192"/>
      <c r="K72" s="304">
        <v>1.2</v>
      </c>
      <c r="L72" s="194" t="s">
        <v>264</v>
      </c>
      <c r="M72" s="321">
        <f t="shared" si="6"/>
        <v>388.8</v>
      </c>
      <c r="N72" s="233"/>
      <c r="O72" s="195"/>
      <c r="P72" s="197"/>
      <c r="Q72" s="435"/>
      <c r="R72" s="195"/>
      <c r="S72" s="197" t="s">
        <v>264</v>
      </c>
      <c r="T72" s="322">
        <f t="shared" si="3"/>
        <v>-388.8</v>
      </c>
      <c r="U72" s="199"/>
      <c r="V72" s="200"/>
      <c r="W72" s="195"/>
      <c r="X72" s="195"/>
      <c r="Y72" s="437" t="s">
        <v>140</v>
      </c>
      <c r="Z72" s="201"/>
      <c r="AA72" s="202"/>
      <c r="AB72" s="315"/>
    </row>
    <row r="73" spans="1:32" s="55" customFormat="1" ht="54.95" customHeight="1" x14ac:dyDescent="0.15">
      <c r="A73" s="432"/>
      <c r="B73" s="204">
        <f>$I$6</f>
        <v>322</v>
      </c>
      <c r="C73" s="422"/>
      <c r="D73" s="423"/>
      <c r="E73" s="424"/>
      <c r="F73" s="425"/>
      <c r="G73" s="426"/>
      <c r="H73" s="427"/>
      <c r="I73" s="215"/>
      <c r="J73" s="192"/>
      <c r="K73" s="304">
        <v>1.2</v>
      </c>
      <c r="L73" s="194" t="s">
        <v>264</v>
      </c>
      <c r="M73" s="321">
        <f t="shared" si="6"/>
        <v>386.4</v>
      </c>
      <c r="N73" s="233"/>
      <c r="O73" s="195"/>
      <c r="P73" s="197"/>
      <c r="Q73" s="561"/>
      <c r="R73" s="195"/>
      <c r="S73" s="197" t="s">
        <v>264</v>
      </c>
      <c r="T73" s="322">
        <f t="shared" si="3"/>
        <v>-386.4</v>
      </c>
      <c r="U73" s="199"/>
      <c r="V73" s="200"/>
      <c r="W73" s="195"/>
      <c r="X73" s="195"/>
      <c r="Y73" s="438"/>
      <c r="Z73" s="201"/>
      <c r="AA73" s="202"/>
      <c r="AB73" s="315"/>
    </row>
    <row r="74" spans="1:32" s="55" customFormat="1" ht="54.95" customHeight="1" x14ac:dyDescent="0.15">
      <c r="A74" s="92" t="s">
        <v>257</v>
      </c>
      <c r="B74" s="87">
        <f>I11</f>
        <v>987</v>
      </c>
      <c r="C74" s="368" t="s">
        <v>71</v>
      </c>
      <c r="D74" s="369"/>
      <c r="E74" s="370"/>
      <c r="F74" s="368"/>
      <c r="G74" s="369"/>
      <c r="H74" s="370"/>
      <c r="I74" s="93"/>
      <c r="J74" s="90"/>
      <c r="K74" s="156">
        <v>1</v>
      </c>
      <c r="L74" s="77" t="s">
        <v>63</v>
      </c>
      <c r="M74" s="88">
        <f t="shared" si="6"/>
        <v>987</v>
      </c>
      <c r="N74" s="91"/>
      <c r="O74" s="91"/>
      <c r="P74" s="88" t="s">
        <v>63</v>
      </c>
      <c r="Q74" s="316"/>
      <c r="R74" s="93"/>
      <c r="S74" s="88" t="s">
        <v>63</v>
      </c>
      <c r="T74" s="154">
        <f t="shared" si="3"/>
        <v>-987</v>
      </c>
      <c r="U74" s="91"/>
      <c r="V74" s="159"/>
      <c r="W74" s="159"/>
      <c r="X74" s="159"/>
      <c r="Y74" s="160" t="s">
        <v>72</v>
      </c>
      <c r="Z74" s="94"/>
      <c r="AA74" s="95"/>
      <c r="AB74" s="319"/>
    </row>
    <row r="75" spans="1:32" s="55" customFormat="1" ht="54.95" customHeight="1" x14ac:dyDescent="0.15">
      <c r="A75" s="386" t="s">
        <v>66</v>
      </c>
      <c r="B75" s="87">
        <f>C11</f>
        <v>600</v>
      </c>
      <c r="C75" s="389" t="e">
        <f>#REF!</f>
        <v>#REF!</v>
      </c>
      <c r="D75" s="390"/>
      <c r="E75" s="391"/>
      <c r="F75" s="368"/>
      <c r="G75" s="369"/>
      <c r="H75" s="370"/>
      <c r="I75" s="152"/>
      <c r="J75" s="75"/>
      <c r="K75" s="139">
        <v>1</v>
      </c>
      <c r="L75" s="77" t="s">
        <v>63</v>
      </c>
      <c r="M75" s="88">
        <f t="shared" si="6"/>
        <v>600</v>
      </c>
      <c r="N75" s="89"/>
      <c r="O75" s="153"/>
      <c r="P75" s="88" t="s">
        <v>63</v>
      </c>
      <c r="Q75" s="443"/>
      <c r="R75" s="153"/>
      <c r="S75" s="88" t="s">
        <v>63</v>
      </c>
      <c r="T75" s="154">
        <f t="shared" si="3"/>
        <v>-600</v>
      </c>
      <c r="U75" s="129"/>
      <c r="V75" s="155"/>
      <c r="W75" s="154"/>
      <c r="X75" s="154"/>
      <c r="Y75" s="401" t="s">
        <v>72</v>
      </c>
      <c r="Z75" s="401"/>
      <c r="AA75" s="401"/>
      <c r="AB75" s="579"/>
    </row>
    <row r="76" spans="1:32" s="55" customFormat="1" ht="54.95" customHeight="1" x14ac:dyDescent="0.15">
      <c r="A76" s="387"/>
      <c r="B76" s="87">
        <f>D11</f>
        <v>387</v>
      </c>
      <c r="C76" s="392"/>
      <c r="D76" s="393"/>
      <c r="E76" s="394"/>
      <c r="F76" s="368"/>
      <c r="G76" s="369"/>
      <c r="H76" s="370"/>
      <c r="I76" s="152"/>
      <c r="J76" s="75"/>
      <c r="K76" s="156">
        <v>1</v>
      </c>
      <c r="L76" s="77" t="s">
        <v>63</v>
      </c>
      <c r="M76" s="88">
        <f t="shared" si="6"/>
        <v>387</v>
      </c>
      <c r="N76" s="89"/>
      <c r="O76" s="153"/>
      <c r="P76" s="88" t="s">
        <v>63</v>
      </c>
      <c r="Q76" s="447"/>
      <c r="R76" s="153"/>
      <c r="S76" s="88" t="s">
        <v>63</v>
      </c>
      <c r="T76" s="154">
        <f t="shared" si="3"/>
        <v>-387</v>
      </c>
      <c r="U76" s="129"/>
      <c r="V76" s="155"/>
      <c r="W76" s="154"/>
      <c r="X76" s="154"/>
      <c r="Y76" s="402"/>
      <c r="Z76" s="402"/>
      <c r="AA76" s="402"/>
      <c r="AB76" s="580"/>
    </row>
    <row r="77" spans="1:32" s="55" customFormat="1" ht="54.95" customHeight="1" x14ac:dyDescent="0.15">
      <c r="A77" s="387"/>
      <c r="B77" s="87">
        <f>E11</f>
        <v>0</v>
      </c>
      <c r="C77" s="392"/>
      <c r="D77" s="393"/>
      <c r="E77" s="394"/>
      <c r="F77" s="368"/>
      <c r="G77" s="369"/>
      <c r="H77" s="370"/>
      <c r="I77" s="152"/>
      <c r="J77" s="75"/>
      <c r="K77" s="156">
        <v>1</v>
      </c>
      <c r="L77" s="77" t="s">
        <v>63</v>
      </c>
      <c r="M77" s="88">
        <f t="shared" si="6"/>
        <v>0</v>
      </c>
      <c r="N77" s="89"/>
      <c r="O77" s="153"/>
      <c r="P77" s="88" t="s">
        <v>63</v>
      </c>
      <c r="Q77" s="447"/>
      <c r="R77" s="153"/>
      <c r="S77" s="88" t="s">
        <v>63</v>
      </c>
      <c r="T77" s="154">
        <f t="shared" si="3"/>
        <v>0</v>
      </c>
      <c r="U77" s="129"/>
      <c r="V77" s="155"/>
      <c r="W77" s="154"/>
      <c r="X77" s="154"/>
      <c r="Y77" s="402"/>
      <c r="Z77" s="402"/>
      <c r="AA77" s="402"/>
      <c r="AB77" s="580"/>
    </row>
    <row r="78" spans="1:32" s="55" customFormat="1" ht="54.95" customHeight="1" x14ac:dyDescent="0.15">
      <c r="A78" s="387"/>
      <c r="B78" s="87">
        <f>F11</f>
        <v>0</v>
      </c>
      <c r="C78" s="392"/>
      <c r="D78" s="393"/>
      <c r="E78" s="394"/>
      <c r="F78" s="368"/>
      <c r="G78" s="369"/>
      <c r="H78" s="370"/>
      <c r="I78" s="152"/>
      <c r="J78" s="75"/>
      <c r="K78" s="156">
        <v>1</v>
      </c>
      <c r="L78" s="77" t="s">
        <v>63</v>
      </c>
      <c r="M78" s="88">
        <f t="shared" si="6"/>
        <v>0</v>
      </c>
      <c r="N78" s="89"/>
      <c r="O78" s="153"/>
      <c r="P78" s="88" t="s">
        <v>63</v>
      </c>
      <c r="Q78" s="447"/>
      <c r="R78" s="153"/>
      <c r="S78" s="88" t="s">
        <v>63</v>
      </c>
      <c r="T78" s="154">
        <f t="shared" si="3"/>
        <v>0</v>
      </c>
      <c r="U78" s="129"/>
      <c r="V78" s="155"/>
      <c r="W78" s="154"/>
      <c r="X78" s="154"/>
      <c r="Y78" s="402"/>
      <c r="Z78" s="402"/>
      <c r="AA78" s="402"/>
      <c r="AB78" s="580"/>
    </row>
    <row r="79" spans="1:32" s="55" customFormat="1" ht="54.95" customHeight="1" x14ac:dyDescent="0.15">
      <c r="A79" s="388"/>
      <c r="B79" s="87">
        <f>G11</f>
        <v>0</v>
      </c>
      <c r="C79" s="395"/>
      <c r="D79" s="396"/>
      <c r="E79" s="397"/>
      <c r="F79" s="368"/>
      <c r="G79" s="369"/>
      <c r="H79" s="370"/>
      <c r="I79" s="152"/>
      <c r="J79" s="75"/>
      <c r="K79" s="156">
        <v>1</v>
      </c>
      <c r="L79" s="77" t="s">
        <v>63</v>
      </c>
      <c r="M79" s="88">
        <f t="shared" si="6"/>
        <v>0</v>
      </c>
      <c r="N79" s="89"/>
      <c r="O79" s="153"/>
      <c r="P79" s="88" t="s">
        <v>63</v>
      </c>
      <c r="Q79" s="444"/>
      <c r="R79" s="153"/>
      <c r="S79" s="88" t="s">
        <v>63</v>
      </c>
      <c r="T79" s="154">
        <f t="shared" si="3"/>
        <v>0</v>
      </c>
      <c r="U79" s="129"/>
      <c r="V79" s="155"/>
      <c r="W79" s="154"/>
      <c r="X79" s="154"/>
      <c r="Y79" s="403"/>
      <c r="Z79" s="403"/>
      <c r="AA79" s="403"/>
      <c r="AB79" s="581"/>
    </row>
    <row r="80" spans="1:32" s="55" customFormat="1" ht="54.95" customHeight="1" x14ac:dyDescent="0.15">
      <c r="A80" s="609" t="s">
        <v>68</v>
      </c>
      <c r="B80" s="87">
        <f>C5</f>
        <v>200</v>
      </c>
      <c r="C80" s="461" t="str">
        <f>A5</f>
        <v>CR</v>
      </c>
      <c r="D80" s="461"/>
      <c r="E80" s="461"/>
      <c r="F80" s="368"/>
      <c r="G80" s="369"/>
      <c r="H80" s="370"/>
      <c r="I80" s="152"/>
      <c r="J80" s="152"/>
      <c r="K80" s="156">
        <v>1</v>
      </c>
      <c r="L80" s="77" t="s">
        <v>63</v>
      </c>
      <c r="M80" s="88">
        <f t="shared" si="6"/>
        <v>200</v>
      </c>
      <c r="N80" s="89"/>
      <c r="O80" s="153"/>
      <c r="P80" s="88" t="s">
        <v>63</v>
      </c>
      <c r="Q80" s="443">
        <v>46184</v>
      </c>
      <c r="R80" s="153"/>
      <c r="S80" s="88" t="s">
        <v>63</v>
      </c>
      <c r="T80" s="154">
        <f t="shared" si="3"/>
        <v>-200</v>
      </c>
      <c r="U80" s="157"/>
      <c r="V80" s="158"/>
      <c r="W80" s="154"/>
      <c r="X80" s="154"/>
      <c r="Y80" s="582" t="s">
        <v>72</v>
      </c>
      <c r="Z80" s="582"/>
      <c r="AA80" s="582"/>
      <c r="AB80" s="404"/>
    </row>
    <row r="81" spans="1:28" s="55" customFormat="1" ht="54.95" customHeight="1" x14ac:dyDescent="0.15">
      <c r="A81" s="610"/>
      <c r="B81" s="87">
        <f>D5</f>
        <v>124</v>
      </c>
      <c r="C81" s="461"/>
      <c r="D81" s="461"/>
      <c r="E81" s="461"/>
      <c r="F81" s="368"/>
      <c r="G81" s="369"/>
      <c r="H81" s="370"/>
      <c r="I81" s="152"/>
      <c r="J81" s="152"/>
      <c r="K81" s="156">
        <v>1</v>
      </c>
      <c r="L81" s="77" t="s">
        <v>63</v>
      </c>
      <c r="M81" s="88">
        <f t="shared" si="6"/>
        <v>124</v>
      </c>
      <c r="N81" s="89"/>
      <c r="O81" s="153"/>
      <c r="P81" s="88" t="s">
        <v>63</v>
      </c>
      <c r="Q81" s="447"/>
      <c r="R81" s="153"/>
      <c r="S81" s="88" t="s">
        <v>63</v>
      </c>
      <c r="T81" s="154">
        <f t="shared" si="3"/>
        <v>-124</v>
      </c>
      <c r="U81" s="157"/>
      <c r="V81" s="158"/>
      <c r="W81" s="154"/>
      <c r="X81" s="154"/>
      <c r="Y81" s="582"/>
      <c r="Z81" s="582"/>
      <c r="AA81" s="582"/>
      <c r="AB81" s="405"/>
    </row>
    <row r="82" spans="1:28" s="55" customFormat="1" ht="54.95" customHeight="1" x14ac:dyDescent="0.15">
      <c r="A82" s="610"/>
      <c r="B82" s="87">
        <f>E5</f>
        <v>0</v>
      </c>
      <c r="C82" s="461"/>
      <c r="D82" s="461"/>
      <c r="E82" s="461"/>
      <c r="F82" s="368"/>
      <c r="G82" s="369"/>
      <c r="H82" s="370"/>
      <c r="I82" s="152"/>
      <c r="J82" s="152"/>
      <c r="K82" s="156">
        <v>1</v>
      </c>
      <c r="L82" s="77" t="s">
        <v>63</v>
      </c>
      <c r="M82" s="88">
        <f t="shared" si="6"/>
        <v>0</v>
      </c>
      <c r="N82" s="89"/>
      <c r="O82" s="153"/>
      <c r="P82" s="88" t="s">
        <v>63</v>
      </c>
      <c r="Q82" s="447"/>
      <c r="R82" s="153"/>
      <c r="S82" s="88" t="s">
        <v>63</v>
      </c>
      <c r="T82" s="154">
        <f t="shared" si="3"/>
        <v>0</v>
      </c>
      <c r="U82" s="157"/>
      <c r="V82" s="158"/>
      <c r="W82" s="154"/>
      <c r="X82" s="154"/>
      <c r="Y82" s="582"/>
      <c r="Z82" s="582"/>
      <c r="AA82" s="582"/>
      <c r="AB82" s="405"/>
    </row>
    <row r="83" spans="1:28" s="55" customFormat="1" ht="54.95" customHeight="1" x14ac:dyDescent="0.15">
      <c r="A83" s="610"/>
      <c r="B83" s="87">
        <f>C6</f>
        <v>200</v>
      </c>
      <c r="C83" s="461" t="str">
        <f>A6</f>
        <v>LB</v>
      </c>
      <c r="D83" s="461"/>
      <c r="E83" s="461"/>
      <c r="F83" s="368"/>
      <c r="G83" s="369"/>
      <c r="H83" s="370"/>
      <c r="I83" s="152"/>
      <c r="J83" s="152"/>
      <c r="K83" s="156">
        <v>1</v>
      </c>
      <c r="L83" s="77" t="s">
        <v>63</v>
      </c>
      <c r="M83" s="88">
        <f t="shared" si="6"/>
        <v>200</v>
      </c>
      <c r="N83" s="89"/>
      <c r="O83" s="153"/>
      <c r="P83" s="88" t="s">
        <v>63</v>
      </c>
      <c r="Q83" s="447"/>
      <c r="R83" s="77"/>
      <c r="S83" s="88" t="s">
        <v>63</v>
      </c>
      <c r="T83" s="154">
        <f t="shared" si="3"/>
        <v>-200</v>
      </c>
      <c r="U83" s="157"/>
      <c r="V83" s="158"/>
      <c r="W83" s="154"/>
      <c r="X83" s="154"/>
      <c r="Y83" s="582" t="s">
        <v>72</v>
      </c>
      <c r="Z83" s="582"/>
      <c r="AA83" s="582"/>
      <c r="AB83" s="405"/>
    </row>
    <row r="84" spans="1:28" s="55" customFormat="1" ht="54.95" customHeight="1" x14ac:dyDescent="0.15">
      <c r="A84" s="610"/>
      <c r="B84" s="87">
        <f>D6</f>
        <v>122</v>
      </c>
      <c r="C84" s="461"/>
      <c r="D84" s="461"/>
      <c r="E84" s="461"/>
      <c r="F84" s="368"/>
      <c r="G84" s="369"/>
      <c r="H84" s="370"/>
      <c r="I84" s="152"/>
      <c r="J84" s="152"/>
      <c r="K84" s="156">
        <v>1</v>
      </c>
      <c r="L84" s="77" t="s">
        <v>63</v>
      </c>
      <c r="M84" s="88">
        <f t="shared" si="6"/>
        <v>122</v>
      </c>
      <c r="N84" s="89"/>
      <c r="O84" s="153"/>
      <c r="P84" s="88" t="s">
        <v>63</v>
      </c>
      <c r="Q84" s="447"/>
      <c r="R84" s="77"/>
      <c r="S84" s="88" t="s">
        <v>63</v>
      </c>
      <c r="T84" s="154">
        <f t="shared" si="3"/>
        <v>-122</v>
      </c>
      <c r="U84" s="157"/>
      <c r="V84" s="158"/>
      <c r="W84" s="154"/>
      <c r="X84" s="154"/>
      <c r="Y84" s="582"/>
      <c r="Z84" s="582"/>
      <c r="AA84" s="582"/>
      <c r="AB84" s="405"/>
    </row>
    <row r="85" spans="1:28" s="176" customFormat="1" ht="54.95" customHeight="1" x14ac:dyDescent="0.15">
      <c r="A85" s="610"/>
      <c r="B85" s="87">
        <f>E6</f>
        <v>0</v>
      </c>
      <c r="C85" s="461"/>
      <c r="D85" s="461"/>
      <c r="E85" s="461"/>
      <c r="F85" s="368"/>
      <c r="G85" s="369"/>
      <c r="H85" s="370"/>
      <c r="I85" s="152"/>
      <c r="J85" s="152"/>
      <c r="K85" s="156">
        <v>1</v>
      </c>
      <c r="L85" s="77" t="s">
        <v>63</v>
      </c>
      <c r="M85" s="88">
        <f t="shared" si="6"/>
        <v>0</v>
      </c>
      <c r="N85" s="89"/>
      <c r="O85" s="153"/>
      <c r="P85" s="88" t="s">
        <v>63</v>
      </c>
      <c r="Q85" s="447"/>
      <c r="R85" s="153"/>
      <c r="S85" s="88" t="s">
        <v>63</v>
      </c>
      <c r="T85" s="154">
        <f>R85-M85</f>
        <v>0</v>
      </c>
      <c r="U85" s="157"/>
      <c r="V85" s="158"/>
      <c r="W85" s="154"/>
      <c r="X85" s="154"/>
      <c r="Y85" s="582"/>
      <c r="Z85" s="582"/>
      <c r="AA85" s="582"/>
      <c r="AB85" s="405"/>
    </row>
    <row r="86" spans="1:28" s="176" customFormat="1" ht="54.95" customHeight="1" x14ac:dyDescent="0.15">
      <c r="A86" s="610"/>
      <c r="B86" s="87">
        <f>C7</f>
        <v>200</v>
      </c>
      <c r="C86" s="392" t="str">
        <f>A7</f>
        <v>DG</v>
      </c>
      <c r="D86" s="393"/>
      <c r="E86" s="394"/>
      <c r="F86" s="368"/>
      <c r="G86" s="369"/>
      <c r="H86" s="370"/>
      <c r="I86" s="152"/>
      <c r="J86" s="152"/>
      <c r="K86" s="156">
        <v>1</v>
      </c>
      <c r="L86" s="77" t="s">
        <v>63</v>
      </c>
      <c r="M86" s="88">
        <f t="shared" si="6"/>
        <v>200</v>
      </c>
      <c r="N86" s="89"/>
      <c r="O86" s="153"/>
      <c r="P86" s="88" t="s">
        <v>63</v>
      </c>
      <c r="Q86" s="447"/>
      <c r="R86" s="153"/>
      <c r="S86" s="88" t="s">
        <v>63</v>
      </c>
      <c r="T86" s="154">
        <f>R86-M86</f>
        <v>-200</v>
      </c>
      <c r="U86" s="157"/>
      <c r="V86" s="158"/>
      <c r="W86" s="154"/>
      <c r="X86" s="154"/>
      <c r="Y86" s="582" t="s">
        <v>72</v>
      </c>
      <c r="Z86" s="582"/>
      <c r="AA86" s="582"/>
      <c r="AB86" s="405"/>
    </row>
    <row r="87" spans="1:28" s="176" customFormat="1" ht="54.95" customHeight="1" x14ac:dyDescent="0.15">
      <c r="A87" s="610"/>
      <c r="B87" s="87">
        <f>D7</f>
        <v>141</v>
      </c>
      <c r="C87" s="392"/>
      <c r="D87" s="393"/>
      <c r="E87" s="394"/>
      <c r="F87" s="368"/>
      <c r="G87" s="369"/>
      <c r="H87" s="370"/>
      <c r="I87" s="152"/>
      <c r="J87" s="152"/>
      <c r="K87" s="156">
        <v>1</v>
      </c>
      <c r="L87" s="77" t="s">
        <v>63</v>
      </c>
      <c r="M87" s="88">
        <f t="shared" si="6"/>
        <v>141</v>
      </c>
      <c r="N87" s="89"/>
      <c r="O87" s="153"/>
      <c r="P87" s="88" t="s">
        <v>63</v>
      </c>
      <c r="Q87" s="447"/>
      <c r="R87" s="153"/>
      <c r="S87" s="88" t="s">
        <v>63</v>
      </c>
      <c r="T87" s="154">
        <f>R87-M87</f>
        <v>-141</v>
      </c>
      <c r="U87" s="157"/>
      <c r="V87" s="158"/>
      <c r="W87" s="154"/>
      <c r="X87" s="154"/>
      <c r="Y87" s="582"/>
      <c r="Z87" s="582"/>
      <c r="AA87" s="582"/>
      <c r="AB87" s="405"/>
    </row>
    <row r="88" spans="1:28" s="176" customFormat="1" ht="54.95" customHeight="1" x14ac:dyDescent="0.15">
      <c r="A88" s="610"/>
      <c r="B88" s="87">
        <f>E7</f>
        <v>0</v>
      </c>
      <c r="C88" s="392"/>
      <c r="D88" s="393"/>
      <c r="E88" s="394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6"/>
        <v>0</v>
      </c>
      <c r="N88" s="171"/>
      <c r="O88" s="277"/>
      <c r="P88" s="169" t="s">
        <v>63</v>
      </c>
      <c r="Q88" s="444"/>
      <c r="R88" s="168"/>
      <c r="S88" s="169" t="s">
        <v>63</v>
      </c>
      <c r="T88" s="278">
        <f>R88-M88</f>
        <v>0</v>
      </c>
      <c r="U88" s="281"/>
      <c r="V88" s="282"/>
      <c r="W88" s="278"/>
      <c r="X88" s="278"/>
      <c r="Y88" s="582"/>
      <c r="Z88" s="582"/>
      <c r="AA88" s="582"/>
      <c r="AB88" s="405"/>
    </row>
    <row r="89" spans="1:28" s="176" customFormat="1" ht="54.95" customHeight="1" x14ac:dyDescent="0.15">
      <c r="A89" s="386" t="s">
        <v>69</v>
      </c>
      <c r="B89" s="164">
        <f>C5</f>
        <v>200</v>
      </c>
      <c r="C89" s="461" t="str">
        <f>A5</f>
        <v>CR</v>
      </c>
      <c r="D89" s="461"/>
      <c r="E89" s="461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6"/>
        <v>200</v>
      </c>
      <c r="N89" s="171"/>
      <c r="O89" s="277"/>
      <c r="P89" s="169" t="s">
        <v>63</v>
      </c>
      <c r="Q89" s="376"/>
      <c r="R89" s="277"/>
      <c r="S89" s="169" t="s">
        <v>63</v>
      </c>
      <c r="T89" s="278">
        <f t="shared" si="3"/>
        <v>-200</v>
      </c>
      <c r="U89" s="281"/>
      <c r="V89" s="282"/>
      <c r="W89" s="278"/>
      <c r="X89" s="278"/>
      <c r="Y89" s="597" t="s">
        <v>349</v>
      </c>
      <c r="Z89" s="597"/>
      <c r="AA89" s="597"/>
      <c r="AB89" s="404"/>
    </row>
    <row r="90" spans="1:28" s="176" customFormat="1" ht="54.95" customHeight="1" x14ac:dyDescent="0.15">
      <c r="A90" s="387"/>
      <c r="B90" s="164">
        <f>D5</f>
        <v>124</v>
      </c>
      <c r="C90" s="461"/>
      <c r="D90" s="461"/>
      <c r="E90" s="461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6"/>
        <v>124</v>
      </c>
      <c r="N90" s="171"/>
      <c r="O90" s="277"/>
      <c r="P90" s="169" t="s">
        <v>63</v>
      </c>
      <c r="Q90" s="377"/>
      <c r="R90" s="277"/>
      <c r="S90" s="169" t="s">
        <v>63</v>
      </c>
      <c r="T90" s="278">
        <f t="shared" si="3"/>
        <v>-124</v>
      </c>
      <c r="U90" s="281"/>
      <c r="V90" s="282"/>
      <c r="W90" s="278"/>
      <c r="X90" s="278"/>
      <c r="Y90" s="597"/>
      <c r="Z90" s="597"/>
      <c r="AA90" s="597"/>
      <c r="AB90" s="405"/>
    </row>
    <row r="91" spans="1:28" s="176" customFormat="1" ht="54.95" customHeight="1" x14ac:dyDescent="0.15">
      <c r="A91" s="387"/>
      <c r="B91" s="164">
        <f>E5</f>
        <v>0</v>
      </c>
      <c r="C91" s="461"/>
      <c r="D91" s="461"/>
      <c r="E91" s="461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6"/>
        <v>0</v>
      </c>
      <c r="N91" s="171"/>
      <c r="O91" s="277"/>
      <c r="P91" s="169" t="s">
        <v>63</v>
      </c>
      <c r="Q91" s="377"/>
      <c r="R91" s="277"/>
      <c r="S91" s="169" t="s">
        <v>63</v>
      </c>
      <c r="T91" s="278">
        <f t="shared" si="3"/>
        <v>0</v>
      </c>
      <c r="U91" s="281"/>
      <c r="V91" s="282"/>
      <c r="W91" s="278"/>
      <c r="X91" s="278"/>
      <c r="Y91" s="597"/>
      <c r="Z91" s="597"/>
      <c r="AA91" s="597"/>
      <c r="AB91" s="405"/>
    </row>
    <row r="92" spans="1:28" s="176" customFormat="1" ht="54.95" customHeight="1" x14ac:dyDescent="0.15">
      <c r="A92" s="387"/>
      <c r="B92" s="164">
        <f>C6</f>
        <v>200</v>
      </c>
      <c r="C92" s="461" t="str">
        <f>A6</f>
        <v>LB</v>
      </c>
      <c r="D92" s="461"/>
      <c r="E92" s="461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6"/>
        <v>200</v>
      </c>
      <c r="N92" s="171"/>
      <c r="O92" s="277"/>
      <c r="P92" s="169" t="s">
        <v>63</v>
      </c>
      <c r="Q92" s="377"/>
      <c r="R92" s="168"/>
      <c r="S92" s="169" t="s">
        <v>63</v>
      </c>
      <c r="T92" s="278">
        <f t="shared" si="3"/>
        <v>-200</v>
      </c>
      <c r="U92" s="281"/>
      <c r="V92" s="282"/>
      <c r="W92" s="278"/>
      <c r="X92" s="278"/>
      <c r="Y92" s="597" t="s">
        <v>349</v>
      </c>
      <c r="AA92" s="597"/>
      <c r="AB92" s="405"/>
    </row>
    <row r="93" spans="1:28" s="176" customFormat="1" ht="54.95" customHeight="1" x14ac:dyDescent="0.15">
      <c r="A93" s="387"/>
      <c r="B93" s="164">
        <f>D6</f>
        <v>122</v>
      </c>
      <c r="C93" s="461"/>
      <c r="D93" s="461"/>
      <c r="E93" s="461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6"/>
        <v>122</v>
      </c>
      <c r="N93" s="171"/>
      <c r="O93" s="277"/>
      <c r="P93" s="169" t="s">
        <v>63</v>
      </c>
      <c r="Q93" s="377"/>
      <c r="R93" s="168"/>
      <c r="S93" s="169" t="s">
        <v>63</v>
      </c>
      <c r="T93" s="278">
        <f t="shared" si="3"/>
        <v>-122</v>
      </c>
      <c r="U93" s="281"/>
      <c r="V93" s="282"/>
      <c r="W93" s="278"/>
      <c r="X93" s="278"/>
      <c r="Y93" s="597"/>
      <c r="AA93" s="597"/>
      <c r="AB93" s="405"/>
    </row>
    <row r="94" spans="1:28" s="176" customFormat="1" ht="54.95" customHeight="1" x14ac:dyDescent="0.15">
      <c r="A94" s="387"/>
      <c r="B94" s="164">
        <f>E6</f>
        <v>0</v>
      </c>
      <c r="C94" s="461"/>
      <c r="D94" s="461"/>
      <c r="E94" s="461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6"/>
        <v>0</v>
      </c>
      <c r="N94" s="171"/>
      <c r="O94" s="277"/>
      <c r="P94" s="169" t="s">
        <v>63</v>
      </c>
      <c r="Q94" s="377"/>
      <c r="R94" s="277"/>
      <c r="S94" s="169" t="s">
        <v>63</v>
      </c>
      <c r="T94" s="278">
        <f t="shared" si="3"/>
        <v>0</v>
      </c>
      <c r="U94" s="281"/>
      <c r="V94" s="282"/>
      <c r="W94" s="278"/>
      <c r="X94" s="278"/>
      <c r="Y94" s="597"/>
      <c r="AA94" s="597"/>
      <c r="AB94" s="405"/>
    </row>
    <row r="95" spans="1:28" s="55" customFormat="1" ht="54.95" customHeight="1" x14ac:dyDescent="0.15">
      <c r="A95" s="387"/>
      <c r="B95" s="164">
        <f>C7</f>
        <v>200</v>
      </c>
      <c r="C95" s="392" t="str">
        <f>A7</f>
        <v>DG</v>
      </c>
      <c r="D95" s="393"/>
      <c r="E95" s="394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6"/>
        <v>200</v>
      </c>
      <c r="N95" s="171"/>
      <c r="O95" s="277"/>
      <c r="P95" s="169" t="s">
        <v>63</v>
      </c>
      <c r="Q95" s="377"/>
      <c r="R95" s="277"/>
      <c r="S95" s="169" t="s">
        <v>63</v>
      </c>
      <c r="T95" s="278">
        <f t="shared" si="3"/>
        <v>-200</v>
      </c>
      <c r="U95" s="281"/>
      <c r="V95" s="282"/>
      <c r="W95" s="278"/>
      <c r="X95" s="278"/>
      <c r="Y95" s="597" t="s">
        <v>349</v>
      </c>
      <c r="Z95" s="597"/>
      <c r="AA95" s="597"/>
      <c r="AB95" s="405"/>
    </row>
    <row r="96" spans="1:28" s="55" customFormat="1" ht="54.95" customHeight="1" x14ac:dyDescent="0.15">
      <c r="A96" s="387"/>
      <c r="B96" s="164">
        <f>D7</f>
        <v>141</v>
      </c>
      <c r="C96" s="392"/>
      <c r="D96" s="393"/>
      <c r="E96" s="394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6"/>
        <v>141</v>
      </c>
      <c r="N96" s="171"/>
      <c r="O96" s="277"/>
      <c r="P96" s="169" t="s">
        <v>63</v>
      </c>
      <c r="Q96" s="377"/>
      <c r="R96" s="277"/>
      <c r="S96" s="169" t="s">
        <v>63</v>
      </c>
      <c r="T96" s="278">
        <f t="shared" si="3"/>
        <v>-141</v>
      </c>
      <c r="U96" s="281"/>
      <c r="V96" s="282"/>
      <c r="W96" s="278"/>
      <c r="X96" s="278"/>
      <c r="Y96" s="597"/>
      <c r="Z96" s="597"/>
      <c r="AA96" s="597"/>
      <c r="AB96" s="405"/>
    </row>
    <row r="97" spans="1:29" s="55" customFormat="1" ht="54.95" customHeight="1" x14ac:dyDescent="0.15">
      <c r="A97" s="387"/>
      <c r="B97" s="164">
        <f>E7</f>
        <v>0</v>
      </c>
      <c r="C97" s="392"/>
      <c r="D97" s="393"/>
      <c r="E97" s="394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6"/>
        <v>0</v>
      </c>
      <c r="N97" s="171"/>
      <c r="O97" s="277"/>
      <c r="P97" s="169" t="s">
        <v>63</v>
      </c>
      <c r="Q97" s="378"/>
      <c r="R97" s="168"/>
      <c r="S97" s="169" t="s">
        <v>63</v>
      </c>
      <c r="T97" s="278">
        <f t="shared" si="3"/>
        <v>0</v>
      </c>
      <c r="U97" s="281"/>
      <c r="V97" s="282"/>
      <c r="W97" s="278"/>
      <c r="X97" s="278"/>
      <c r="Y97" s="597"/>
      <c r="Z97" s="597"/>
      <c r="AA97" s="597"/>
      <c r="AB97" s="405"/>
    </row>
    <row r="98" spans="1:29" s="55" customFormat="1" ht="54.95" customHeight="1" x14ac:dyDescent="0.15">
      <c r="A98" s="386" t="s">
        <v>70</v>
      </c>
      <c r="B98" s="87">
        <f>C11</f>
        <v>600</v>
      </c>
      <c r="C98" s="389" t="s">
        <v>71</v>
      </c>
      <c r="D98" s="390"/>
      <c r="E98" s="391"/>
      <c r="F98" s="368"/>
      <c r="G98" s="369"/>
      <c r="H98" s="370"/>
      <c r="I98" s="152"/>
      <c r="J98" s="90"/>
      <c r="K98" s="156">
        <v>1</v>
      </c>
      <c r="L98" s="77" t="s">
        <v>63</v>
      </c>
      <c r="M98" s="88">
        <f t="shared" si="6"/>
        <v>600</v>
      </c>
      <c r="N98" s="89"/>
      <c r="O98" s="153"/>
      <c r="P98" s="88" t="s">
        <v>63</v>
      </c>
      <c r="Q98" s="398"/>
      <c r="R98" s="93"/>
      <c r="S98" s="88" t="s">
        <v>63</v>
      </c>
      <c r="T98" s="154">
        <f t="shared" si="3"/>
        <v>-600</v>
      </c>
      <c r="U98" s="91"/>
      <c r="V98" s="159"/>
      <c r="W98" s="159"/>
      <c r="X98" s="159"/>
      <c r="Y98" s="401" t="s">
        <v>258</v>
      </c>
      <c r="Z98" s="416"/>
      <c r="AA98" s="416"/>
      <c r="AB98" s="419"/>
    </row>
    <row r="99" spans="1:29" s="176" customFormat="1" ht="54.95" customHeight="1" x14ac:dyDescent="0.15">
      <c r="A99" s="387"/>
      <c r="B99" s="87">
        <f>D11</f>
        <v>387</v>
      </c>
      <c r="C99" s="392"/>
      <c r="D99" s="393"/>
      <c r="E99" s="394"/>
      <c r="F99" s="368"/>
      <c r="G99" s="369"/>
      <c r="H99" s="370"/>
      <c r="I99" s="152"/>
      <c r="J99" s="90"/>
      <c r="K99" s="156">
        <v>1</v>
      </c>
      <c r="L99" s="77" t="s">
        <v>63</v>
      </c>
      <c r="M99" s="88">
        <f t="shared" si="6"/>
        <v>387</v>
      </c>
      <c r="N99" s="89"/>
      <c r="O99" s="153"/>
      <c r="P99" s="88" t="s">
        <v>63</v>
      </c>
      <c r="Q99" s="399"/>
      <c r="R99" s="93"/>
      <c r="S99" s="88" t="s">
        <v>63</v>
      </c>
      <c r="T99" s="154">
        <f t="shared" si="3"/>
        <v>-387</v>
      </c>
      <c r="U99" s="91"/>
      <c r="V99" s="159"/>
      <c r="W99" s="159"/>
      <c r="X99" s="159"/>
      <c r="Y99" s="402"/>
      <c r="Z99" s="417"/>
      <c r="AA99" s="417"/>
      <c r="AB99" s="420"/>
    </row>
    <row r="100" spans="1:29" s="55" customFormat="1" ht="54.95" customHeight="1" x14ac:dyDescent="0.15">
      <c r="A100" s="387"/>
      <c r="B100" s="87">
        <f>E11</f>
        <v>0</v>
      </c>
      <c r="C100" s="392"/>
      <c r="D100" s="393"/>
      <c r="E100" s="394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6"/>
        <v>0</v>
      </c>
      <c r="N100" s="89"/>
      <c r="O100" s="153"/>
      <c r="P100" s="88" t="s">
        <v>63</v>
      </c>
      <c r="Q100" s="399"/>
      <c r="R100" s="93"/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2"/>
      <c r="Z100" s="417"/>
      <c r="AA100" s="417"/>
      <c r="AB100" s="420"/>
    </row>
    <row r="101" spans="1:29" s="55" customFormat="1" ht="54.95" customHeight="1" x14ac:dyDescent="0.15">
      <c r="A101" s="388"/>
      <c r="B101" s="87">
        <f>F11</f>
        <v>0</v>
      </c>
      <c r="C101" s="395"/>
      <c r="D101" s="396"/>
      <c r="E101" s="397"/>
      <c r="F101" s="368"/>
      <c r="G101" s="369"/>
      <c r="H101" s="370"/>
      <c r="I101" s="152"/>
      <c r="J101" s="90"/>
      <c r="K101" s="156"/>
      <c r="L101" s="77" t="s">
        <v>63</v>
      </c>
      <c r="M101" s="88">
        <f t="shared" si="6"/>
        <v>0</v>
      </c>
      <c r="N101" s="89"/>
      <c r="O101" s="153"/>
      <c r="P101" s="88" t="s">
        <v>63</v>
      </c>
      <c r="Q101" s="400"/>
      <c r="R101" s="162"/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3"/>
      <c r="Z101" s="418"/>
      <c r="AA101" s="418"/>
      <c r="AB101" s="421"/>
    </row>
    <row r="102" spans="1:29" ht="13.5" customHeight="1" x14ac:dyDescent="0.15">
      <c r="A102" s="92" t="s">
        <v>73</v>
      </c>
      <c r="B102" s="164">
        <f>I11</f>
        <v>987</v>
      </c>
      <c r="C102" s="371" t="s">
        <v>71</v>
      </c>
      <c r="D102" s="372"/>
      <c r="E102" s="373"/>
      <c r="F102" s="371"/>
      <c r="G102" s="372"/>
      <c r="H102" s="373"/>
      <c r="I102" s="165"/>
      <c r="J102" s="166"/>
      <c r="K102" s="167">
        <v>1</v>
      </c>
      <c r="L102" s="168" t="s">
        <v>63</v>
      </c>
      <c r="M102" s="88">
        <f t="shared" si="6"/>
        <v>987</v>
      </c>
      <c r="N102" s="170"/>
      <c r="O102" s="170"/>
      <c r="P102" s="169" t="s">
        <v>63</v>
      </c>
      <c r="Q102" s="363"/>
      <c r="R102" s="165"/>
      <c r="S102" s="169" t="s">
        <v>63</v>
      </c>
      <c r="T102" s="154">
        <f t="shared" si="3"/>
        <v>-987</v>
      </c>
      <c r="U102" s="170"/>
      <c r="V102" s="172"/>
      <c r="W102" s="172"/>
      <c r="X102" s="172"/>
      <c r="Y102" s="173" t="s">
        <v>72</v>
      </c>
      <c r="Z102" s="174"/>
      <c r="AA102" s="175"/>
      <c r="AB102" s="586"/>
    </row>
    <row r="103" spans="1:29" ht="13.5" customHeight="1" x14ac:dyDescent="0.15">
      <c r="A103" s="92" t="s">
        <v>81</v>
      </c>
      <c r="B103" s="87">
        <f>I11</f>
        <v>987</v>
      </c>
      <c r="C103" s="368" t="s">
        <v>71</v>
      </c>
      <c r="D103" s="369"/>
      <c r="E103" s="370"/>
      <c r="F103" s="368"/>
      <c r="G103" s="369"/>
      <c r="H103" s="370"/>
      <c r="I103" s="93"/>
      <c r="J103" s="90"/>
      <c r="K103" s="156">
        <v>1</v>
      </c>
      <c r="L103" s="77" t="s">
        <v>63</v>
      </c>
      <c r="M103" s="88">
        <f>K103*B103</f>
        <v>987</v>
      </c>
      <c r="N103" s="91"/>
      <c r="O103" s="91"/>
      <c r="P103" s="88" t="s">
        <v>63</v>
      </c>
      <c r="Q103" s="364"/>
      <c r="R103" s="165"/>
      <c r="S103" s="88" t="s">
        <v>63</v>
      </c>
      <c r="T103" s="154">
        <f t="shared" si="3"/>
        <v>-987</v>
      </c>
      <c r="U103" s="91"/>
      <c r="V103" s="91"/>
      <c r="W103" s="91"/>
      <c r="X103" s="91"/>
      <c r="Y103" s="160" t="s">
        <v>72</v>
      </c>
      <c r="Z103" s="94"/>
      <c r="AA103" s="95"/>
      <c r="AB103" s="587"/>
    </row>
    <row r="104" spans="1:29" ht="13.5" customHeight="1" x14ac:dyDescent="0.15">
      <c r="A104" s="96" t="s">
        <v>74</v>
      </c>
      <c r="B104" s="87">
        <f>I11</f>
        <v>987</v>
      </c>
      <c r="C104" s="368" t="s">
        <v>71</v>
      </c>
      <c r="D104" s="369"/>
      <c r="E104" s="370"/>
      <c r="F104" s="368"/>
      <c r="G104" s="369"/>
      <c r="H104" s="370"/>
      <c r="I104" s="93" t="s">
        <v>272</v>
      </c>
      <c r="J104" s="93"/>
      <c r="K104" s="156">
        <v>1</v>
      </c>
      <c r="L104" s="77" t="s">
        <v>63</v>
      </c>
      <c r="M104" s="88">
        <f t="shared" si="6"/>
        <v>987</v>
      </c>
      <c r="N104" s="91"/>
      <c r="O104" s="91"/>
      <c r="P104" s="89" t="s">
        <v>63</v>
      </c>
      <c r="Q104" s="365"/>
      <c r="R104" s="93"/>
      <c r="S104" s="89" t="s">
        <v>63</v>
      </c>
      <c r="T104" s="154">
        <f t="shared" si="3"/>
        <v>-987</v>
      </c>
      <c r="U104" s="91"/>
      <c r="V104" s="91"/>
      <c r="W104" s="91"/>
      <c r="X104" s="91"/>
      <c r="Y104" s="160" t="s">
        <v>72</v>
      </c>
      <c r="Z104" s="97"/>
      <c r="AA104" s="98"/>
      <c r="AB104" s="588"/>
    </row>
    <row r="105" spans="1:29" ht="13.5" customHeight="1" x14ac:dyDescent="0.15">
      <c r="A105" s="177"/>
      <c r="B105" s="366"/>
      <c r="C105" s="366"/>
      <c r="D105" s="177"/>
      <c r="E105" s="177"/>
      <c r="F105" s="100"/>
      <c r="G105" s="100"/>
      <c r="H105" s="100"/>
      <c r="I105" s="177"/>
      <c r="J105" s="177"/>
      <c r="K105" s="101"/>
      <c r="L105" s="102"/>
      <c r="M105" s="103"/>
      <c r="N105" s="104"/>
      <c r="O105" s="104"/>
      <c r="P105" s="177"/>
      <c r="Q105" s="105"/>
      <c r="R105" s="105"/>
      <c r="S105" s="106"/>
      <c r="T105" s="107"/>
      <c r="U105" s="108"/>
      <c r="V105" s="108"/>
      <c r="W105" s="109"/>
      <c r="X105" s="107"/>
      <c r="Y105" s="110"/>
      <c r="Z105" s="111"/>
      <c r="AA105" s="111"/>
    </row>
    <row r="106" spans="1:29" x14ac:dyDescent="0.15">
      <c r="A106" s="177"/>
      <c r="B106" s="366"/>
      <c r="C106" s="366"/>
      <c r="D106" s="177"/>
      <c r="E106" s="177"/>
      <c r="F106" s="367"/>
      <c r="G106" s="367"/>
      <c r="H106" s="367"/>
      <c r="I106" s="177"/>
      <c r="J106" s="177"/>
      <c r="K106" s="101"/>
      <c r="L106" s="102"/>
      <c r="M106" s="103"/>
      <c r="N106" s="104"/>
      <c r="O106" s="104"/>
      <c r="P106" s="177"/>
      <c r="Q106" s="105"/>
      <c r="R106" s="105"/>
      <c r="S106" s="106"/>
      <c r="T106" s="107"/>
      <c r="U106" s="108"/>
      <c r="V106" s="108"/>
      <c r="W106" s="109"/>
      <c r="X106" s="107"/>
      <c r="Y106" s="112"/>
      <c r="Z106" s="111"/>
      <c r="AA106" s="111"/>
    </row>
    <row r="107" spans="1:29" x14ac:dyDescent="0.15">
      <c r="J107" s="177"/>
    </row>
    <row r="108" spans="1:29" x14ac:dyDescent="0.15">
      <c r="J108" s="177"/>
    </row>
    <row r="112" spans="1:29" s="114" customFormat="1" x14ac:dyDescent="0.15">
      <c r="A112" s="1"/>
      <c r="B112" s="113"/>
      <c r="C112" s="1"/>
      <c r="D112" s="1"/>
      <c r="E112" s="1"/>
      <c r="F112" s="1"/>
      <c r="G112" s="1"/>
      <c r="H112" s="1"/>
      <c r="I112" s="1"/>
      <c r="J112" s="1"/>
      <c r="L112" s="115"/>
      <c r="M112" s="116"/>
      <c r="N112" s="117"/>
      <c r="O112" s="117"/>
      <c r="P112" s="1"/>
      <c r="Q112" s="118"/>
      <c r="R112" s="118"/>
      <c r="S112" s="115"/>
      <c r="T112" s="119"/>
      <c r="U112" s="1"/>
      <c r="V112" s="1"/>
      <c r="W112" s="120"/>
      <c r="X112" s="121"/>
      <c r="Y112" s="1"/>
      <c r="Z112" s="1"/>
      <c r="AA112" s="1"/>
      <c r="AB112" s="1"/>
      <c r="AC112" s="1"/>
    </row>
    <row r="113" spans="1:29" s="114" customFormat="1" x14ac:dyDescent="0.15">
      <c r="A113" s="1"/>
      <c r="B113" s="113"/>
      <c r="C113" s="1"/>
      <c r="D113" s="1"/>
      <c r="E113" s="1"/>
      <c r="F113" s="1"/>
      <c r="G113" s="1"/>
      <c r="H113" s="1"/>
      <c r="I113" s="1"/>
      <c r="J113" s="1"/>
      <c r="L113" s="115"/>
      <c r="M113" s="116"/>
      <c r="N113" s="117"/>
      <c r="O113" s="117"/>
      <c r="P113" s="1"/>
      <c r="Q113" s="118"/>
      <c r="R113" s="118"/>
      <c r="S113" s="115"/>
      <c r="T113" s="119"/>
      <c r="U113" s="1"/>
      <c r="V113" s="1"/>
      <c r="W113" s="120"/>
      <c r="X113" s="121"/>
      <c r="Y113" s="1"/>
      <c r="Z113" s="1"/>
      <c r="AA113" s="1"/>
      <c r="AB113" s="1"/>
      <c r="AC113" s="1"/>
    </row>
  </sheetData>
  <mergeCells count="372">
    <mergeCell ref="I7:J7"/>
    <mergeCell ref="P7:V8"/>
    <mergeCell ref="A8:B8"/>
    <mergeCell ref="H8:H10"/>
    <mergeCell ref="I8:J8"/>
    <mergeCell ref="A4:B4"/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I4:J4"/>
    <mergeCell ref="W4:X4"/>
    <mergeCell ref="A5:B5"/>
    <mergeCell ref="H5:H7"/>
    <mergeCell ref="I5:J5"/>
    <mergeCell ref="P5:T5"/>
    <mergeCell ref="W5:X5"/>
    <mergeCell ref="A6:B6"/>
    <mergeCell ref="I6:J6"/>
    <mergeCell ref="A13:A14"/>
    <mergeCell ref="B13:B14"/>
    <mergeCell ref="C13:E13"/>
    <mergeCell ref="F13:H13"/>
    <mergeCell ref="K13:L13"/>
    <mergeCell ref="Z8:AB8"/>
    <mergeCell ref="A9:B9"/>
    <mergeCell ref="I9:J9"/>
    <mergeCell ref="X9:Y9"/>
    <mergeCell ref="Z9:AB9"/>
    <mergeCell ref="A10:B10"/>
    <mergeCell ref="I10:J10"/>
    <mergeCell ref="Z10:AB10"/>
    <mergeCell ref="N13:P13"/>
    <mergeCell ref="Z13:Z14"/>
    <mergeCell ref="A7:B7"/>
    <mergeCell ref="A18:A22"/>
    <mergeCell ref="AC15:AF15"/>
    <mergeCell ref="C20:E20"/>
    <mergeCell ref="F20:H20"/>
    <mergeCell ref="AC17:AF17"/>
    <mergeCell ref="C19:E19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C18:E18"/>
    <mergeCell ref="F18:H18"/>
    <mergeCell ref="AB18:AB20"/>
    <mergeCell ref="AA13:AA14"/>
    <mergeCell ref="F30:H30"/>
    <mergeCell ref="C24:E24"/>
    <mergeCell ref="F24:H24"/>
    <mergeCell ref="C25:E25"/>
    <mergeCell ref="F25:H25"/>
    <mergeCell ref="Q23:Q24"/>
    <mergeCell ref="Y23:Y24"/>
    <mergeCell ref="AB23:AB24"/>
    <mergeCell ref="Q25:Q26"/>
    <mergeCell ref="C21:E21"/>
    <mergeCell ref="F21:H21"/>
    <mergeCell ref="AB21:AB22"/>
    <mergeCell ref="C22:E22"/>
    <mergeCell ref="F22:H22"/>
    <mergeCell ref="Y25:Y27"/>
    <mergeCell ref="Y20:Y22"/>
    <mergeCell ref="F26:H26"/>
    <mergeCell ref="C27:E27"/>
    <mergeCell ref="F27:H27"/>
    <mergeCell ref="C30:E30"/>
    <mergeCell ref="A23:A24"/>
    <mergeCell ref="C23:E23"/>
    <mergeCell ref="F23:H23"/>
    <mergeCell ref="I23:I24"/>
    <mergeCell ref="AC25:AF25"/>
    <mergeCell ref="A31:A33"/>
    <mergeCell ref="C31:E31"/>
    <mergeCell ref="F31:H31"/>
    <mergeCell ref="I31:I33"/>
    <mergeCell ref="Q31:Q33"/>
    <mergeCell ref="AC32:AF32"/>
    <mergeCell ref="AC30:AF30"/>
    <mergeCell ref="A25:A27"/>
    <mergeCell ref="A28:A30"/>
    <mergeCell ref="C28:E28"/>
    <mergeCell ref="C29:E29"/>
    <mergeCell ref="F28:H28"/>
    <mergeCell ref="F29:H29"/>
    <mergeCell ref="AB28:AB30"/>
    <mergeCell ref="Y28:Y30"/>
    <mergeCell ref="AB25:AB26"/>
    <mergeCell ref="C26:E26"/>
    <mergeCell ref="Y31:Y33"/>
    <mergeCell ref="AB31:AB33"/>
    <mergeCell ref="C33:E33"/>
    <mergeCell ref="F33:H33"/>
    <mergeCell ref="A42:A44"/>
    <mergeCell ref="C42:E42"/>
    <mergeCell ref="F42:H42"/>
    <mergeCell ref="I42:I44"/>
    <mergeCell ref="Q42:Q44"/>
    <mergeCell ref="C43:E43"/>
    <mergeCell ref="F43:H43"/>
    <mergeCell ref="F44:H44"/>
    <mergeCell ref="C44:E44"/>
    <mergeCell ref="A40:A41"/>
    <mergeCell ref="C40:E40"/>
    <mergeCell ref="F40:H40"/>
    <mergeCell ref="I40:I41"/>
    <mergeCell ref="Q40:Q41"/>
    <mergeCell ref="A37:A39"/>
    <mergeCell ref="C37:E37"/>
    <mergeCell ref="F37:H37"/>
    <mergeCell ref="I37:I39"/>
    <mergeCell ref="Q37:Q39"/>
    <mergeCell ref="A34:A36"/>
    <mergeCell ref="AB51:AB52"/>
    <mergeCell ref="C52:E52"/>
    <mergeCell ref="F52:H52"/>
    <mergeCell ref="A53:A54"/>
    <mergeCell ref="C53:E53"/>
    <mergeCell ref="F53:H53"/>
    <mergeCell ref="Q53:Q54"/>
    <mergeCell ref="Y53:Y54"/>
    <mergeCell ref="AB53:AB54"/>
    <mergeCell ref="A51:A52"/>
    <mergeCell ref="C51:E51"/>
    <mergeCell ref="F51:H51"/>
    <mergeCell ref="I51:I52"/>
    <mergeCell ref="Q51:Q52"/>
    <mergeCell ref="C54:E54"/>
    <mergeCell ref="F54:H54"/>
    <mergeCell ref="AB55:AB56"/>
    <mergeCell ref="C56:E56"/>
    <mergeCell ref="F56:H56"/>
    <mergeCell ref="A57:A58"/>
    <mergeCell ref="C57:E57"/>
    <mergeCell ref="F57:H57"/>
    <mergeCell ref="Y57:Y58"/>
    <mergeCell ref="AB57:AB58"/>
    <mergeCell ref="C58:E58"/>
    <mergeCell ref="F58:H58"/>
    <mergeCell ref="A55:A56"/>
    <mergeCell ref="C55:E55"/>
    <mergeCell ref="F55:H55"/>
    <mergeCell ref="Q55:Q56"/>
    <mergeCell ref="AB68:AB69"/>
    <mergeCell ref="C69:E69"/>
    <mergeCell ref="F69:H69"/>
    <mergeCell ref="A64:A65"/>
    <mergeCell ref="C64:E64"/>
    <mergeCell ref="F64:H64"/>
    <mergeCell ref="Q64:Q65"/>
    <mergeCell ref="Y64:Y65"/>
    <mergeCell ref="AB59:AB61"/>
    <mergeCell ref="C61:E61"/>
    <mergeCell ref="F61:H61"/>
    <mergeCell ref="A62:A63"/>
    <mergeCell ref="C62:E62"/>
    <mergeCell ref="F62:H62"/>
    <mergeCell ref="Q62:Q63"/>
    <mergeCell ref="Y62:Y63"/>
    <mergeCell ref="AB62:AB63"/>
    <mergeCell ref="C63:E63"/>
    <mergeCell ref="A59:A61"/>
    <mergeCell ref="C59:E59"/>
    <mergeCell ref="F59:H59"/>
    <mergeCell ref="Q59:Q61"/>
    <mergeCell ref="Y59:Y61"/>
    <mergeCell ref="C60:E60"/>
    <mergeCell ref="AB64:AB65"/>
    <mergeCell ref="C65:E65"/>
    <mergeCell ref="F65:H65"/>
    <mergeCell ref="A66:A67"/>
    <mergeCell ref="C66:E66"/>
    <mergeCell ref="F66:H66"/>
    <mergeCell ref="Q66:Q67"/>
    <mergeCell ref="Y66:Y67"/>
    <mergeCell ref="AB66:AB67"/>
    <mergeCell ref="C67:E67"/>
    <mergeCell ref="A75:A79"/>
    <mergeCell ref="C75:E79"/>
    <mergeCell ref="F75:H75"/>
    <mergeCell ref="Q75:Q79"/>
    <mergeCell ref="Y75:Y79"/>
    <mergeCell ref="F67:H67"/>
    <mergeCell ref="A68:A69"/>
    <mergeCell ref="C68:E68"/>
    <mergeCell ref="F68:H68"/>
    <mergeCell ref="I68:I69"/>
    <mergeCell ref="Q68:Q69"/>
    <mergeCell ref="Y68:Y69"/>
    <mergeCell ref="A72:A73"/>
    <mergeCell ref="C72:E72"/>
    <mergeCell ref="F72:H72"/>
    <mergeCell ref="Q72:Q73"/>
    <mergeCell ref="Y72:Y73"/>
    <mergeCell ref="C73:E73"/>
    <mergeCell ref="F73:H73"/>
    <mergeCell ref="A70:A71"/>
    <mergeCell ref="C70:E70"/>
    <mergeCell ref="F70:H70"/>
    <mergeCell ref="I70:I71"/>
    <mergeCell ref="Q70:Q71"/>
    <mergeCell ref="Y70:Y71"/>
    <mergeCell ref="AB75:AB79"/>
    <mergeCell ref="F76:H76"/>
    <mergeCell ref="F77:H77"/>
    <mergeCell ref="F78:H78"/>
    <mergeCell ref="F79:H79"/>
    <mergeCell ref="C74:E74"/>
    <mergeCell ref="F74:H74"/>
    <mergeCell ref="AB70:AB71"/>
    <mergeCell ref="C71:E71"/>
    <mergeCell ref="F71:H71"/>
    <mergeCell ref="A80:A88"/>
    <mergeCell ref="AA95:AA97"/>
    <mergeCell ref="F96:H96"/>
    <mergeCell ref="F97:H97"/>
    <mergeCell ref="AA89:AA91"/>
    <mergeCell ref="AA80:AA82"/>
    <mergeCell ref="AB80:AB88"/>
    <mergeCell ref="F81:H81"/>
    <mergeCell ref="F82:H82"/>
    <mergeCell ref="C83:E85"/>
    <mergeCell ref="F83:H83"/>
    <mergeCell ref="Y83:Y85"/>
    <mergeCell ref="Z83:Z85"/>
    <mergeCell ref="AA83:AA85"/>
    <mergeCell ref="F84:H84"/>
    <mergeCell ref="C80:E82"/>
    <mergeCell ref="F80:H80"/>
    <mergeCell ref="Q80:Q88"/>
    <mergeCell ref="Y80:Y82"/>
    <mergeCell ref="Z80:Z82"/>
    <mergeCell ref="F85:H85"/>
    <mergeCell ref="C86:E88"/>
    <mergeCell ref="F86:H86"/>
    <mergeCell ref="Y86:Y88"/>
    <mergeCell ref="AB89:AB97"/>
    <mergeCell ref="F90:H90"/>
    <mergeCell ref="F91:H91"/>
    <mergeCell ref="C92:E94"/>
    <mergeCell ref="F92:H92"/>
    <mergeCell ref="Y92:Y94"/>
    <mergeCell ref="AA92:AA94"/>
    <mergeCell ref="F93:H93"/>
    <mergeCell ref="F94:H94"/>
    <mergeCell ref="C89:E91"/>
    <mergeCell ref="F89:H89"/>
    <mergeCell ref="Q89:Q97"/>
    <mergeCell ref="Y89:Y91"/>
    <mergeCell ref="Z89:Z91"/>
    <mergeCell ref="A98:A101"/>
    <mergeCell ref="C98:E101"/>
    <mergeCell ref="F98:H98"/>
    <mergeCell ref="Q98:Q101"/>
    <mergeCell ref="Y98:Y101"/>
    <mergeCell ref="Z98:Z101"/>
    <mergeCell ref="C95:E97"/>
    <mergeCell ref="F95:H95"/>
    <mergeCell ref="Y95:Y97"/>
    <mergeCell ref="Z95:Z97"/>
    <mergeCell ref="A89:A97"/>
    <mergeCell ref="AB98:AB101"/>
    <mergeCell ref="F99:H99"/>
    <mergeCell ref="F100:H100"/>
    <mergeCell ref="F101:H101"/>
    <mergeCell ref="C102:E102"/>
    <mergeCell ref="F102:H102"/>
    <mergeCell ref="Q102:Q104"/>
    <mergeCell ref="AB102:AB104"/>
    <mergeCell ref="C103:E103"/>
    <mergeCell ref="F103:H103"/>
    <mergeCell ref="C104:E104"/>
    <mergeCell ref="F104:H104"/>
    <mergeCell ref="B105:C105"/>
    <mergeCell ref="B106:C106"/>
    <mergeCell ref="F106:H106"/>
    <mergeCell ref="AA98:AA101"/>
    <mergeCell ref="Z86:Z88"/>
    <mergeCell ref="AA86:AA88"/>
    <mergeCell ref="F87:H87"/>
    <mergeCell ref="F88:H88"/>
    <mergeCell ref="Z75:Z79"/>
    <mergeCell ref="AA75:AA79"/>
    <mergeCell ref="F60:H60"/>
    <mergeCell ref="Y55:Y56"/>
    <mergeCell ref="F63:H63"/>
    <mergeCell ref="Y51:Y52"/>
    <mergeCell ref="C49:E49"/>
    <mergeCell ref="F49:H49"/>
    <mergeCell ref="C50:E50"/>
    <mergeCell ref="F50:H50"/>
    <mergeCell ref="C48:E48"/>
    <mergeCell ref="AC41:AF41"/>
    <mergeCell ref="Y40:Y41"/>
    <mergeCell ref="AB40:AB41"/>
    <mergeCell ref="C41:E41"/>
    <mergeCell ref="F41:H41"/>
    <mergeCell ref="AC38:AF38"/>
    <mergeCell ref="AC36:AF36"/>
    <mergeCell ref="Y34:Y36"/>
    <mergeCell ref="AB34:AB36"/>
    <mergeCell ref="Y37:Y39"/>
    <mergeCell ref="AB37:AB39"/>
    <mergeCell ref="C39:E39"/>
    <mergeCell ref="F39:H39"/>
    <mergeCell ref="F34:H34"/>
    <mergeCell ref="I34:I36"/>
    <mergeCell ref="Q34:Q36"/>
    <mergeCell ref="C35:E35"/>
    <mergeCell ref="F35:H35"/>
    <mergeCell ref="C36:E36"/>
    <mergeCell ref="F36:H36"/>
    <mergeCell ref="C34:E34"/>
    <mergeCell ref="AC43:AF43"/>
    <mergeCell ref="AC46:AF46"/>
    <mergeCell ref="C47:E47"/>
    <mergeCell ref="F47:H47"/>
    <mergeCell ref="AC49:AF49"/>
    <mergeCell ref="A15:A17"/>
    <mergeCell ref="C15:E15"/>
    <mergeCell ref="F15:H15"/>
    <mergeCell ref="Q15:Q17"/>
    <mergeCell ref="AB15:AB17"/>
    <mergeCell ref="C16:E16"/>
    <mergeCell ref="F16:H16"/>
    <mergeCell ref="C17:E17"/>
    <mergeCell ref="F17:H17"/>
    <mergeCell ref="AC40:AF40"/>
    <mergeCell ref="F19:H19"/>
    <mergeCell ref="AC16:AF16"/>
    <mergeCell ref="C32:E32"/>
    <mergeCell ref="F32:H32"/>
    <mergeCell ref="C38:E38"/>
    <mergeCell ref="F38:H38"/>
    <mergeCell ref="AC34:AF34"/>
    <mergeCell ref="Y42:Y44"/>
    <mergeCell ref="AB42:AB44"/>
    <mergeCell ref="A48:A50"/>
    <mergeCell ref="I48:I50"/>
    <mergeCell ref="Q48:Q50"/>
    <mergeCell ref="Y48:Y50"/>
    <mergeCell ref="AB48:AB50"/>
    <mergeCell ref="Q45:Q47"/>
    <mergeCell ref="Y45:Y47"/>
    <mergeCell ref="AB45:AB47"/>
    <mergeCell ref="C46:E46"/>
    <mergeCell ref="F46:H46"/>
    <mergeCell ref="F48:H48"/>
    <mergeCell ref="A45:A47"/>
    <mergeCell ref="C45:E45"/>
    <mergeCell ref="F45:H45"/>
    <mergeCell ref="I45:I47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2" orientation="portrait" r:id="rId1"/>
  <headerFooter alignWithMargins="0"/>
  <rowBreaks count="1" manualBreakCount="1">
    <brk id="79" max="27" man="1"/>
  </rowBreaks>
  <colBreaks count="1" manualBreakCount="1">
    <brk id="2" max="46" man="1"/>
  </col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B63D-1318-4616-B9CF-443DF7763D63}">
  <dimension ref="A1:AF113"/>
  <sheetViews>
    <sheetView topLeftCell="A20" zoomScale="85" zoomScaleNormal="85" workbookViewId="0">
      <selection activeCell="N17" sqref="N17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7773437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350</v>
      </c>
      <c r="C2" s="548"/>
      <c r="D2" s="548"/>
      <c r="E2" s="548"/>
      <c r="F2" s="548"/>
      <c r="G2" s="549"/>
      <c r="H2" s="180" t="s">
        <v>1</v>
      </c>
      <c r="I2" s="550">
        <f>I11</f>
        <v>0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82</v>
      </c>
      <c r="B5" s="480"/>
      <c r="C5" s="182"/>
      <c r="D5" s="182"/>
      <c r="E5" s="182"/>
      <c r="F5" s="182"/>
      <c r="G5" s="182"/>
      <c r="H5" s="542" t="s">
        <v>24</v>
      </c>
      <c r="I5" s="524">
        <f t="shared" ref="I5:I11" si="0">SUM(C5:G5)</f>
        <v>0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280</v>
      </c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 t="s">
        <v>232</v>
      </c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46181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90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0</v>
      </c>
      <c r="D11" s="181">
        <f>SUM(D5:D10)</f>
        <v>0</v>
      </c>
      <c r="E11" s="181">
        <f>SUM(E5:E10)</f>
        <v>0</v>
      </c>
      <c r="F11" s="181">
        <f>SUM(F5:F10)</f>
        <v>0</v>
      </c>
      <c r="G11" s="181">
        <f>SUM(G5:G10)</f>
        <v>0</v>
      </c>
      <c r="H11" s="182"/>
      <c r="I11" s="481">
        <f t="shared" si="0"/>
        <v>0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46267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0</v>
      </c>
      <c r="D12" s="43">
        <f>D11*1.02</f>
        <v>0</v>
      </c>
      <c r="E12" s="43">
        <f>E11*1.02</f>
        <v>0</v>
      </c>
      <c r="F12" s="43">
        <f>F11*1.02</f>
        <v>0</v>
      </c>
      <c r="G12" s="43">
        <f>G11*1.02</f>
        <v>0</v>
      </c>
      <c r="H12" s="44"/>
      <c r="I12" s="486">
        <f>I11*1.02</f>
        <v>0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>$I$5</f>
        <v>0</v>
      </c>
      <c r="C15" s="474" t="str">
        <f>$A$5</f>
        <v>CR</v>
      </c>
      <c r="D15" s="475"/>
      <c r="E15" s="476"/>
      <c r="F15" s="474"/>
      <c r="G15" s="475"/>
      <c r="H15" s="476"/>
      <c r="I15" s="71" t="s">
        <v>128</v>
      </c>
      <c r="J15" s="65" t="s">
        <v>6</v>
      </c>
      <c r="K15" s="66"/>
      <c r="L15" s="67" t="s">
        <v>7</v>
      </c>
      <c r="M15" s="68">
        <f>K15*B15</f>
        <v>0</v>
      </c>
      <c r="N15" s="69"/>
      <c r="O15" s="70"/>
      <c r="P15" s="67" t="s">
        <v>7</v>
      </c>
      <c r="Q15" s="478"/>
      <c r="R15" s="311"/>
      <c r="S15" s="71" t="s">
        <v>7</v>
      </c>
      <c r="T15" s="123">
        <f t="shared" ref="T15:T78" si="1">R15-M15</f>
        <v>0</v>
      </c>
      <c r="U15" s="72"/>
      <c r="V15" s="72"/>
      <c r="W15" s="73"/>
      <c r="X15" s="74"/>
      <c r="Y15" s="314" t="s">
        <v>270</v>
      </c>
      <c r="Z15" s="63"/>
      <c r="AA15" s="64"/>
      <c r="AB15" s="566"/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0</v>
      </c>
      <c r="C16" s="368" t="str">
        <f>$A$6</f>
        <v>LB</v>
      </c>
      <c r="D16" s="369"/>
      <c r="E16" s="370"/>
      <c r="F16" s="368"/>
      <c r="G16" s="369"/>
      <c r="H16" s="370"/>
      <c r="I16" s="75" t="s">
        <v>128</v>
      </c>
      <c r="J16" s="76" t="s">
        <v>6</v>
      </c>
      <c r="K16" s="83"/>
      <c r="L16" s="77" t="s">
        <v>7</v>
      </c>
      <c r="M16" s="78">
        <f t="shared" ref="M16:M17" si="2">K16*B16</f>
        <v>0</v>
      </c>
      <c r="N16" s="79"/>
      <c r="O16" s="128"/>
      <c r="P16" s="77" t="s">
        <v>7</v>
      </c>
      <c r="Q16" s="447"/>
      <c r="R16" s="294"/>
      <c r="S16" s="75" t="s">
        <v>7</v>
      </c>
      <c r="T16" s="81">
        <f t="shared" si="1"/>
        <v>0</v>
      </c>
      <c r="U16" s="131"/>
      <c r="V16" s="131"/>
      <c r="W16" s="132"/>
      <c r="X16" s="133"/>
      <c r="Y16" s="320" t="s">
        <v>329</v>
      </c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thickBot="1" x14ac:dyDescent="0.2">
      <c r="A17" s="432"/>
      <c r="B17" s="182">
        <f>$I$7</f>
        <v>0</v>
      </c>
      <c r="C17" s="368" t="str">
        <f>$A$7</f>
        <v>DG</v>
      </c>
      <c r="D17" s="369"/>
      <c r="E17" s="370"/>
      <c r="F17" s="368"/>
      <c r="G17" s="369"/>
      <c r="H17" s="370"/>
      <c r="I17" s="75" t="s">
        <v>128</v>
      </c>
      <c r="J17" s="76" t="s">
        <v>6</v>
      </c>
      <c r="K17" s="83"/>
      <c r="L17" s="77" t="s">
        <v>7</v>
      </c>
      <c r="M17" s="78">
        <f t="shared" si="2"/>
        <v>0</v>
      </c>
      <c r="N17" s="79"/>
      <c r="O17" s="128"/>
      <c r="P17" s="77" t="s">
        <v>7</v>
      </c>
      <c r="Q17" s="444"/>
      <c r="R17" s="294"/>
      <c r="S17" s="75" t="s">
        <v>7</v>
      </c>
      <c r="T17" s="81">
        <f t="shared" si="1"/>
        <v>0</v>
      </c>
      <c r="U17" s="131"/>
      <c r="V17" s="131"/>
      <c r="W17" s="132"/>
      <c r="X17" s="133"/>
      <c r="Y17" s="320" t="s">
        <v>329</v>
      </c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73" t="s">
        <v>346</v>
      </c>
      <c r="B18" s="185">
        <f>$I$5</f>
        <v>0</v>
      </c>
      <c r="C18" s="474" t="str">
        <f>$A$5</f>
        <v>CR</v>
      </c>
      <c r="D18" s="475"/>
      <c r="E18" s="476"/>
      <c r="F18" s="474"/>
      <c r="G18" s="475"/>
      <c r="H18" s="476"/>
      <c r="I18" s="71" t="s">
        <v>128</v>
      </c>
      <c r="J18" s="65" t="s">
        <v>6</v>
      </c>
      <c r="K18" s="66"/>
      <c r="L18" s="67" t="s">
        <v>7</v>
      </c>
      <c r="M18" s="68">
        <f>K18*B18</f>
        <v>0</v>
      </c>
      <c r="N18" s="69"/>
      <c r="O18" s="70"/>
      <c r="P18" s="67" t="s">
        <v>7</v>
      </c>
      <c r="Q18" s="339"/>
      <c r="R18" s="311"/>
      <c r="S18" s="71" t="s">
        <v>7</v>
      </c>
      <c r="T18" s="123">
        <f t="shared" si="1"/>
        <v>0</v>
      </c>
      <c r="U18" s="72"/>
      <c r="V18" s="72"/>
      <c r="W18" s="73"/>
      <c r="X18" s="74"/>
      <c r="Y18" s="314" t="s">
        <v>270</v>
      </c>
      <c r="Z18" s="63"/>
      <c r="AA18" s="64"/>
      <c r="AB18" s="566"/>
      <c r="AC18" s="178"/>
      <c r="AD18" s="179"/>
      <c r="AE18" s="179"/>
      <c r="AF18" s="179"/>
    </row>
    <row r="19" spans="1:32" s="55" customFormat="1" ht="69.95" hidden="1" customHeight="1" x14ac:dyDescent="0.15">
      <c r="A19" s="559"/>
      <c r="B19" s="182">
        <f>$I$6</f>
        <v>0</v>
      </c>
      <c r="C19" s="368" t="str">
        <f>$A$6</f>
        <v>LB</v>
      </c>
      <c r="D19" s="369"/>
      <c r="E19" s="370"/>
      <c r="F19" s="368"/>
      <c r="G19" s="369"/>
      <c r="H19" s="370"/>
      <c r="I19" s="75" t="s">
        <v>128</v>
      </c>
      <c r="J19" s="76" t="s">
        <v>6</v>
      </c>
      <c r="K19" s="83"/>
      <c r="L19" s="77" t="s">
        <v>7</v>
      </c>
      <c r="M19" s="78">
        <f t="shared" ref="M19:M82" si="3">K19*B19</f>
        <v>0</v>
      </c>
      <c r="N19" s="79"/>
      <c r="O19" s="128"/>
      <c r="P19" s="77" t="s">
        <v>7</v>
      </c>
      <c r="Q19" s="328"/>
      <c r="R19" s="294"/>
      <c r="S19" s="75" t="s">
        <v>7</v>
      </c>
      <c r="T19" s="81">
        <f t="shared" si="1"/>
        <v>0</v>
      </c>
      <c r="U19" s="131"/>
      <c r="V19" s="131"/>
      <c r="W19" s="132"/>
      <c r="X19" s="133"/>
      <c r="Y19" s="320" t="s">
        <v>329</v>
      </c>
      <c r="Z19" s="134"/>
      <c r="AA19" s="135"/>
      <c r="AB19" s="361"/>
      <c r="AC19" s="178"/>
      <c r="AD19" s="179"/>
      <c r="AE19" s="179"/>
      <c r="AF19" s="179"/>
    </row>
    <row r="20" spans="1:32" s="55" customFormat="1" ht="69.95" customHeight="1" thickTop="1" x14ac:dyDescent="0.15">
      <c r="A20" s="559"/>
      <c r="B20" s="182">
        <f>$I$5</f>
        <v>0</v>
      </c>
      <c r="C20" s="474" t="str">
        <f>$A$5</f>
        <v>CR</v>
      </c>
      <c r="D20" s="475"/>
      <c r="E20" s="476"/>
      <c r="F20" s="368"/>
      <c r="G20" s="369"/>
      <c r="H20" s="370"/>
      <c r="I20" s="75" t="s">
        <v>8</v>
      </c>
      <c r="J20" s="76" t="s">
        <v>6</v>
      </c>
      <c r="K20" s="83"/>
      <c r="L20" s="77" t="s">
        <v>7</v>
      </c>
      <c r="M20" s="78">
        <f t="shared" si="3"/>
        <v>0</v>
      </c>
      <c r="N20" s="79"/>
      <c r="O20" s="128"/>
      <c r="P20" s="77" t="s">
        <v>7</v>
      </c>
      <c r="Q20" s="338"/>
      <c r="R20" s="294"/>
      <c r="S20" s="75" t="s">
        <v>7</v>
      </c>
      <c r="T20" s="81">
        <f t="shared" si="1"/>
        <v>0</v>
      </c>
      <c r="U20" s="131"/>
      <c r="V20" s="131"/>
      <c r="W20" s="132"/>
      <c r="X20" s="133"/>
      <c r="Y20" s="445" t="s">
        <v>347</v>
      </c>
      <c r="Z20" s="134"/>
      <c r="AA20" s="135"/>
      <c r="AB20" s="362"/>
      <c r="AC20" s="178"/>
      <c r="AD20" s="179"/>
      <c r="AE20" s="179"/>
      <c r="AF20" s="179"/>
    </row>
    <row r="21" spans="1:32" s="55" customFormat="1" ht="69.95" customHeight="1" x14ac:dyDescent="0.15">
      <c r="A21" s="559"/>
      <c r="B21" s="182">
        <f>$I$6</f>
        <v>0</v>
      </c>
      <c r="C21" s="368" t="str">
        <f>$A$6</f>
        <v>LB</v>
      </c>
      <c r="D21" s="369"/>
      <c r="E21" s="370"/>
      <c r="F21" s="461"/>
      <c r="G21" s="461"/>
      <c r="H21" s="461"/>
      <c r="I21" s="75" t="s">
        <v>8</v>
      </c>
      <c r="J21" s="76" t="s">
        <v>6</v>
      </c>
      <c r="K21" s="136"/>
      <c r="L21" s="77" t="s">
        <v>7</v>
      </c>
      <c r="M21" s="78">
        <f t="shared" si="3"/>
        <v>0</v>
      </c>
      <c r="N21" s="79"/>
      <c r="O21" s="78"/>
      <c r="P21" s="80" t="s">
        <v>7</v>
      </c>
      <c r="Q21" s="337"/>
      <c r="R21" s="78"/>
      <c r="S21" s="80" t="s">
        <v>7</v>
      </c>
      <c r="T21" s="81">
        <f t="shared" si="1"/>
        <v>0</v>
      </c>
      <c r="U21" s="82"/>
      <c r="V21" s="137"/>
      <c r="W21" s="78"/>
      <c r="X21" s="78"/>
      <c r="Y21" s="557"/>
      <c r="Z21" s="138"/>
      <c r="AA21" s="135"/>
      <c r="AB21" s="360"/>
      <c r="AC21" s="178"/>
      <c r="AD21" s="179"/>
      <c r="AE21" s="179"/>
      <c r="AF21" s="179"/>
    </row>
    <row r="22" spans="1:32" s="206" customFormat="1" ht="69.95" customHeight="1" x14ac:dyDescent="0.15">
      <c r="A22" s="432"/>
      <c r="B22" s="182">
        <f>$I$7</f>
        <v>0</v>
      </c>
      <c r="C22" s="368" t="str">
        <f>$A$7</f>
        <v>DG</v>
      </c>
      <c r="D22" s="369"/>
      <c r="E22" s="370"/>
      <c r="F22" s="461"/>
      <c r="G22" s="461"/>
      <c r="H22" s="461"/>
      <c r="I22" s="75" t="s">
        <v>8</v>
      </c>
      <c r="J22" s="76" t="s">
        <v>6</v>
      </c>
      <c r="K22" s="136"/>
      <c r="L22" s="77" t="s">
        <v>7</v>
      </c>
      <c r="M22" s="78">
        <f t="shared" si="3"/>
        <v>0</v>
      </c>
      <c r="N22" s="79"/>
      <c r="O22" s="128"/>
      <c r="P22" s="77" t="s">
        <v>7</v>
      </c>
      <c r="Q22" s="338"/>
      <c r="R22" s="130"/>
      <c r="S22" s="75" t="s">
        <v>7</v>
      </c>
      <c r="T22" s="81">
        <f t="shared" si="1"/>
        <v>0</v>
      </c>
      <c r="U22" s="131"/>
      <c r="V22" s="131"/>
      <c r="W22" s="132"/>
      <c r="X22" s="133"/>
      <c r="Y22" s="446"/>
      <c r="Z22" s="134"/>
      <c r="AA22" s="135"/>
      <c r="AB22" s="362"/>
      <c r="AC22" s="229"/>
      <c r="AD22" s="230"/>
      <c r="AE22" s="230"/>
      <c r="AF22" s="230"/>
    </row>
    <row r="23" spans="1:32" s="55" customFormat="1" ht="69.95" customHeight="1" x14ac:dyDescent="0.15">
      <c r="A23" s="611" t="s">
        <v>115</v>
      </c>
      <c r="B23" s="191">
        <f t="shared" ref="B23" si="4">$I$5</f>
        <v>0</v>
      </c>
      <c r="C23" s="465" t="str">
        <f t="shared" ref="C23:C25" si="5">$A$5</f>
        <v>CR</v>
      </c>
      <c r="D23" s="465"/>
      <c r="E23" s="465"/>
      <c r="F23" s="465"/>
      <c r="G23" s="465"/>
      <c r="H23" s="465"/>
      <c r="I23" s="433" t="s">
        <v>8</v>
      </c>
      <c r="J23" s="192" t="s">
        <v>6</v>
      </c>
      <c r="K23" s="209"/>
      <c r="L23" s="194" t="s">
        <v>7</v>
      </c>
      <c r="M23" s="195">
        <f t="shared" si="3"/>
        <v>0</v>
      </c>
      <c r="N23" s="196"/>
      <c r="O23" s="195"/>
      <c r="P23" s="197" t="s">
        <v>7</v>
      </c>
      <c r="Q23" s="435"/>
      <c r="R23" s="195"/>
      <c r="S23" s="197" t="s">
        <v>7</v>
      </c>
      <c r="T23" s="198">
        <f t="shared" si="1"/>
        <v>0</v>
      </c>
      <c r="U23" s="199"/>
      <c r="V23" s="200"/>
      <c r="W23" s="195"/>
      <c r="X23" s="195"/>
      <c r="Y23" s="437" t="s">
        <v>93</v>
      </c>
      <c r="Z23" s="235"/>
      <c r="AA23" s="202"/>
      <c r="AB23" s="439"/>
      <c r="AC23" s="178"/>
      <c r="AD23" s="179"/>
      <c r="AE23" s="179"/>
      <c r="AF23" s="179"/>
    </row>
    <row r="24" spans="1:32" s="143" customFormat="1" ht="69.95" customHeight="1" x14ac:dyDescent="0.15">
      <c r="A24" s="612"/>
      <c r="B24" s="191">
        <f>$I$6</f>
        <v>0</v>
      </c>
      <c r="C24" s="465" t="str">
        <f>$A$6</f>
        <v>LB</v>
      </c>
      <c r="D24" s="465"/>
      <c r="E24" s="465"/>
      <c r="F24" s="465"/>
      <c r="G24" s="465"/>
      <c r="H24" s="465"/>
      <c r="I24" s="434"/>
      <c r="J24" s="192" t="s">
        <v>6</v>
      </c>
      <c r="K24" s="209"/>
      <c r="L24" s="194" t="s">
        <v>7</v>
      </c>
      <c r="M24" s="195">
        <f t="shared" si="3"/>
        <v>0</v>
      </c>
      <c r="N24" s="196"/>
      <c r="O24" s="210"/>
      <c r="P24" s="194" t="s">
        <v>7</v>
      </c>
      <c r="Q24" s="436"/>
      <c r="R24" s="236"/>
      <c r="S24" s="207" t="s">
        <v>7</v>
      </c>
      <c r="T24" s="198">
        <f t="shared" si="1"/>
        <v>0</v>
      </c>
      <c r="U24" s="211"/>
      <c r="V24" s="211"/>
      <c r="W24" s="212"/>
      <c r="X24" s="213"/>
      <c r="Y24" s="438"/>
      <c r="Z24" s="238"/>
      <c r="AA24" s="238"/>
      <c r="AB24" s="440"/>
    </row>
    <row r="25" spans="1:32" s="143" customFormat="1" ht="69.95" customHeight="1" x14ac:dyDescent="0.15">
      <c r="A25" s="431" t="s">
        <v>107</v>
      </c>
      <c r="B25" s="182">
        <f>$I$5</f>
        <v>0</v>
      </c>
      <c r="C25" s="461" t="str">
        <f t="shared" si="5"/>
        <v>CR</v>
      </c>
      <c r="D25" s="461"/>
      <c r="E25" s="461"/>
      <c r="F25" s="461"/>
      <c r="G25" s="461"/>
      <c r="H25" s="461"/>
      <c r="I25" s="333" t="s">
        <v>58</v>
      </c>
      <c r="J25" s="76" t="s">
        <v>6</v>
      </c>
      <c r="K25" s="136"/>
      <c r="L25" s="77" t="s">
        <v>7</v>
      </c>
      <c r="M25" s="78">
        <f t="shared" si="3"/>
        <v>0</v>
      </c>
      <c r="N25" s="79"/>
      <c r="O25" s="78"/>
      <c r="P25" s="80" t="s">
        <v>7</v>
      </c>
      <c r="Q25" s="443"/>
      <c r="R25" s="81"/>
      <c r="S25" s="80" t="s">
        <v>7</v>
      </c>
      <c r="T25" s="81">
        <f t="shared" si="1"/>
        <v>0</v>
      </c>
      <c r="U25" s="82"/>
      <c r="V25" s="137"/>
      <c r="W25" s="78"/>
      <c r="X25" s="78"/>
      <c r="Y25" s="445" t="s">
        <v>59</v>
      </c>
      <c r="Z25" s="138"/>
      <c r="AA25" s="135"/>
      <c r="AB25" s="360"/>
      <c r="AC25" s="577"/>
      <c r="AD25" s="578"/>
      <c r="AE25" s="578"/>
      <c r="AF25" s="578"/>
    </row>
    <row r="26" spans="1:32" s="143" customFormat="1" ht="69.95" customHeight="1" thickBot="1" x14ac:dyDescent="0.2">
      <c r="A26" s="559"/>
      <c r="B26" s="182">
        <f>$I$6</f>
        <v>0</v>
      </c>
      <c r="C26" s="461" t="str">
        <f>$A$6</f>
        <v>LB</v>
      </c>
      <c r="D26" s="461"/>
      <c r="E26" s="461"/>
      <c r="F26" s="461"/>
      <c r="G26" s="461"/>
      <c r="H26" s="461"/>
      <c r="I26" s="333" t="s">
        <v>58</v>
      </c>
      <c r="J26" s="76" t="s">
        <v>6</v>
      </c>
      <c r="K26" s="136"/>
      <c r="L26" s="77" t="s">
        <v>7</v>
      </c>
      <c r="M26" s="78">
        <f t="shared" si="3"/>
        <v>0</v>
      </c>
      <c r="N26" s="79"/>
      <c r="O26" s="128"/>
      <c r="P26" s="77" t="s">
        <v>7</v>
      </c>
      <c r="Q26" s="444"/>
      <c r="R26" s="130"/>
      <c r="S26" s="75" t="s">
        <v>7</v>
      </c>
      <c r="T26" s="81">
        <f t="shared" si="1"/>
        <v>0</v>
      </c>
      <c r="U26" s="131"/>
      <c r="V26" s="131"/>
      <c r="W26" s="132"/>
      <c r="X26" s="133"/>
      <c r="Y26" s="557"/>
      <c r="Z26" s="134"/>
      <c r="AA26" s="135"/>
      <c r="AB26" s="362"/>
    </row>
    <row r="27" spans="1:32" s="206" customFormat="1" ht="69.95" customHeight="1" thickTop="1" x14ac:dyDescent="0.15">
      <c r="A27" s="559"/>
      <c r="B27" s="182">
        <f>$I$7</f>
        <v>0</v>
      </c>
      <c r="C27" s="368" t="str">
        <f>$A$7</f>
        <v>DG</v>
      </c>
      <c r="D27" s="369"/>
      <c r="E27" s="370"/>
      <c r="F27" s="461"/>
      <c r="G27" s="461"/>
      <c r="H27" s="461"/>
      <c r="I27" s="333" t="s">
        <v>58</v>
      </c>
      <c r="J27" s="76" t="s">
        <v>6</v>
      </c>
      <c r="K27" s="136"/>
      <c r="L27" s="77" t="s">
        <v>7</v>
      </c>
      <c r="M27" s="78">
        <f t="shared" si="3"/>
        <v>0</v>
      </c>
      <c r="N27" s="79"/>
      <c r="O27" s="128"/>
      <c r="P27" s="77" t="s">
        <v>7</v>
      </c>
      <c r="Q27" s="337"/>
      <c r="R27" s="130"/>
      <c r="S27" s="75" t="s">
        <v>7</v>
      </c>
      <c r="T27" s="81">
        <f t="shared" si="1"/>
        <v>0</v>
      </c>
      <c r="U27" s="131"/>
      <c r="V27" s="131"/>
      <c r="W27" s="132"/>
      <c r="X27" s="133"/>
      <c r="Y27" s="557"/>
      <c r="Z27" s="134"/>
      <c r="AA27" s="135"/>
      <c r="AB27" s="342"/>
      <c r="AC27" s="229"/>
      <c r="AD27" s="230"/>
      <c r="AE27" s="230"/>
      <c r="AF27" s="230"/>
    </row>
    <row r="28" spans="1:32" s="206" customFormat="1" ht="69.95" customHeight="1" x14ac:dyDescent="0.15">
      <c r="A28" s="613"/>
      <c r="B28" s="191"/>
      <c r="C28" s="422"/>
      <c r="D28" s="423"/>
      <c r="E28" s="424"/>
      <c r="F28" s="422"/>
      <c r="G28" s="423"/>
      <c r="H28" s="424"/>
      <c r="I28" s="336"/>
      <c r="J28" s="192"/>
      <c r="K28" s="209"/>
      <c r="L28" s="194"/>
      <c r="M28" s="195"/>
      <c r="N28" s="196"/>
      <c r="O28" s="210"/>
      <c r="P28" s="194"/>
      <c r="Q28" s="307"/>
      <c r="R28" s="236"/>
      <c r="S28" s="207"/>
      <c r="T28" s="198"/>
      <c r="U28" s="211"/>
      <c r="V28" s="211"/>
      <c r="W28" s="212"/>
      <c r="X28" s="213"/>
      <c r="Y28" s="562"/>
      <c r="Z28" s="214"/>
      <c r="AA28" s="202"/>
      <c r="AB28" s="558"/>
      <c r="AC28" s="229"/>
      <c r="AD28" s="230"/>
      <c r="AE28" s="230"/>
      <c r="AF28" s="230"/>
    </row>
    <row r="29" spans="1:32" s="206" customFormat="1" ht="69.95" customHeight="1" x14ac:dyDescent="0.15">
      <c r="A29" s="613"/>
      <c r="B29" s="191"/>
      <c r="C29" s="422"/>
      <c r="D29" s="423"/>
      <c r="E29" s="424"/>
      <c r="F29" s="422"/>
      <c r="G29" s="423"/>
      <c r="H29" s="424"/>
      <c r="I29" s="336"/>
      <c r="J29" s="192"/>
      <c r="K29" s="209"/>
      <c r="L29" s="194"/>
      <c r="M29" s="195"/>
      <c r="N29" s="196"/>
      <c r="O29" s="210"/>
      <c r="P29" s="194"/>
      <c r="Q29" s="307"/>
      <c r="R29" s="236"/>
      <c r="S29" s="207"/>
      <c r="T29" s="198"/>
      <c r="U29" s="211"/>
      <c r="V29" s="211"/>
      <c r="W29" s="212"/>
      <c r="X29" s="213"/>
      <c r="Y29" s="562"/>
      <c r="Z29" s="214"/>
      <c r="AA29" s="202"/>
      <c r="AB29" s="558"/>
      <c r="AC29" s="229"/>
      <c r="AD29" s="230"/>
      <c r="AE29" s="230"/>
      <c r="AF29" s="230"/>
    </row>
    <row r="30" spans="1:32" s="143" customFormat="1" ht="69.95" customHeight="1" x14ac:dyDescent="0.15">
      <c r="A30" s="612"/>
      <c r="B30" s="191">
        <f>$I$6</f>
        <v>0</v>
      </c>
      <c r="C30" s="465" t="str">
        <f>$A$6</f>
        <v>LB</v>
      </c>
      <c r="D30" s="465"/>
      <c r="E30" s="465"/>
      <c r="F30" s="465"/>
      <c r="G30" s="465"/>
      <c r="H30" s="465"/>
      <c r="I30" s="340"/>
      <c r="J30" s="192" t="s">
        <v>6</v>
      </c>
      <c r="K30" s="209"/>
      <c r="L30" s="194" t="s">
        <v>7</v>
      </c>
      <c r="M30" s="195">
        <f>K30*B30</f>
        <v>0</v>
      </c>
      <c r="N30" s="196"/>
      <c r="O30" s="210"/>
      <c r="P30" s="194" t="s">
        <v>7</v>
      </c>
      <c r="Q30" s="341"/>
      <c r="R30" s="200"/>
      <c r="S30" s="207" t="s">
        <v>9</v>
      </c>
      <c r="T30" s="198">
        <f t="shared" si="1"/>
        <v>0</v>
      </c>
      <c r="U30" s="211"/>
      <c r="V30" s="211"/>
      <c r="W30" s="212"/>
      <c r="X30" s="213"/>
      <c r="Y30" s="438"/>
      <c r="Z30" s="214"/>
      <c r="AA30" s="202"/>
      <c r="AB30" s="440"/>
      <c r="AC30" s="577"/>
      <c r="AD30" s="578"/>
      <c r="AE30" s="578"/>
      <c r="AF30" s="578"/>
    </row>
    <row r="31" spans="1:32" s="143" customFormat="1" ht="69.95" customHeight="1" x14ac:dyDescent="0.15">
      <c r="A31" s="464" t="s">
        <v>86</v>
      </c>
      <c r="B31" s="182">
        <f>$I$5</f>
        <v>0</v>
      </c>
      <c r="C31" s="461" t="str">
        <f t="shared" ref="C31" si="6">$A$5</f>
        <v>CR</v>
      </c>
      <c r="D31" s="461"/>
      <c r="E31" s="461"/>
      <c r="F31" s="461"/>
      <c r="G31" s="461"/>
      <c r="H31" s="461"/>
      <c r="I31" s="441" t="s">
        <v>251</v>
      </c>
      <c r="J31" s="76"/>
      <c r="K31" s="136"/>
      <c r="L31" s="77" t="s">
        <v>7</v>
      </c>
      <c r="M31" s="78">
        <f t="shared" ref="M31:M41" si="7">K31*B31/50</f>
        <v>0</v>
      </c>
      <c r="N31" s="79"/>
      <c r="O31" s="78"/>
      <c r="P31" s="80" t="s">
        <v>7</v>
      </c>
      <c r="Q31" s="443"/>
      <c r="R31" s="78"/>
      <c r="S31" s="80" t="s">
        <v>9</v>
      </c>
      <c r="T31" s="81">
        <f t="shared" si="1"/>
        <v>0</v>
      </c>
      <c r="U31" s="82"/>
      <c r="V31" s="137"/>
      <c r="W31" s="78"/>
      <c r="X31" s="78"/>
      <c r="Y31" s="445" t="s">
        <v>94</v>
      </c>
      <c r="Z31" s="141"/>
      <c r="AA31" s="135"/>
      <c r="AB31" s="360"/>
    </row>
    <row r="32" spans="1:32" s="143" customFormat="1" ht="69.95" customHeight="1" x14ac:dyDescent="0.15">
      <c r="A32" s="464"/>
      <c r="B32" s="182">
        <f>$I$6</f>
        <v>0</v>
      </c>
      <c r="C32" s="461" t="str">
        <f>$A$6</f>
        <v>LB</v>
      </c>
      <c r="D32" s="461"/>
      <c r="E32" s="461"/>
      <c r="F32" s="461"/>
      <c r="G32" s="461"/>
      <c r="H32" s="461"/>
      <c r="I32" s="563"/>
      <c r="J32" s="76"/>
      <c r="K32" s="136"/>
      <c r="L32" s="77" t="s">
        <v>7</v>
      </c>
      <c r="M32" s="78">
        <f t="shared" si="7"/>
        <v>0</v>
      </c>
      <c r="N32" s="79"/>
      <c r="O32" s="128"/>
      <c r="P32" s="77" t="s">
        <v>7</v>
      </c>
      <c r="Q32" s="447"/>
      <c r="R32" s="137"/>
      <c r="S32" s="75" t="s">
        <v>9</v>
      </c>
      <c r="T32" s="81">
        <f t="shared" si="1"/>
        <v>0</v>
      </c>
      <c r="U32" s="131"/>
      <c r="V32" s="131"/>
      <c r="W32" s="132"/>
      <c r="X32" s="133"/>
      <c r="Y32" s="557"/>
      <c r="Z32" s="134"/>
      <c r="AA32" s="135"/>
      <c r="AB32" s="361"/>
      <c r="AC32" s="577"/>
      <c r="AD32" s="578"/>
      <c r="AE32" s="578"/>
      <c r="AF32" s="578"/>
    </row>
    <row r="33" spans="1:32" s="203" customFormat="1" ht="69.95" customHeight="1" x14ac:dyDescent="0.15">
      <c r="A33" s="464"/>
      <c r="B33" s="182">
        <f>$I$7</f>
        <v>0</v>
      </c>
      <c r="C33" s="368" t="str">
        <f>$A$7</f>
        <v>DG</v>
      </c>
      <c r="D33" s="369"/>
      <c r="E33" s="370"/>
      <c r="F33" s="461"/>
      <c r="G33" s="461"/>
      <c r="H33" s="461"/>
      <c r="I33" s="442"/>
      <c r="J33" s="76"/>
      <c r="K33" s="136"/>
      <c r="L33" s="77" t="s">
        <v>7</v>
      </c>
      <c r="M33" s="78">
        <f t="shared" si="7"/>
        <v>0</v>
      </c>
      <c r="N33" s="79"/>
      <c r="O33" s="128"/>
      <c r="P33" s="77" t="s">
        <v>7</v>
      </c>
      <c r="Q33" s="444"/>
      <c r="R33" s="137"/>
      <c r="S33" s="75" t="s">
        <v>9</v>
      </c>
      <c r="T33" s="81">
        <f t="shared" si="1"/>
        <v>0</v>
      </c>
      <c r="U33" s="131"/>
      <c r="V33" s="131"/>
      <c r="W33" s="132"/>
      <c r="X33" s="133"/>
      <c r="Y33" s="446"/>
      <c r="Z33" s="134"/>
      <c r="AA33" s="135"/>
      <c r="AB33" s="362"/>
    </row>
    <row r="34" spans="1:32" s="203" customFormat="1" ht="69.95" customHeight="1" x14ac:dyDescent="0.15">
      <c r="A34" s="464" t="s">
        <v>222</v>
      </c>
      <c r="B34" s="182">
        <f>$I$5</f>
        <v>0</v>
      </c>
      <c r="C34" s="461" t="str">
        <f t="shared" ref="C34" si="8">$A$5</f>
        <v>CR</v>
      </c>
      <c r="D34" s="461"/>
      <c r="E34" s="461"/>
      <c r="F34" s="461"/>
      <c r="G34" s="461"/>
      <c r="H34" s="461"/>
      <c r="I34" s="441" t="s">
        <v>252</v>
      </c>
      <c r="J34" s="76"/>
      <c r="K34" s="136"/>
      <c r="L34" s="77" t="s">
        <v>7</v>
      </c>
      <c r="M34" s="78">
        <f t="shared" si="7"/>
        <v>0</v>
      </c>
      <c r="N34" s="79"/>
      <c r="O34" s="78"/>
      <c r="P34" s="80" t="s">
        <v>7</v>
      </c>
      <c r="Q34" s="443"/>
      <c r="R34" s="78"/>
      <c r="S34" s="80" t="s">
        <v>9</v>
      </c>
      <c r="T34" s="81">
        <f t="shared" si="1"/>
        <v>0</v>
      </c>
      <c r="U34" s="82"/>
      <c r="V34" s="137"/>
      <c r="W34" s="78"/>
      <c r="X34" s="78"/>
      <c r="Y34" s="445" t="s">
        <v>94</v>
      </c>
      <c r="Z34" s="141"/>
      <c r="AA34" s="135"/>
      <c r="AB34" s="360"/>
      <c r="AC34" s="466"/>
      <c r="AD34" s="467"/>
      <c r="AE34" s="467"/>
      <c r="AF34" s="467"/>
    </row>
    <row r="35" spans="1:32" s="203" customFormat="1" ht="69.95" customHeight="1" x14ac:dyDescent="0.15">
      <c r="A35" s="464"/>
      <c r="B35" s="182">
        <f>$I$6</f>
        <v>0</v>
      </c>
      <c r="C35" s="461" t="str">
        <f>$A$6</f>
        <v>LB</v>
      </c>
      <c r="D35" s="461"/>
      <c r="E35" s="461"/>
      <c r="F35" s="368"/>
      <c r="G35" s="369"/>
      <c r="H35" s="370"/>
      <c r="I35" s="563"/>
      <c r="J35" s="76"/>
      <c r="K35" s="136"/>
      <c r="L35" s="77" t="s">
        <v>7</v>
      </c>
      <c r="M35" s="78">
        <f t="shared" si="7"/>
        <v>0</v>
      </c>
      <c r="N35" s="79"/>
      <c r="O35" s="78"/>
      <c r="P35" s="80" t="s">
        <v>7</v>
      </c>
      <c r="Q35" s="447"/>
      <c r="R35" s="78"/>
      <c r="S35" s="80" t="s">
        <v>9</v>
      </c>
      <c r="T35" s="133">
        <f t="shared" si="1"/>
        <v>0</v>
      </c>
      <c r="U35" s="82"/>
      <c r="V35" s="137"/>
      <c r="W35" s="78"/>
      <c r="X35" s="78"/>
      <c r="Y35" s="557"/>
      <c r="Z35" s="141"/>
      <c r="AA35" s="135"/>
      <c r="AB35" s="361"/>
      <c r="AC35" s="334"/>
      <c r="AD35" s="335"/>
      <c r="AE35" s="335"/>
      <c r="AF35" s="335"/>
    </row>
    <row r="36" spans="1:32" s="203" customFormat="1" ht="69.95" customHeight="1" x14ac:dyDescent="0.15">
      <c r="A36" s="464"/>
      <c r="B36" s="182">
        <f>$I$7</f>
        <v>0</v>
      </c>
      <c r="C36" s="368" t="str">
        <f>$A$7</f>
        <v>DG</v>
      </c>
      <c r="D36" s="369"/>
      <c r="E36" s="370"/>
      <c r="F36" s="461"/>
      <c r="G36" s="461"/>
      <c r="H36" s="461"/>
      <c r="I36" s="442"/>
      <c r="J36" s="76"/>
      <c r="K36" s="136"/>
      <c r="L36" s="77" t="s">
        <v>7</v>
      </c>
      <c r="M36" s="78">
        <f t="shared" si="7"/>
        <v>0</v>
      </c>
      <c r="N36" s="79"/>
      <c r="O36" s="128"/>
      <c r="P36" s="77" t="s">
        <v>7</v>
      </c>
      <c r="Q36" s="444"/>
      <c r="R36" s="137"/>
      <c r="S36" s="75" t="s">
        <v>9</v>
      </c>
      <c r="T36" s="81">
        <f t="shared" si="1"/>
        <v>0</v>
      </c>
      <c r="U36" s="131"/>
      <c r="V36" s="131"/>
      <c r="W36" s="132"/>
      <c r="X36" s="133"/>
      <c r="Y36" s="446"/>
      <c r="Z36" s="134"/>
      <c r="AA36" s="135"/>
      <c r="AB36" s="362"/>
      <c r="AC36" s="466"/>
      <c r="AD36" s="467"/>
      <c r="AE36" s="467"/>
      <c r="AF36" s="467"/>
    </row>
    <row r="37" spans="1:32" s="203" customFormat="1" ht="69.95" customHeight="1" x14ac:dyDescent="0.15">
      <c r="A37" s="464" t="s">
        <v>77</v>
      </c>
      <c r="B37" s="182">
        <f>$I$5</f>
        <v>0</v>
      </c>
      <c r="C37" s="461" t="str">
        <f t="shared" ref="C37" si="9">$A$5</f>
        <v>CR</v>
      </c>
      <c r="D37" s="461"/>
      <c r="E37" s="461"/>
      <c r="F37" s="461"/>
      <c r="G37" s="461"/>
      <c r="H37" s="461"/>
      <c r="I37" s="441" t="s">
        <v>76</v>
      </c>
      <c r="J37" s="76"/>
      <c r="K37" s="136"/>
      <c r="L37" s="77" t="s">
        <v>7</v>
      </c>
      <c r="M37" s="78">
        <f t="shared" si="7"/>
        <v>0</v>
      </c>
      <c r="N37" s="79"/>
      <c r="O37" s="78"/>
      <c r="P37" s="80" t="s">
        <v>7</v>
      </c>
      <c r="Q37" s="443"/>
      <c r="R37" s="78"/>
      <c r="S37" s="80" t="s">
        <v>9</v>
      </c>
      <c r="T37" s="81">
        <f>R37-M37</f>
        <v>0</v>
      </c>
      <c r="U37" s="82"/>
      <c r="V37" s="137"/>
      <c r="W37" s="78"/>
      <c r="X37" s="78"/>
      <c r="Y37" s="445" t="s">
        <v>94</v>
      </c>
      <c r="Z37" s="141"/>
      <c r="AA37" s="135"/>
      <c r="AB37" s="360"/>
    </row>
    <row r="38" spans="1:32" s="203" customFormat="1" ht="69.95" customHeight="1" x14ac:dyDescent="0.15">
      <c r="A38" s="464"/>
      <c r="B38" s="182">
        <f>$I$6</f>
        <v>0</v>
      </c>
      <c r="C38" s="461" t="str">
        <f>$A$6</f>
        <v>LB</v>
      </c>
      <c r="D38" s="461"/>
      <c r="E38" s="461"/>
      <c r="F38" s="461"/>
      <c r="G38" s="461"/>
      <c r="H38" s="461"/>
      <c r="I38" s="563"/>
      <c r="J38" s="76"/>
      <c r="K38" s="136"/>
      <c r="L38" s="77" t="s">
        <v>7</v>
      </c>
      <c r="M38" s="78">
        <f t="shared" si="7"/>
        <v>0</v>
      </c>
      <c r="N38" s="79"/>
      <c r="O38" s="128"/>
      <c r="P38" s="77" t="s">
        <v>7</v>
      </c>
      <c r="Q38" s="447"/>
      <c r="R38" s="137"/>
      <c r="S38" s="75" t="s">
        <v>9</v>
      </c>
      <c r="T38" s="81">
        <f>R38-M38</f>
        <v>0</v>
      </c>
      <c r="U38" s="131"/>
      <c r="V38" s="131"/>
      <c r="W38" s="132"/>
      <c r="X38" s="133"/>
      <c r="Y38" s="557"/>
      <c r="Z38" s="134"/>
      <c r="AA38" s="135"/>
      <c r="AB38" s="361"/>
      <c r="AC38" s="466"/>
      <c r="AD38" s="467"/>
      <c r="AE38" s="467"/>
      <c r="AF38" s="467"/>
    </row>
    <row r="39" spans="1:32" s="143" customFormat="1" ht="69.95" customHeight="1" x14ac:dyDescent="0.15">
      <c r="A39" s="464"/>
      <c r="B39" s="182">
        <f>$I$7</f>
        <v>0</v>
      </c>
      <c r="C39" s="368" t="str">
        <f>$A$7</f>
        <v>DG</v>
      </c>
      <c r="D39" s="369"/>
      <c r="E39" s="370"/>
      <c r="F39" s="461"/>
      <c r="G39" s="461"/>
      <c r="H39" s="461"/>
      <c r="I39" s="442"/>
      <c r="J39" s="76"/>
      <c r="K39" s="136"/>
      <c r="L39" s="77" t="s">
        <v>7</v>
      </c>
      <c r="M39" s="78">
        <f t="shared" si="7"/>
        <v>0</v>
      </c>
      <c r="N39" s="79"/>
      <c r="O39" s="128"/>
      <c r="P39" s="77" t="s">
        <v>7</v>
      </c>
      <c r="Q39" s="444"/>
      <c r="R39" s="137"/>
      <c r="S39" s="75" t="s">
        <v>9</v>
      </c>
      <c r="T39" s="81">
        <f>R39-M39</f>
        <v>0</v>
      </c>
      <c r="U39" s="131"/>
      <c r="V39" s="131"/>
      <c r="W39" s="132"/>
      <c r="X39" s="133"/>
      <c r="Y39" s="446"/>
      <c r="Z39" s="134"/>
      <c r="AA39" s="135"/>
      <c r="AB39" s="362"/>
    </row>
    <row r="40" spans="1:32" s="55" customFormat="1" ht="69.95" customHeight="1" x14ac:dyDescent="0.15">
      <c r="A40" s="464" t="s">
        <v>116</v>
      </c>
      <c r="B40" s="191">
        <f>$I$5</f>
        <v>0</v>
      </c>
      <c r="C40" s="465" t="str">
        <f>$A$5</f>
        <v>CR</v>
      </c>
      <c r="D40" s="465"/>
      <c r="E40" s="465"/>
      <c r="F40" s="465"/>
      <c r="G40" s="465"/>
      <c r="H40" s="465"/>
      <c r="I40" s="433" t="s">
        <v>76</v>
      </c>
      <c r="J40" s="192"/>
      <c r="K40" s="209"/>
      <c r="L40" s="194" t="s">
        <v>7</v>
      </c>
      <c r="M40" s="195">
        <f t="shared" si="7"/>
        <v>0</v>
      </c>
      <c r="N40" s="196"/>
      <c r="O40" s="195"/>
      <c r="P40" s="197" t="s">
        <v>7</v>
      </c>
      <c r="Q40" s="435"/>
      <c r="R40" s="195"/>
      <c r="S40" s="197" t="s">
        <v>9</v>
      </c>
      <c r="T40" s="198">
        <f t="shared" si="1"/>
        <v>0</v>
      </c>
      <c r="U40" s="199"/>
      <c r="V40" s="200"/>
      <c r="W40" s="195"/>
      <c r="X40" s="195"/>
      <c r="Y40" s="437" t="s">
        <v>94</v>
      </c>
      <c r="Z40" s="201"/>
      <c r="AA40" s="202"/>
      <c r="AB40" s="439"/>
      <c r="AC40" s="471"/>
      <c r="AD40" s="472"/>
      <c r="AE40" s="472"/>
      <c r="AF40" s="472"/>
    </row>
    <row r="41" spans="1:32" s="55" customFormat="1" ht="69.95" customHeight="1" x14ac:dyDescent="0.15">
      <c r="A41" s="464"/>
      <c r="B41" s="191">
        <f>$I$6</f>
        <v>0</v>
      </c>
      <c r="C41" s="465" t="str">
        <f>$A$6</f>
        <v>LB</v>
      </c>
      <c r="D41" s="465"/>
      <c r="E41" s="465"/>
      <c r="F41" s="465"/>
      <c r="G41" s="465"/>
      <c r="H41" s="465"/>
      <c r="I41" s="434"/>
      <c r="J41" s="192"/>
      <c r="K41" s="208"/>
      <c r="L41" s="194" t="s">
        <v>7</v>
      </c>
      <c r="M41" s="195">
        <f t="shared" si="7"/>
        <v>0</v>
      </c>
      <c r="N41" s="196"/>
      <c r="O41" s="210"/>
      <c r="P41" s="194" t="s">
        <v>7</v>
      </c>
      <c r="Q41" s="436"/>
      <c r="R41" s="200"/>
      <c r="S41" s="207" t="s">
        <v>9</v>
      </c>
      <c r="T41" s="198">
        <f t="shared" si="1"/>
        <v>0</v>
      </c>
      <c r="U41" s="211"/>
      <c r="V41" s="211"/>
      <c r="W41" s="212"/>
      <c r="X41" s="213"/>
      <c r="Y41" s="438"/>
      <c r="Z41" s="214"/>
      <c r="AA41" s="202"/>
      <c r="AB41" s="440"/>
      <c r="AC41" s="471"/>
      <c r="AD41" s="472"/>
      <c r="AE41" s="472"/>
      <c r="AF41" s="472"/>
    </row>
    <row r="42" spans="1:32" s="143" customFormat="1" ht="69.95" customHeight="1" x14ac:dyDescent="0.15">
      <c r="A42" s="431" t="s">
        <v>88</v>
      </c>
      <c r="B42" s="182">
        <f>$I$5</f>
        <v>0</v>
      </c>
      <c r="C42" s="461" t="str">
        <f>$A$5</f>
        <v>CR</v>
      </c>
      <c r="D42" s="461"/>
      <c r="E42" s="461"/>
      <c r="F42" s="461" t="str">
        <f>$A$5</f>
        <v>CR</v>
      </c>
      <c r="G42" s="461"/>
      <c r="H42" s="461"/>
      <c r="I42" s="441" t="s">
        <v>62</v>
      </c>
      <c r="J42" s="76"/>
      <c r="K42" s="139">
        <v>250</v>
      </c>
      <c r="L42" s="77" t="s">
        <v>61</v>
      </c>
      <c r="M42" s="78">
        <f t="shared" ref="M42:M50" si="10">K42*B42/2500</f>
        <v>0</v>
      </c>
      <c r="N42" s="79"/>
      <c r="O42" s="78"/>
      <c r="P42" s="80" t="s">
        <v>10</v>
      </c>
      <c r="Q42" s="443"/>
      <c r="R42" s="78"/>
      <c r="S42" s="80" t="s">
        <v>10</v>
      </c>
      <c r="T42" s="81">
        <f t="shared" si="1"/>
        <v>0</v>
      </c>
      <c r="U42" s="82"/>
      <c r="V42" s="137"/>
      <c r="W42" s="78"/>
      <c r="X42" s="78"/>
      <c r="Y42" s="445" t="s">
        <v>94</v>
      </c>
      <c r="Z42" s="141"/>
      <c r="AA42" s="135"/>
      <c r="AB42" s="360"/>
    </row>
    <row r="43" spans="1:32" s="55" customFormat="1" ht="69.95" customHeight="1" x14ac:dyDescent="0.15">
      <c r="A43" s="559"/>
      <c r="B43" s="186">
        <f>$I$6</f>
        <v>0</v>
      </c>
      <c r="C43" s="395" t="str">
        <f>$A$6</f>
        <v>LB</v>
      </c>
      <c r="D43" s="396"/>
      <c r="E43" s="397"/>
      <c r="F43" s="395" t="str">
        <f>$A$6</f>
        <v>LB</v>
      </c>
      <c r="G43" s="396"/>
      <c r="H43" s="397"/>
      <c r="I43" s="563"/>
      <c r="J43" s="144"/>
      <c r="K43" s="139">
        <v>250</v>
      </c>
      <c r="L43" s="145" t="s">
        <v>61</v>
      </c>
      <c r="M43" s="78">
        <f t="shared" si="10"/>
        <v>0</v>
      </c>
      <c r="N43" s="146"/>
      <c r="O43" s="147"/>
      <c r="P43" s="145" t="s">
        <v>10</v>
      </c>
      <c r="Q43" s="447"/>
      <c r="R43" s="161"/>
      <c r="S43" s="148" t="s">
        <v>10</v>
      </c>
      <c r="T43" s="84">
        <f t="shared" si="1"/>
        <v>0</v>
      </c>
      <c r="U43" s="149"/>
      <c r="V43" s="149"/>
      <c r="W43" s="150"/>
      <c r="X43" s="151"/>
      <c r="Y43" s="557"/>
      <c r="Z43" s="216"/>
      <c r="AA43" s="217"/>
      <c r="AB43" s="361"/>
      <c r="AC43" s="471"/>
      <c r="AD43" s="472"/>
      <c r="AE43" s="472"/>
      <c r="AF43" s="472"/>
    </row>
    <row r="44" spans="1:32" s="143" customFormat="1" ht="69.95" customHeight="1" x14ac:dyDescent="0.15">
      <c r="A44" s="432"/>
      <c r="B44" s="186">
        <f>$I$7</f>
        <v>0</v>
      </c>
      <c r="C44" s="395" t="str">
        <f>$A$7</f>
        <v>DG</v>
      </c>
      <c r="D44" s="396"/>
      <c r="E44" s="397"/>
      <c r="F44" s="395" t="str">
        <f>$A$7</f>
        <v>DG</v>
      </c>
      <c r="G44" s="396"/>
      <c r="H44" s="397"/>
      <c r="I44" s="442"/>
      <c r="J44" s="144"/>
      <c r="K44" s="139">
        <v>250</v>
      </c>
      <c r="L44" s="145" t="s">
        <v>61</v>
      </c>
      <c r="M44" s="78">
        <f t="shared" si="10"/>
        <v>0</v>
      </c>
      <c r="N44" s="146"/>
      <c r="O44" s="147"/>
      <c r="P44" s="145" t="s">
        <v>10</v>
      </c>
      <c r="Q44" s="444"/>
      <c r="R44" s="161"/>
      <c r="S44" s="148" t="s">
        <v>10</v>
      </c>
      <c r="T44" s="84">
        <f t="shared" si="1"/>
        <v>0</v>
      </c>
      <c r="U44" s="149"/>
      <c r="V44" s="149"/>
      <c r="W44" s="150"/>
      <c r="X44" s="151"/>
      <c r="Y44" s="446"/>
      <c r="Z44" s="216"/>
      <c r="AA44" s="217"/>
      <c r="AB44" s="362"/>
    </row>
    <row r="45" spans="1:32" s="143" customFormat="1" ht="69.95" customHeight="1" x14ac:dyDescent="0.15">
      <c r="A45" s="431" t="s">
        <v>348</v>
      </c>
      <c r="B45" s="182">
        <f>$I$5</f>
        <v>0</v>
      </c>
      <c r="C45" s="461" t="str">
        <f>$A$5</f>
        <v>CR</v>
      </c>
      <c r="D45" s="461"/>
      <c r="E45" s="461"/>
      <c r="F45" s="461" t="str">
        <f>$A$5</f>
        <v>CR</v>
      </c>
      <c r="G45" s="461"/>
      <c r="H45" s="461"/>
      <c r="I45" s="441" t="s">
        <v>62</v>
      </c>
      <c r="J45" s="76"/>
      <c r="K45" s="139">
        <v>300</v>
      </c>
      <c r="L45" s="77" t="s">
        <v>61</v>
      </c>
      <c r="M45" s="78">
        <f t="shared" si="10"/>
        <v>0</v>
      </c>
      <c r="N45" s="79"/>
      <c r="O45" s="78"/>
      <c r="P45" s="80" t="s">
        <v>10</v>
      </c>
      <c r="Q45" s="443"/>
      <c r="R45" s="78"/>
      <c r="S45" s="80" t="s">
        <v>10</v>
      </c>
      <c r="T45" s="81">
        <f t="shared" si="1"/>
        <v>0</v>
      </c>
      <c r="U45" s="82"/>
      <c r="V45" s="137"/>
      <c r="W45" s="78"/>
      <c r="X45" s="78"/>
      <c r="Y45" s="445" t="s">
        <v>94</v>
      </c>
      <c r="Z45" s="141"/>
      <c r="AA45" s="135"/>
      <c r="AB45" s="360"/>
    </row>
    <row r="46" spans="1:32" s="55" customFormat="1" ht="69.95" customHeight="1" x14ac:dyDescent="0.15">
      <c r="A46" s="559"/>
      <c r="B46" s="186">
        <f>$I$6</f>
        <v>0</v>
      </c>
      <c r="C46" s="395" t="str">
        <f>$A$6</f>
        <v>LB</v>
      </c>
      <c r="D46" s="396"/>
      <c r="E46" s="397"/>
      <c r="F46" s="395" t="str">
        <f>$A$6</f>
        <v>LB</v>
      </c>
      <c r="G46" s="396"/>
      <c r="H46" s="397"/>
      <c r="I46" s="563"/>
      <c r="J46" s="144"/>
      <c r="K46" s="139">
        <v>300</v>
      </c>
      <c r="L46" s="145" t="s">
        <v>61</v>
      </c>
      <c r="M46" s="78">
        <f t="shared" si="10"/>
        <v>0</v>
      </c>
      <c r="N46" s="146"/>
      <c r="O46" s="147"/>
      <c r="P46" s="145" t="s">
        <v>10</v>
      </c>
      <c r="Q46" s="447"/>
      <c r="R46" s="161"/>
      <c r="S46" s="148" t="s">
        <v>10</v>
      </c>
      <c r="T46" s="84">
        <f t="shared" si="1"/>
        <v>0</v>
      </c>
      <c r="U46" s="149"/>
      <c r="V46" s="149"/>
      <c r="W46" s="150"/>
      <c r="X46" s="151"/>
      <c r="Y46" s="557"/>
      <c r="Z46" s="216"/>
      <c r="AA46" s="217"/>
      <c r="AB46" s="361"/>
      <c r="AC46" s="471"/>
      <c r="AD46" s="472"/>
      <c r="AE46" s="472"/>
      <c r="AF46" s="472"/>
    </row>
    <row r="47" spans="1:32" s="143" customFormat="1" ht="69.95" customHeight="1" x14ac:dyDescent="0.15">
      <c r="A47" s="432"/>
      <c r="B47" s="186">
        <f>$I$7</f>
        <v>0</v>
      </c>
      <c r="C47" s="395" t="str">
        <f>$A$7</f>
        <v>DG</v>
      </c>
      <c r="D47" s="396"/>
      <c r="E47" s="397"/>
      <c r="F47" s="395" t="str">
        <f>$A$7</f>
        <v>DG</v>
      </c>
      <c r="G47" s="396"/>
      <c r="H47" s="397"/>
      <c r="I47" s="442"/>
      <c r="J47" s="144"/>
      <c r="K47" s="139">
        <v>300</v>
      </c>
      <c r="L47" s="145" t="s">
        <v>61</v>
      </c>
      <c r="M47" s="78">
        <f t="shared" si="10"/>
        <v>0</v>
      </c>
      <c r="N47" s="146"/>
      <c r="O47" s="147"/>
      <c r="P47" s="145" t="s">
        <v>10</v>
      </c>
      <c r="Q47" s="444"/>
      <c r="R47" s="161"/>
      <c r="S47" s="148" t="s">
        <v>10</v>
      </c>
      <c r="T47" s="84">
        <f t="shared" si="1"/>
        <v>0</v>
      </c>
      <c r="U47" s="149"/>
      <c r="V47" s="149"/>
      <c r="W47" s="150"/>
      <c r="X47" s="151"/>
      <c r="Y47" s="446"/>
      <c r="Z47" s="216"/>
      <c r="AA47" s="217"/>
      <c r="AB47" s="362"/>
    </row>
    <row r="48" spans="1:32" s="143" customFormat="1" ht="69.95" customHeight="1" x14ac:dyDescent="0.15">
      <c r="A48" s="431" t="s">
        <v>285</v>
      </c>
      <c r="B48" s="182">
        <f>$I$5</f>
        <v>0</v>
      </c>
      <c r="C48" s="461" t="str">
        <f>$A$5</f>
        <v>CR</v>
      </c>
      <c r="D48" s="461"/>
      <c r="E48" s="461"/>
      <c r="F48" s="461" t="str">
        <f>$A$5</f>
        <v>CR</v>
      </c>
      <c r="G48" s="461"/>
      <c r="H48" s="461"/>
      <c r="I48" s="441" t="s">
        <v>60</v>
      </c>
      <c r="J48" s="76"/>
      <c r="K48" s="139">
        <v>10</v>
      </c>
      <c r="L48" s="77" t="s">
        <v>61</v>
      </c>
      <c r="M48" s="78">
        <f t="shared" si="10"/>
        <v>0</v>
      </c>
      <c r="N48" s="79"/>
      <c r="O48" s="78"/>
      <c r="P48" s="80" t="s">
        <v>10</v>
      </c>
      <c r="Q48" s="443"/>
      <c r="R48" s="78"/>
      <c r="S48" s="80" t="s">
        <v>10</v>
      </c>
      <c r="T48" s="81">
        <f t="shared" si="1"/>
        <v>0</v>
      </c>
      <c r="U48" s="82"/>
      <c r="V48" s="137"/>
      <c r="W48" s="78"/>
      <c r="X48" s="78"/>
      <c r="Y48" s="445" t="s">
        <v>94</v>
      </c>
      <c r="Z48" s="141"/>
      <c r="AA48" s="135"/>
      <c r="AB48" s="360"/>
    </row>
    <row r="49" spans="1:32" s="55" customFormat="1" ht="69.95" customHeight="1" x14ac:dyDescent="0.15">
      <c r="A49" s="559"/>
      <c r="B49" s="186">
        <f>$I$6</f>
        <v>0</v>
      </c>
      <c r="C49" s="395" t="str">
        <f>$A$6</f>
        <v>LB</v>
      </c>
      <c r="D49" s="396"/>
      <c r="E49" s="397"/>
      <c r="F49" s="395" t="str">
        <f>$A$6</f>
        <v>LB</v>
      </c>
      <c r="G49" s="396"/>
      <c r="H49" s="397"/>
      <c r="I49" s="563"/>
      <c r="J49" s="144"/>
      <c r="K49" s="139">
        <v>10</v>
      </c>
      <c r="L49" s="145" t="s">
        <v>61</v>
      </c>
      <c r="M49" s="78">
        <f t="shared" si="10"/>
        <v>0</v>
      </c>
      <c r="N49" s="146"/>
      <c r="O49" s="147"/>
      <c r="P49" s="145" t="s">
        <v>10</v>
      </c>
      <c r="Q49" s="447"/>
      <c r="R49" s="161"/>
      <c r="S49" s="148" t="s">
        <v>10</v>
      </c>
      <c r="T49" s="84">
        <f t="shared" si="1"/>
        <v>0</v>
      </c>
      <c r="U49" s="149"/>
      <c r="V49" s="149"/>
      <c r="W49" s="150"/>
      <c r="X49" s="151"/>
      <c r="Y49" s="557"/>
      <c r="Z49" s="216"/>
      <c r="AA49" s="217"/>
      <c r="AB49" s="361"/>
      <c r="AC49" s="471"/>
      <c r="AD49" s="472"/>
      <c r="AE49" s="472"/>
      <c r="AF49" s="472"/>
    </row>
    <row r="50" spans="1:32" s="143" customFormat="1" ht="69.95" customHeight="1" x14ac:dyDescent="0.15">
      <c r="A50" s="559"/>
      <c r="B50" s="186">
        <f>$I$7</f>
        <v>0</v>
      </c>
      <c r="C50" s="395" t="str">
        <f>$A$7</f>
        <v>DG</v>
      </c>
      <c r="D50" s="396"/>
      <c r="E50" s="397"/>
      <c r="F50" s="395" t="str">
        <f>$A$7</f>
        <v>DG</v>
      </c>
      <c r="G50" s="396"/>
      <c r="H50" s="397"/>
      <c r="I50" s="442"/>
      <c r="J50" s="144"/>
      <c r="K50" s="139">
        <v>10</v>
      </c>
      <c r="L50" s="145" t="s">
        <v>61</v>
      </c>
      <c r="M50" s="78">
        <f t="shared" si="10"/>
        <v>0</v>
      </c>
      <c r="N50" s="146"/>
      <c r="O50" s="147"/>
      <c r="P50" s="145" t="s">
        <v>10</v>
      </c>
      <c r="Q50" s="447"/>
      <c r="R50" s="161"/>
      <c r="S50" s="148" t="s">
        <v>10</v>
      </c>
      <c r="T50" s="84">
        <f t="shared" si="1"/>
        <v>0</v>
      </c>
      <c r="U50" s="149"/>
      <c r="V50" s="149"/>
      <c r="W50" s="150"/>
      <c r="X50" s="151"/>
      <c r="Y50" s="557"/>
      <c r="Z50" s="216"/>
      <c r="AA50" s="217"/>
      <c r="AB50" s="361"/>
    </row>
    <row r="51" spans="1:32" s="206" customFormat="1" ht="69.95" customHeight="1" x14ac:dyDescent="0.15">
      <c r="A51" s="431" t="s">
        <v>117</v>
      </c>
      <c r="B51" s="191">
        <f t="shared" ref="B51:B53" si="11">$I$5</f>
        <v>0</v>
      </c>
      <c r="C51" s="422" t="str">
        <f t="shared" ref="C51:C53" si="12">$A$5</f>
        <v>CR</v>
      </c>
      <c r="D51" s="423"/>
      <c r="E51" s="424"/>
      <c r="F51" s="425"/>
      <c r="G51" s="423"/>
      <c r="H51" s="424"/>
      <c r="I51" s="433" t="s">
        <v>80</v>
      </c>
      <c r="J51" s="192"/>
      <c r="K51" s="193"/>
      <c r="L51" s="194" t="s">
        <v>65</v>
      </c>
      <c r="M51" s="195">
        <f t="shared" ref="M51:M67" si="13">K51*B51</f>
        <v>0</v>
      </c>
      <c r="N51" s="196"/>
      <c r="O51" s="195"/>
      <c r="P51" s="194" t="s">
        <v>65</v>
      </c>
      <c r="Q51" s="435"/>
      <c r="R51" s="195"/>
      <c r="S51" s="194" t="s">
        <v>65</v>
      </c>
      <c r="T51" s="205">
        <f t="shared" si="1"/>
        <v>0</v>
      </c>
      <c r="U51" s="199"/>
      <c r="V51" s="199"/>
      <c r="W51" s="208"/>
      <c r="X51" s="198"/>
      <c r="Y51" s="437" t="s">
        <v>57</v>
      </c>
      <c r="Z51" s="231"/>
      <c r="AA51" s="232"/>
      <c r="AB51" s="439"/>
      <c r="AC51" s="234"/>
      <c r="AD51" s="230"/>
      <c r="AE51" s="230"/>
      <c r="AF51" s="230"/>
    </row>
    <row r="52" spans="1:32" s="55" customFormat="1" ht="69.95" customHeight="1" x14ac:dyDescent="0.15">
      <c r="A52" s="432"/>
      <c r="B52" s="204">
        <f>$I$6</f>
        <v>0</v>
      </c>
      <c r="C52" s="453" t="str">
        <f>$A$6</f>
        <v>LB</v>
      </c>
      <c r="D52" s="454"/>
      <c r="E52" s="455"/>
      <c r="F52" s="425"/>
      <c r="G52" s="423"/>
      <c r="H52" s="424"/>
      <c r="I52" s="434"/>
      <c r="J52" s="192"/>
      <c r="K52" s="193"/>
      <c r="L52" s="194" t="s">
        <v>65</v>
      </c>
      <c r="M52" s="195">
        <f t="shared" si="13"/>
        <v>0</v>
      </c>
      <c r="N52" s="233"/>
      <c r="O52" s="195"/>
      <c r="P52" s="194" t="s">
        <v>65</v>
      </c>
      <c r="Q52" s="436"/>
      <c r="R52" s="195"/>
      <c r="S52" s="194" t="s">
        <v>65</v>
      </c>
      <c r="T52" s="198">
        <f t="shared" si="1"/>
        <v>0</v>
      </c>
      <c r="U52" s="199"/>
      <c r="V52" s="200"/>
      <c r="W52" s="195"/>
      <c r="X52" s="195"/>
      <c r="Y52" s="438"/>
      <c r="Z52" s="201"/>
      <c r="AA52" s="202"/>
      <c r="AB52" s="440"/>
    </row>
    <row r="53" spans="1:32" s="55" customFormat="1" ht="69.95" customHeight="1" x14ac:dyDescent="0.15">
      <c r="A53" s="431" t="s">
        <v>78</v>
      </c>
      <c r="B53" s="191">
        <f t="shared" si="11"/>
        <v>0</v>
      </c>
      <c r="C53" s="422" t="str">
        <f t="shared" si="12"/>
        <v>CR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si="13"/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1"/>
        <v>0</v>
      </c>
      <c r="U53" s="199"/>
      <c r="V53" s="199"/>
      <c r="W53" s="208"/>
      <c r="X53" s="198"/>
      <c r="Y53" s="437" t="s">
        <v>57</v>
      </c>
      <c r="Z53" s="231"/>
      <c r="AA53" s="232"/>
      <c r="AB53" s="439"/>
      <c r="AC53" s="142"/>
      <c r="AD53" s="179"/>
      <c r="AE53" s="179"/>
      <c r="AF53" s="179"/>
    </row>
    <row r="54" spans="1:32" s="206" customFormat="1" ht="69.95" customHeight="1" x14ac:dyDescent="0.15">
      <c r="A54" s="432"/>
      <c r="B54" s="204">
        <f>$I$6</f>
        <v>0</v>
      </c>
      <c r="C54" s="453" t="str">
        <f>$A$6</f>
        <v>LB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3"/>
        <v>0</v>
      </c>
      <c r="N54" s="233"/>
      <c r="O54" s="195"/>
      <c r="P54" s="194" t="s">
        <v>65</v>
      </c>
      <c r="Q54" s="436"/>
      <c r="R54" s="195"/>
      <c r="S54" s="194" t="s">
        <v>65</v>
      </c>
      <c r="T54" s="198">
        <f t="shared" si="1"/>
        <v>0</v>
      </c>
      <c r="U54" s="199"/>
      <c r="V54" s="200"/>
      <c r="W54" s="195"/>
      <c r="X54" s="195"/>
      <c r="Y54" s="438"/>
      <c r="Z54" s="201"/>
      <c r="AA54" s="202"/>
      <c r="AB54" s="440"/>
      <c r="AC54" s="234"/>
      <c r="AD54" s="230"/>
      <c r="AE54" s="230"/>
      <c r="AF54" s="230"/>
    </row>
    <row r="55" spans="1:32" s="206" customFormat="1" ht="69.95" customHeight="1" x14ac:dyDescent="0.15">
      <c r="A55" s="431" t="s">
        <v>100</v>
      </c>
      <c r="B55" s="191">
        <f t="shared" ref="B55:B64" si="14">$I$5</f>
        <v>0</v>
      </c>
      <c r="C55" s="422" t="str">
        <f t="shared" ref="C55:C64" si="15">$A$5</f>
        <v>CR</v>
      </c>
      <c r="D55" s="423"/>
      <c r="E55" s="424"/>
      <c r="F55" s="425"/>
      <c r="G55" s="423"/>
      <c r="H55" s="424"/>
      <c r="I55" s="207" t="s">
        <v>101</v>
      </c>
      <c r="J55" s="192"/>
      <c r="K55" s="193"/>
      <c r="L55" s="194" t="s">
        <v>63</v>
      </c>
      <c r="M55" s="195">
        <f t="shared" si="13"/>
        <v>0</v>
      </c>
      <c r="N55" s="196"/>
      <c r="O55" s="195"/>
      <c r="P55" s="197" t="s">
        <v>63</v>
      </c>
      <c r="Q55" s="435"/>
      <c r="R55" s="195"/>
      <c r="S55" s="197" t="s">
        <v>63</v>
      </c>
      <c r="T55" s="205">
        <f t="shared" si="1"/>
        <v>0</v>
      </c>
      <c r="U55" s="199"/>
      <c r="V55" s="199"/>
      <c r="W55" s="208"/>
      <c r="X55" s="198"/>
      <c r="Y55" s="437" t="s">
        <v>94</v>
      </c>
      <c r="Z55" s="231"/>
      <c r="AA55" s="232"/>
      <c r="AB55" s="439"/>
      <c r="AC55" s="234"/>
      <c r="AD55" s="230"/>
      <c r="AE55" s="230"/>
      <c r="AF55" s="230"/>
    </row>
    <row r="56" spans="1:32" s="206" customFormat="1" ht="69.95" customHeight="1" x14ac:dyDescent="0.15">
      <c r="A56" s="432"/>
      <c r="B56" s="204">
        <f>$I$6</f>
        <v>0</v>
      </c>
      <c r="C56" s="453" t="str">
        <f>$A$6</f>
        <v>LB</v>
      </c>
      <c r="D56" s="454"/>
      <c r="E56" s="455"/>
      <c r="F56" s="425"/>
      <c r="G56" s="423"/>
      <c r="H56" s="424"/>
      <c r="I56" s="207" t="s">
        <v>101</v>
      </c>
      <c r="J56" s="192"/>
      <c r="K56" s="193"/>
      <c r="L56" s="194" t="s">
        <v>63</v>
      </c>
      <c r="M56" s="195">
        <f t="shared" si="13"/>
        <v>0</v>
      </c>
      <c r="N56" s="233"/>
      <c r="O56" s="195"/>
      <c r="P56" s="197" t="s">
        <v>63</v>
      </c>
      <c r="Q56" s="436"/>
      <c r="R56" s="195"/>
      <c r="S56" s="197" t="s">
        <v>63</v>
      </c>
      <c r="T56" s="198">
        <f t="shared" si="1"/>
        <v>0</v>
      </c>
      <c r="U56" s="199"/>
      <c r="V56" s="200"/>
      <c r="W56" s="195"/>
      <c r="X56" s="195"/>
      <c r="Y56" s="438"/>
      <c r="Z56" s="201"/>
      <c r="AA56" s="202"/>
      <c r="AB56" s="440"/>
    </row>
    <row r="57" spans="1:32" s="206" customFormat="1" ht="69.95" customHeight="1" x14ac:dyDescent="0.15">
      <c r="A57" s="431" t="s">
        <v>265</v>
      </c>
      <c r="B57" s="191">
        <f t="shared" ref="B57" si="16">$I$5</f>
        <v>0</v>
      </c>
      <c r="C57" s="422" t="str">
        <f t="shared" si="15"/>
        <v>CR</v>
      </c>
      <c r="D57" s="423"/>
      <c r="E57" s="424"/>
      <c r="F57" s="425"/>
      <c r="G57" s="426"/>
      <c r="H57" s="427"/>
      <c r="I57" s="215"/>
      <c r="J57" s="192"/>
      <c r="K57" s="193">
        <v>2</v>
      </c>
      <c r="L57" s="194" t="s">
        <v>267</v>
      </c>
      <c r="M57" s="321">
        <f t="shared" si="13"/>
        <v>0</v>
      </c>
      <c r="N57" s="233"/>
      <c r="O57" s="195"/>
      <c r="P57" s="197"/>
      <c r="Q57" s="317"/>
      <c r="R57" s="195"/>
      <c r="S57" s="197" t="s">
        <v>264</v>
      </c>
      <c r="T57" s="322">
        <f t="shared" si="1"/>
        <v>0</v>
      </c>
      <c r="U57" s="199"/>
      <c r="V57" s="200"/>
      <c r="W57" s="195"/>
      <c r="X57" s="195"/>
      <c r="Y57" s="437" t="s">
        <v>64</v>
      </c>
      <c r="Z57" s="201"/>
      <c r="AA57" s="202"/>
      <c r="AB57" s="439"/>
      <c r="AC57" s="234"/>
      <c r="AD57" s="230"/>
      <c r="AE57" s="230"/>
      <c r="AF57" s="230"/>
    </row>
    <row r="58" spans="1:32" s="206" customFormat="1" ht="69.95" customHeight="1" x14ac:dyDescent="0.15">
      <c r="A58" s="432"/>
      <c r="B58" s="204">
        <f>$I$6</f>
        <v>0</v>
      </c>
      <c r="C58" s="422" t="str">
        <f>$A$6</f>
        <v>LB</v>
      </c>
      <c r="D58" s="423"/>
      <c r="E58" s="424"/>
      <c r="F58" s="425"/>
      <c r="G58" s="426"/>
      <c r="H58" s="427"/>
      <c r="I58" s="215"/>
      <c r="J58" s="192"/>
      <c r="K58" s="193">
        <v>2</v>
      </c>
      <c r="L58" s="194" t="s">
        <v>267</v>
      </c>
      <c r="M58" s="321">
        <f t="shared" si="13"/>
        <v>0</v>
      </c>
      <c r="N58" s="233"/>
      <c r="O58" s="195"/>
      <c r="P58" s="197"/>
      <c r="Q58" s="317"/>
      <c r="R58" s="195"/>
      <c r="S58" s="197" t="s">
        <v>264</v>
      </c>
      <c r="T58" s="322">
        <f t="shared" si="1"/>
        <v>0</v>
      </c>
      <c r="U58" s="199"/>
      <c r="V58" s="200"/>
      <c r="W58" s="195"/>
      <c r="X58" s="195"/>
      <c r="Y58" s="438"/>
      <c r="Z58" s="201"/>
      <c r="AA58" s="202"/>
      <c r="AB58" s="440"/>
      <c r="AC58" s="234"/>
      <c r="AD58" s="230"/>
      <c r="AE58" s="230"/>
      <c r="AF58" s="230"/>
    </row>
    <row r="59" spans="1:32" s="55" customFormat="1" ht="69.95" customHeight="1" x14ac:dyDescent="0.15">
      <c r="A59" s="431" t="s">
        <v>90</v>
      </c>
      <c r="B59" s="182">
        <f t="shared" si="14"/>
        <v>0</v>
      </c>
      <c r="C59" s="368" t="str">
        <f t="shared" si="15"/>
        <v>CR</v>
      </c>
      <c r="D59" s="369"/>
      <c r="E59" s="370"/>
      <c r="F59" s="428"/>
      <c r="G59" s="429"/>
      <c r="H59" s="430"/>
      <c r="I59" s="75" t="s">
        <v>121</v>
      </c>
      <c r="J59" s="76"/>
      <c r="K59" s="139">
        <v>1</v>
      </c>
      <c r="L59" s="77" t="s">
        <v>63</v>
      </c>
      <c r="M59" s="78">
        <f t="shared" si="13"/>
        <v>0</v>
      </c>
      <c r="N59" s="79"/>
      <c r="O59" s="78"/>
      <c r="P59" s="80" t="s">
        <v>63</v>
      </c>
      <c r="Q59" s="443"/>
      <c r="R59" s="78"/>
      <c r="S59" s="80" t="s">
        <v>63</v>
      </c>
      <c r="T59" s="84">
        <f t="shared" si="1"/>
        <v>0</v>
      </c>
      <c r="U59" s="82"/>
      <c r="V59" s="82"/>
      <c r="W59" s="83"/>
      <c r="X59" s="81"/>
      <c r="Y59" s="445" t="s">
        <v>64</v>
      </c>
      <c r="Z59" s="86"/>
      <c r="AA59" s="85"/>
      <c r="AB59" s="360"/>
    </row>
    <row r="60" spans="1:32" s="55" customFormat="1" ht="69.95" customHeight="1" x14ac:dyDescent="0.15">
      <c r="A60" s="559"/>
      <c r="B60" s="186">
        <f>$I$6</f>
        <v>0</v>
      </c>
      <c r="C60" s="368" t="str">
        <f>$A$6</f>
        <v>LB</v>
      </c>
      <c r="D60" s="369"/>
      <c r="E60" s="370"/>
      <c r="F60" s="428"/>
      <c r="G60" s="429"/>
      <c r="H60" s="430"/>
      <c r="I60" s="75" t="s">
        <v>121</v>
      </c>
      <c r="J60" s="76"/>
      <c r="K60" s="139">
        <v>1</v>
      </c>
      <c r="L60" s="77" t="s">
        <v>63</v>
      </c>
      <c r="M60" s="78">
        <f t="shared" si="13"/>
        <v>0</v>
      </c>
      <c r="N60" s="140"/>
      <c r="O60" s="78"/>
      <c r="P60" s="80" t="s">
        <v>63</v>
      </c>
      <c r="Q60" s="447"/>
      <c r="R60" s="78"/>
      <c r="S60" s="80" t="s">
        <v>63</v>
      </c>
      <c r="T60" s="81">
        <f t="shared" si="1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6">
        <f>$I$7</f>
        <v>0</v>
      </c>
      <c r="C61" s="368" t="str">
        <f>$A$7</f>
        <v>DG</v>
      </c>
      <c r="D61" s="369"/>
      <c r="E61" s="370"/>
      <c r="F61" s="428"/>
      <c r="G61" s="429"/>
      <c r="H61" s="430"/>
      <c r="I61" s="75" t="s">
        <v>121</v>
      </c>
      <c r="J61" s="76"/>
      <c r="K61" s="139">
        <v>1</v>
      </c>
      <c r="L61" s="77" t="s">
        <v>63</v>
      </c>
      <c r="M61" s="78">
        <f t="shared" si="13"/>
        <v>0</v>
      </c>
      <c r="N61" s="140"/>
      <c r="O61" s="78"/>
      <c r="P61" s="80" t="s">
        <v>63</v>
      </c>
      <c r="Q61" s="444"/>
      <c r="R61" s="78"/>
      <c r="S61" s="80" t="s">
        <v>63</v>
      </c>
      <c r="T61" s="81">
        <f t="shared" si="1"/>
        <v>0</v>
      </c>
      <c r="U61" s="82"/>
      <c r="V61" s="137"/>
      <c r="W61" s="78"/>
      <c r="X61" s="78"/>
      <c r="Y61" s="446"/>
      <c r="Z61" s="141"/>
      <c r="AA61" s="135"/>
      <c r="AB61" s="362"/>
    </row>
    <row r="62" spans="1:32" s="55" customFormat="1" ht="69.95" customHeight="1" x14ac:dyDescent="0.15">
      <c r="A62" s="431" t="s">
        <v>91</v>
      </c>
      <c r="B62" s="191">
        <f t="shared" si="14"/>
        <v>0</v>
      </c>
      <c r="C62" s="422" t="str">
        <f t="shared" si="15"/>
        <v>CR</v>
      </c>
      <c r="D62" s="423"/>
      <c r="E62" s="424"/>
      <c r="F62" s="425"/>
      <c r="G62" s="426"/>
      <c r="H62" s="427"/>
      <c r="I62" s="207" t="s">
        <v>75</v>
      </c>
      <c r="J62" s="192"/>
      <c r="K62" s="193"/>
      <c r="L62" s="194" t="s">
        <v>63</v>
      </c>
      <c r="M62" s="195">
        <f t="shared" si="13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1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  <c r="AC62" s="142"/>
      <c r="AD62" s="179"/>
      <c r="AE62" s="179"/>
      <c r="AF62" s="179"/>
    </row>
    <row r="63" spans="1:32" s="55" customFormat="1" ht="69.95" customHeight="1" x14ac:dyDescent="0.15">
      <c r="A63" s="432"/>
      <c r="B63" s="204">
        <f>$I$6</f>
        <v>0</v>
      </c>
      <c r="C63" s="422" t="str">
        <f>$A$6</f>
        <v>LB</v>
      </c>
      <c r="D63" s="423"/>
      <c r="E63" s="424"/>
      <c r="F63" s="425"/>
      <c r="G63" s="426"/>
      <c r="H63" s="427"/>
      <c r="I63" s="207" t="s">
        <v>75</v>
      </c>
      <c r="J63" s="192"/>
      <c r="K63" s="193"/>
      <c r="L63" s="194" t="s">
        <v>63</v>
      </c>
      <c r="M63" s="195">
        <f t="shared" si="13"/>
        <v>0</v>
      </c>
      <c r="N63" s="233"/>
      <c r="O63" s="195"/>
      <c r="P63" s="197" t="s">
        <v>63</v>
      </c>
      <c r="Q63" s="436"/>
      <c r="R63" s="195"/>
      <c r="S63" s="197" t="s">
        <v>63</v>
      </c>
      <c r="T63" s="198">
        <f t="shared" si="1"/>
        <v>0</v>
      </c>
      <c r="U63" s="199"/>
      <c r="V63" s="200"/>
      <c r="W63" s="195"/>
      <c r="X63" s="195"/>
      <c r="Y63" s="438"/>
      <c r="Z63" s="201"/>
      <c r="AA63" s="202"/>
      <c r="AB63" s="440"/>
    </row>
    <row r="64" spans="1:32" s="55" customFormat="1" ht="69.95" customHeight="1" x14ac:dyDescent="0.15">
      <c r="A64" s="431" t="s">
        <v>255</v>
      </c>
      <c r="B64" s="191">
        <f t="shared" si="14"/>
        <v>0</v>
      </c>
      <c r="C64" s="422" t="str">
        <f t="shared" si="15"/>
        <v>CR</v>
      </c>
      <c r="D64" s="423"/>
      <c r="E64" s="424"/>
      <c r="F64" s="425"/>
      <c r="G64" s="426"/>
      <c r="H64" s="427"/>
      <c r="I64" s="207" t="s">
        <v>79</v>
      </c>
      <c r="J64" s="192"/>
      <c r="K64" s="193">
        <v>4</v>
      </c>
      <c r="L64" s="194" t="s">
        <v>65</v>
      </c>
      <c r="M64" s="195">
        <f t="shared" si="13"/>
        <v>0</v>
      </c>
      <c r="N64" s="196"/>
      <c r="O64" s="195"/>
      <c r="P64" s="197" t="s">
        <v>63</v>
      </c>
      <c r="Q64" s="435"/>
      <c r="R64" s="195"/>
      <c r="S64" s="197" t="s">
        <v>63</v>
      </c>
      <c r="T64" s="205">
        <f t="shared" si="1"/>
        <v>0</v>
      </c>
      <c r="U64" s="199"/>
      <c r="V64" s="199"/>
      <c r="W64" s="208"/>
      <c r="X64" s="198"/>
      <c r="Y64" s="437" t="s">
        <v>64</v>
      </c>
      <c r="Z64" s="231"/>
      <c r="AA64" s="232"/>
      <c r="AB64" s="439"/>
      <c r="AC64" s="142"/>
      <c r="AD64" s="179"/>
      <c r="AE64" s="179"/>
      <c r="AF64" s="179"/>
    </row>
    <row r="65" spans="1:32" s="55" customFormat="1" ht="69.95" customHeight="1" x14ac:dyDescent="0.15">
      <c r="A65" s="432"/>
      <c r="B65" s="204">
        <f>$I$6</f>
        <v>0</v>
      </c>
      <c r="C65" s="422" t="str">
        <f>$A$6</f>
        <v>LB</v>
      </c>
      <c r="D65" s="423"/>
      <c r="E65" s="424"/>
      <c r="F65" s="425"/>
      <c r="G65" s="426"/>
      <c r="H65" s="427"/>
      <c r="I65" s="207" t="s">
        <v>79</v>
      </c>
      <c r="J65" s="192"/>
      <c r="K65" s="193">
        <v>4</v>
      </c>
      <c r="L65" s="194" t="s">
        <v>65</v>
      </c>
      <c r="M65" s="195">
        <f t="shared" si="13"/>
        <v>0</v>
      </c>
      <c r="N65" s="233"/>
      <c r="O65" s="195"/>
      <c r="P65" s="197" t="s">
        <v>63</v>
      </c>
      <c r="Q65" s="436"/>
      <c r="R65" s="195"/>
      <c r="S65" s="197" t="s">
        <v>63</v>
      </c>
      <c r="T65" s="198">
        <f t="shared" si="1"/>
        <v>0</v>
      </c>
      <c r="U65" s="199"/>
      <c r="V65" s="200"/>
      <c r="W65" s="195"/>
      <c r="X65" s="195"/>
      <c r="Y65" s="438"/>
      <c r="Z65" s="201"/>
      <c r="AA65" s="202"/>
      <c r="AB65" s="440"/>
    </row>
    <row r="66" spans="1:32" s="55" customFormat="1" ht="69.95" customHeight="1" x14ac:dyDescent="0.15">
      <c r="A66" s="431" t="s">
        <v>103</v>
      </c>
      <c r="B66" s="191">
        <f t="shared" ref="B66" si="17">$I$5</f>
        <v>0</v>
      </c>
      <c r="C66" s="422" t="str">
        <f t="shared" ref="C66" si="18">$A$5</f>
        <v>CR</v>
      </c>
      <c r="D66" s="423"/>
      <c r="E66" s="424"/>
      <c r="F66" s="425"/>
      <c r="G66" s="426"/>
      <c r="H66" s="427"/>
      <c r="I66" s="207"/>
      <c r="J66" s="192"/>
      <c r="K66" s="193"/>
      <c r="L66" s="194" t="s">
        <v>65</v>
      </c>
      <c r="M66" s="195">
        <f t="shared" si="13"/>
        <v>0</v>
      </c>
      <c r="N66" s="196"/>
      <c r="O66" s="195"/>
      <c r="P66" s="197" t="s">
        <v>65</v>
      </c>
      <c r="Q66" s="435"/>
      <c r="R66" s="195"/>
      <c r="S66" s="197" t="s">
        <v>65</v>
      </c>
      <c r="T66" s="205">
        <f t="shared" si="1"/>
        <v>0</v>
      </c>
      <c r="U66" s="199"/>
      <c r="V66" s="199"/>
      <c r="W66" s="208"/>
      <c r="X66" s="198"/>
      <c r="Y66" s="437" t="s">
        <v>94</v>
      </c>
      <c r="Z66" s="231"/>
      <c r="AA66" s="232"/>
      <c r="AB66" s="439"/>
      <c r="AC66" s="142"/>
      <c r="AD66" s="179"/>
      <c r="AE66" s="179"/>
      <c r="AF66" s="179"/>
    </row>
    <row r="67" spans="1:32" s="206" customFormat="1" ht="69.95" customHeight="1" x14ac:dyDescent="0.15">
      <c r="A67" s="432"/>
      <c r="B67" s="204">
        <f>$I$6</f>
        <v>0</v>
      </c>
      <c r="C67" s="422" t="str">
        <f>$A$6</f>
        <v>LB</v>
      </c>
      <c r="D67" s="423"/>
      <c r="E67" s="424"/>
      <c r="F67" s="425"/>
      <c r="G67" s="426"/>
      <c r="H67" s="427"/>
      <c r="I67" s="207"/>
      <c r="J67" s="192"/>
      <c r="K67" s="193"/>
      <c r="L67" s="194" t="s">
        <v>65</v>
      </c>
      <c r="M67" s="195">
        <f t="shared" si="13"/>
        <v>0</v>
      </c>
      <c r="N67" s="233"/>
      <c r="O67" s="195"/>
      <c r="P67" s="197" t="s">
        <v>65</v>
      </c>
      <c r="Q67" s="436"/>
      <c r="R67" s="195"/>
      <c r="S67" s="197" t="s">
        <v>65</v>
      </c>
      <c r="T67" s="198">
        <f t="shared" si="1"/>
        <v>0</v>
      </c>
      <c r="U67" s="199"/>
      <c r="V67" s="200"/>
      <c r="W67" s="195"/>
      <c r="X67" s="195"/>
      <c r="Y67" s="438"/>
      <c r="Z67" s="201"/>
      <c r="AA67" s="202"/>
      <c r="AB67" s="440"/>
    </row>
    <row r="68" spans="1:32" s="206" customFormat="1" ht="69.95" customHeight="1" x14ac:dyDescent="0.15">
      <c r="A68" s="431" t="s">
        <v>256</v>
      </c>
      <c r="B68" s="191">
        <f t="shared" ref="B68:B72" si="19">$I$5</f>
        <v>0</v>
      </c>
      <c r="C68" s="422" t="str">
        <f t="shared" ref="C68:C70" si="20">$A$5</f>
        <v>CR</v>
      </c>
      <c r="D68" s="423"/>
      <c r="E68" s="424"/>
      <c r="F68" s="425"/>
      <c r="G68" s="426"/>
      <c r="H68" s="427"/>
      <c r="I68" s="433" t="s">
        <v>102</v>
      </c>
      <c r="J68" s="192"/>
      <c r="K68" s="209">
        <v>0.96</v>
      </c>
      <c r="L68" s="194" t="s">
        <v>129</v>
      </c>
      <c r="M68" s="195">
        <f t="shared" si="3"/>
        <v>0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1"/>
        <v>0</v>
      </c>
      <c r="U68" s="199"/>
      <c r="V68" s="199"/>
      <c r="W68" s="208"/>
      <c r="X68" s="198"/>
      <c r="Y68" s="437" t="s">
        <v>130</v>
      </c>
      <c r="Z68" s="231"/>
      <c r="AA68" s="232"/>
      <c r="AB68" s="439"/>
      <c r="AC68" s="234"/>
      <c r="AD68" s="230"/>
      <c r="AE68" s="230"/>
      <c r="AF68" s="230"/>
    </row>
    <row r="69" spans="1:32" s="206" customFormat="1" ht="69.95" customHeight="1" x14ac:dyDescent="0.15">
      <c r="A69" s="432"/>
      <c r="B69" s="204">
        <f>$I$6</f>
        <v>0</v>
      </c>
      <c r="C69" s="422" t="str">
        <f>$A$6</f>
        <v>LB</v>
      </c>
      <c r="D69" s="423"/>
      <c r="E69" s="424"/>
      <c r="F69" s="425"/>
      <c r="G69" s="426"/>
      <c r="H69" s="427"/>
      <c r="I69" s="434"/>
      <c r="J69" s="192"/>
      <c r="K69" s="209">
        <v>0.96</v>
      </c>
      <c r="L69" s="194" t="s">
        <v>129</v>
      </c>
      <c r="M69" s="195">
        <f t="shared" si="3"/>
        <v>0</v>
      </c>
      <c r="N69" s="233"/>
      <c r="O69" s="195"/>
      <c r="P69" s="197" t="s">
        <v>63</v>
      </c>
      <c r="Q69" s="436"/>
      <c r="R69" s="195"/>
      <c r="S69" s="197" t="s">
        <v>63</v>
      </c>
      <c r="T69" s="198">
        <f t="shared" si="1"/>
        <v>0</v>
      </c>
      <c r="U69" s="199"/>
      <c r="V69" s="200"/>
      <c r="W69" s="195"/>
      <c r="X69" s="195"/>
      <c r="Y69" s="438"/>
      <c r="Z69" s="201"/>
      <c r="AA69" s="202"/>
      <c r="AB69" s="440"/>
      <c r="AC69" s="234"/>
      <c r="AD69" s="230"/>
      <c r="AE69" s="230"/>
      <c r="AF69" s="230"/>
    </row>
    <row r="70" spans="1:32" s="206" customFormat="1" ht="69.95" customHeight="1" x14ac:dyDescent="0.15">
      <c r="A70" s="431" t="s">
        <v>120</v>
      </c>
      <c r="B70" s="191">
        <f t="shared" si="19"/>
        <v>0</v>
      </c>
      <c r="C70" s="422" t="str">
        <f t="shared" si="20"/>
        <v>CR</v>
      </c>
      <c r="D70" s="423"/>
      <c r="E70" s="424"/>
      <c r="F70" s="425"/>
      <c r="G70" s="426"/>
      <c r="H70" s="427"/>
      <c r="I70" s="433" t="s">
        <v>75</v>
      </c>
      <c r="J70" s="192"/>
      <c r="K70" s="193">
        <v>2</v>
      </c>
      <c r="L70" s="194" t="s">
        <v>63</v>
      </c>
      <c r="M70" s="195">
        <f t="shared" si="3"/>
        <v>0</v>
      </c>
      <c r="N70" s="196"/>
      <c r="O70" s="195"/>
      <c r="P70" s="197" t="s">
        <v>63</v>
      </c>
      <c r="Q70" s="435"/>
      <c r="R70" s="195"/>
      <c r="S70" s="197" t="s">
        <v>63</v>
      </c>
      <c r="T70" s="205">
        <f t="shared" si="1"/>
        <v>0</v>
      </c>
      <c r="U70" s="199"/>
      <c r="V70" s="199"/>
      <c r="W70" s="208"/>
      <c r="X70" s="198"/>
      <c r="Y70" s="437" t="s">
        <v>64</v>
      </c>
      <c r="Z70" s="231"/>
      <c r="AA70" s="232"/>
      <c r="AB70" s="439"/>
      <c r="AC70" s="234"/>
      <c r="AD70" s="230"/>
      <c r="AE70" s="230"/>
      <c r="AF70" s="230"/>
    </row>
    <row r="71" spans="1:32" s="206" customFormat="1" ht="54.95" customHeight="1" x14ac:dyDescent="0.15">
      <c r="A71" s="432"/>
      <c r="B71" s="204">
        <f>$I$6</f>
        <v>0</v>
      </c>
      <c r="C71" s="422" t="str">
        <f>$A$6</f>
        <v>LB</v>
      </c>
      <c r="D71" s="423"/>
      <c r="E71" s="424"/>
      <c r="F71" s="425"/>
      <c r="G71" s="426"/>
      <c r="H71" s="427"/>
      <c r="I71" s="434"/>
      <c r="J71" s="192"/>
      <c r="K71" s="193">
        <v>2</v>
      </c>
      <c r="L71" s="194" t="s">
        <v>63</v>
      </c>
      <c r="M71" s="195">
        <f t="shared" si="3"/>
        <v>0</v>
      </c>
      <c r="N71" s="233"/>
      <c r="O71" s="195"/>
      <c r="P71" s="197" t="s">
        <v>63</v>
      </c>
      <c r="Q71" s="436"/>
      <c r="R71" s="195"/>
      <c r="S71" s="197" t="s">
        <v>63</v>
      </c>
      <c r="T71" s="198">
        <f t="shared" si="1"/>
        <v>0</v>
      </c>
      <c r="U71" s="199"/>
      <c r="V71" s="200"/>
      <c r="W71" s="195"/>
      <c r="X71" s="195"/>
      <c r="Y71" s="438"/>
      <c r="Z71" s="201"/>
      <c r="AA71" s="202"/>
      <c r="AB71" s="440"/>
    </row>
    <row r="72" spans="1:32" s="55" customFormat="1" ht="54.95" customHeight="1" x14ac:dyDescent="0.15">
      <c r="A72" s="431" t="s">
        <v>266</v>
      </c>
      <c r="B72" s="191">
        <f t="shared" si="19"/>
        <v>0</v>
      </c>
      <c r="C72" s="422"/>
      <c r="D72" s="423"/>
      <c r="E72" s="424"/>
      <c r="F72" s="425"/>
      <c r="G72" s="426"/>
      <c r="H72" s="427"/>
      <c r="I72" s="215"/>
      <c r="J72" s="192"/>
      <c r="K72" s="304">
        <v>1.2</v>
      </c>
      <c r="L72" s="194" t="s">
        <v>264</v>
      </c>
      <c r="M72" s="321">
        <f t="shared" si="3"/>
        <v>0</v>
      </c>
      <c r="N72" s="233"/>
      <c r="O72" s="195"/>
      <c r="P72" s="197"/>
      <c r="Q72" s="435"/>
      <c r="R72" s="195"/>
      <c r="S72" s="197" t="s">
        <v>264</v>
      </c>
      <c r="T72" s="322">
        <f t="shared" si="1"/>
        <v>0</v>
      </c>
      <c r="U72" s="199"/>
      <c r="V72" s="200"/>
      <c r="W72" s="195"/>
      <c r="X72" s="195"/>
      <c r="Y72" s="437" t="s">
        <v>140</v>
      </c>
      <c r="Z72" s="201"/>
      <c r="AA72" s="202"/>
      <c r="AB72" s="315"/>
    </row>
    <row r="73" spans="1:32" s="55" customFormat="1" ht="54.95" customHeight="1" x14ac:dyDescent="0.15">
      <c r="A73" s="432"/>
      <c r="B73" s="204">
        <f>$I$6</f>
        <v>0</v>
      </c>
      <c r="C73" s="422"/>
      <c r="D73" s="423"/>
      <c r="E73" s="424"/>
      <c r="F73" s="425"/>
      <c r="G73" s="426"/>
      <c r="H73" s="427"/>
      <c r="I73" s="215"/>
      <c r="J73" s="192"/>
      <c r="K73" s="304">
        <v>1.2</v>
      </c>
      <c r="L73" s="194" t="s">
        <v>264</v>
      </c>
      <c r="M73" s="321">
        <f t="shared" si="3"/>
        <v>0</v>
      </c>
      <c r="N73" s="233"/>
      <c r="O73" s="195"/>
      <c r="P73" s="197"/>
      <c r="Q73" s="561"/>
      <c r="R73" s="195"/>
      <c r="S73" s="197" t="s">
        <v>264</v>
      </c>
      <c r="T73" s="322">
        <f t="shared" si="1"/>
        <v>0</v>
      </c>
      <c r="U73" s="199"/>
      <c r="V73" s="200"/>
      <c r="W73" s="195"/>
      <c r="X73" s="195"/>
      <c r="Y73" s="438"/>
      <c r="Z73" s="201"/>
      <c r="AA73" s="202"/>
      <c r="AB73" s="315"/>
    </row>
    <row r="74" spans="1:32" s="55" customFormat="1" ht="54.95" customHeight="1" x14ac:dyDescent="0.15">
      <c r="A74" s="92" t="s">
        <v>257</v>
      </c>
      <c r="B74" s="87">
        <f>I11</f>
        <v>0</v>
      </c>
      <c r="C74" s="368" t="s">
        <v>71</v>
      </c>
      <c r="D74" s="369"/>
      <c r="E74" s="370"/>
      <c r="F74" s="368"/>
      <c r="G74" s="369"/>
      <c r="H74" s="370"/>
      <c r="I74" s="93"/>
      <c r="J74" s="90"/>
      <c r="K74" s="156">
        <v>1</v>
      </c>
      <c r="L74" s="77" t="s">
        <v>63</v>
      </c>
      <c r="M74" s="88">
        <f t="shared" si="3"/>
        <v>0</v>
      </c>
      <c r="N74" s="91"/>
      <c r="O74" s="91"/>
      <c r="P74" s="88" t="s">
        <v>63</v>
      </c>
      <c r="Q74" s="316"/>
      <c r="R74" s="93"/>
      <c r="S74" s="88" t="s">
        <v>63</v>
      </c>
      <c r="T74" s="154">
        <f t="shared" si="1"/>
        <v>0</v>
      </c>
      <c r="U74" s="91"/>
      <c r="V74" s="159"/>
      <c r="W74" s="159"/>
      <c r="X74" s="159"/>
      <c r="Y74" s="160" t="s">
        <v>72</v>
      </c>
      <c r="Z74" s="94"/>
      <c r="AA74" s="95"/>
      <c r="AB74" s="319"/>
    </row>
    <row r="75" spans="1:32" s="55" customFormat="1" ht="54.95" customHeight="1" x14ac:dyDescent="0.15">
      <c r="A75" s="386" t="s">
        <v>66</v>
      </c>
      <c r="B75" s="87">
        <f>C11</f>
        <v>0</v>
      </c>
      <c r="C75" s="389" t="e">
        <f>#REF!</f>
        <v>#REF!</v>
      </c>
      <c r="D75" s="390"/>
      <c r="E75" s="391"/>
      <c r="F75" s="368"/>
      <c r="G75" s="369"/>
      <c r="H75" s="370"/>
      <c r="I75" s="152"/>
      <c r="J75" s="75"/>
      <c r="K75" s="139">
        <v>1</v>
      </c>
      <c r="L75" s="77" t="s">
        <v>63</v>
      </c>
      <c r="M75" s="88">
        <f t="shared" si="3"/>
        <v>0</v>
      </c>
      <c r="N75" s="89"/>
      <c r="O75" s="153"/>
      <c r="P75" s="88" t="s">
        <v>63</v>
      </c>
      <c r="Q75" s="443"/>
      <c r="R75" s="153"/>
      <c r="S75" s="88" t="s">
        <v>63</v>
      </c>
      <c r="T75" s="154">
        <f t="shared" si="1"/>
        <v>0</v>
      </c>
      <c r="U75" s="129"/>
      <c r="V75" s="155"/>
      <c r="W75" s="154"/>
      <c r="X75" s="154"/>
      <c r="Y75" s="401" t="s">
        <v>72</v>
      </c>
      <c r="Z75" s="401"/>
      <c r="AA75" s="401"/>
      <c r="AB75" s="579"/>
    </row>
    <row r="76" spans="1:32" s="55" customFormat="1" ht="54.95" customHeight="1" x14ac:dyDescent="0.15">
      <c r="A76" s="387"/>
      <c r="B76" s="87">
        <f>D11</f>
        <v>0</v>
      </c>
      <c r="C76" s="392"/>
      <c r="D76" s="393"/>
      <c r="E76" s="394"/>
      <c r="F76" s="368"/>
      <c r="G76" s="369"/>
      <c r="H76" s="370"/>
      <c r="I76" s="152"/>
      <c r="J76" s="75"/>
      <c r="K76" s="156">
        <v>1</v>
      </c>
      <c r="L76" s="77" t="s">
        <v>63</v>
      </c>
      <c r="M76" s="88">
        <f t="shared" si="3"/>
        <v>0</v>
      </c>
      <c r="N76" s="89"/>
      <c r="O76" s="153"/>
      <c r="P76" s="88" t="s">
        <v>63</v>
      </c>
      <c r="Q76" s="447"/>
      <c r="R76" s="153"/>
      <c r="S76" s="88" t="s">
        <v>63</v>
      </c>
      <c r="T76" s="154">
        <f t="shared" si="1"/>
        <v>0</v>
      </c>
      <c r="U76" s="129"/>
      <c r="V76" s="155"/>
      <c r="W76" s="154"/>
      <c r="X76" s="154"/>
      <c r="Y76" s="402"/>
      <c r="Z76" s="402"/>
      <c r="AA76" s="402"/>
      <c r="AB76" s="580"/>
    </row>
    <row r="77" spans="1:32" s="55" customFormat="1" ht="54.95" customHeight="1" x14ac:dyDescent="0.15">
      <c r="A77" s="387"/>
      <c r="B77" s="87">
        <f>E11</f>
        <v>0</v>
      </c>
      <c r="C77" s="392"/>
      <c r="D77" s="393"/>
      <c r="E77" s="394"/>
      <c r="F77" s="368"/>
      <c r="G77" s="369"/>
      <c r="H77" s="370"/>
      <c r="I77" s="152"/>
      <c r="J77" s="75"/>
      <c r="K77" s="156">
        <v>1</v>
      </c>
      <c r="L77" s="77" t="s">
        <v>63</v>
      </c>
      <c r="M77" s="88">
        <f t="shared" si="3"/>
        <v>0</v>
      </c>
      <c r="N77" s="89"/>
      <c r="O77" s="153"/>
      <c r="P77" s="88" t="s">
        <v>63</v>
      </c>
      <c r="Q77" s="447"/>
      <c r="R77" s="153"/>
      <c r="S77" s="88" t="s">
        <v>63</v>
      </c>
      <c r="T77" s="154">
        <f t="shared" si="1"/>
        <v>0</v>
      </c>
      <c r="U77" s="129"/>
      <c r="V77" s="155"/>
      <c r="W77" s="154"/>
      <c r="X77" s="154"/>
      <c r="Y77" s="402"/>
      <c r="Z77" s="402"/>
      <c r="AA77" s="402"/>
      <c r="AB77" s="580"/>
    </row>
    <row r="78" spans="1:32" s="55" customFormat="1" ht="54.95" customHeight="1" x14ac:dyDescent="0.15">
      <c r="A78" s="387"/>
      <c r="B78" s="87">
        <f>F11</f>
        <v>0</v>
      </c>
      <c r="C78" s="392"/>
      <c r="D78" s="393"/>
      <c r="E78" s="394"/>
      <c r="F78" s="368"/>
      <c r="G78" s="369"/>
      <c r="H78" s="370"/>
      <c r="I78" s="152"/>
      <c r="J78" s="75"/>
      <c r="K78" s="156">
        <v>1</v>
      </c>
      <c r="L78" s="77" t="s">
        <v>63</v>
      </c>
      <c r="M78" s="88">
        <f t="shared" si="3"/>
        <v>0</v>
      </c>
      <c r="N78" s="89"/>
      <c r="O78" s="153"/>
      <c r="P78" s="88" t="s">
        <v>63</v>
      </c>
      <c r="Q78" s="447"/>
      <c r="R78" s="153"/>
      <c r="S78" s="88" t="s">
        <v>63</v>
      </c>
      <c r="T78" s="154">
        <f t="shared" si="1"/>
        <v>0</v>
      </c>
      <c r="U78" s="129"/>
      <c r="V78" s="155"/>
      <c r="W78" s="154"/>
      <c r="X78" s="154"/>
      <c r="Y78" s="402"/>
      <c r="Z78" s="402"/>
      <c r="AA78" s="402"/>
      <c r="AB78" s="580"/>
    </row>
    <row r="79" spans="1:32" s="55" customFormat="1" ht="54.95" customHeight="1" x14ac:dyDescent="0.15">
      <c r="A79" s="388"/>
      <c r="B79" s="87">
        <f>G11</f>
        <v>0</v>
      </c>
      <c r="C79" s="395"/>
      <c r="D79" s="396"/>
      <c r="E79" s="397"/>
      <c r="F79" s="368"/>
      <c r="G79" s="369"/>
      <c r="H79" s="370"/>
      <c r="I79" s="152"/>
      <c r="J79" s="75"/>
      <c r="K79" s="156">
        <v>1</v>
      </c>
      <c r="L79" s="77" t="s">
        <v>63</v>
      </c>
      <c r="M79" s="88">
        <f t="shared" si="3"/>
        <v>0</v>
      </c>
      <c r="N79" s="89"/>
      <c r="O79" s="153"/>
      <c r="P79" s="88" t="s">
        <v>63</v>
      </c>
      <c r="Q79" s="444"/>
      <c r="R79" s="153"/>
      <c r="S79" s="88" t="s">
        <v>63</v>
      </c>
      <c r="T79" s="154">
        <f t="shared" ref="T79:T104" si="21">R79-M79</f>
        <v>0</v>
      </c>
      <c r="U79" s="129"/>
      <c r="V79" s="155"/>
      <c r="W79" s="154"/>
      <c r="X79" s="154"/>
      <c r="Y79" s="403"/>
      <c r="Z79" s="403"/>
      <c r="AA79" s="403"/>
      <c r="AB79" s="581"/>
    </row>
    <row r="80" spans="1:32" s="55" customFormat="1" ht="54.95" customHeight="1" x14ac:dyDescent="0.15">
      <c r="A80" s="609" t="s">
        <v>68</v>
      </c>
      <c r="B80" s="87">
        <f>C5</f>
        <v>0</v>
      </c>
      <c r="C80" s="461" t="str">
        <f>A5</f>
        <v>CR</v>
      </c>
      <c r="D80" s="461"/>
      <c r="E80" s="461"/>
      <c r="F80" s="368"/>
      <c r="G80" s="369"/>
      <c r="H80" s="370"/>
      <c r="I80" s="152"/>
      <c r="J80" s="152"/>
      <c r="K80" s="156">
        <v>1</v>
      </c>
      <c r="L80" s="77" t="s">
        <v>63</v>
      </c>
      <c r="M80" s="88">
        <f t="shared" si="3"/>
        <v>0</v>
      </c>
      <c r="N80" s="89"/>
      <c r="O80" s="153"/>
      <c r="P80" s="88" t="s">
        <v>63</v>
      </c>
      <c r="Q80" s="443">
        <v>46184</v>
      </c>
      <c r="R80" s="153"/>
      <c r="S80" s="88" t="s">
        <v>63</v>
      </c>
      <c r="T80" s="154">
        <f t="shared" si="21"/>
        <v>0</v>
      </c>
      <c r="U80" s="157"/>
      <c r="V80" s="158"/>
      <c r="W80" s="154"/>
      <c r="X80" s="154"/>
      <c r="Y80" s="582" t="s">
        <v>72</v>
      </c>
      <c r="Z80" s="582"/>
      <c r="AA80" s="582"/>
      <c r="AB80" s="404"/>
    </row>
    <row r="81" spans="1:28" s="55" customFormat="1" ht="54.95" customHeight="1" x14ac:dyDescent="0.15">
      <c r="A81" s="610"/>
      <c r="B81" s="87">
        <f>D5</f>
        <v>0</v>
      </c>
      <c r="C81" s="461"/>
      <c r="D81" s="461"/>
      <c r="E81" s="461"/>
      <c r="F81" s="368"/>
      <c r="G81" s="369"/>
      <c r="H81" s="370"/>
      <c r="I81" s="152"/>
      <c r="J81" s="152"/>
      <c r="K81" s="156">
        <v>1</v>
      </c>
      <c r="L81" s="77" t="s">
        <v>63</v>
      </c>
      <c r="M81" s="88">
        <f t="shared" si="3"/>
        <v>0</v>
      </c>
      <c r="N81" s="89"/>
      <c r="O81" s="153"/>
      <c r="P81" s="88" t="s">
        <v>63</v>
      </c>
      <c r="Q81" s="447"/>
      <c r="R81" s="153"/>
      <c r="S81" s="88" t="s">
        <v>63</v>
      </c>
      <c r="T81" s="154">
        <f t="shared" si="21"/>
        <v>0</v>
      </c>
      <c r="U81" s="157"/>
      <c r="V81" s="158"/>
      <c r="W81" s="154"/>
      <c r="X81" s="154"/>
      <c r="Y81" s="582"/>
      <c r="Z81" s="582"/>
      <c r="AA81" s="582"/>
      <c r="AB81" s="405"/>
    </row>
    <row r="82" spans="1:28" s="55" customFormat="1" ht="54.95" customHeight="1" x14ac:dyDescent="0.15">
      <c r="A82" s="610"/>
      <c r="B82" s="87">
        <f>E5</f>
        <v>0</v>
      </c>
      <c r="C82" s="461"/>
      <c r="D82" s="461"/>
      <c r="E82" s="461"/>
      <c r="F82" s="368"/>
      <c r="G82" s="369"/>
      <c r="H82" s="370"/>
      <c r="I82" s="152"/>
      <c r="J82" s="152"/>
      <c r="K82" s="156">
        <v>1</v>
      </c>
      <c r="L82" s="77" t="s">
        <v>63</v>
      </c>
      <c r="M82" s="88">
        <f t="shared" si="3"/>
        <v>0</v>
      </c>
      <c r="N82" s="89"/>
      <c r="O82" s="153"/>
      <c r="P82" s="88" t="s">
        <v>63</v>
      </c>
      <c r="Q82" s="447"/>
      <c r="R82" s="153"/>
      <c r="S82" s="88" t="s">
        <v>63</v>
      </c>
      <c r="T82" s="154">
        <f t="shared" si="21"/>
        <v>0</v>
      </c>
      <c r="U82" s="157"/>
      <c r="V82" s="158"/>
      <c r="W82" s="154"/>
      <c r="X82" s="154"/>
      <c r="Y82" s="582"/>
      <c r="Z82" s="582"/>
      <c r="AA82" s="582"/>
      <c r="AB82" s="405"/>
    </row>
    <row r="83" spans="1:28" s="55" customFormat="1" ht="54.95" customHeight="1" x14ac:dyDescent="0.15">
      <c r="A83" s="610"/>
      <c r="B83" s="87">
        <f>C6</f>
        <v>0</v>
      </c>
      <c r="C83" s="461" t="str">
        <f>A6</f>
        <v>LB</v>
      </c>
      <c r="D83" s="461"/>
      <c r="E83" s="461"/>
      <c r="F83" s="368"/>
      <c r="G83" s="369"/>
      <c r="H83" s="370"/>
      <c r="I83" s="152"/>
      <c r="J83" s="152"/>
      <c r="K83" s="156">
        <v>1</v>
      </c>
      <c r="L83" s="77" t="s">
        <v>63</v>
      </c>
      <c r="M83" s="88">
        <f t="shared" ref="M83:M104" si="22">K83*B83</f>
        <v>0</v>
      </c>
      <c r="N83" s="89"/>
      <c r="O83" s="153"/>
      <c r="P83" s="88" t="s">
        <v>63</v>
      </c>
      <c r="Q83" s="447"/>
      <c r="R83" s="77"/>
      <c r="S83" s="88" t="s">
        <v>63</v>
      </c>
      <c r="T83" s="154">
        <f t="shared" si="21"/>
        <v>0</v>
      </c>
      <c r="U83" s="157"/>
      <c r="V83" s="158"/>
      <c r="W83" s="154"/>
      <c r="X83" s="154"/>
      <c r="Y83" s="582" t="s">
        <v>72</v>
      </c>
      <c r="Z83" s="582"/>
      <c r="AA83" s="582"/>
      <c r="AB83" s="405"/>
    </row>
    <row r="84" spans="1:28" s="55" customFormat="1" ht="54.95" customHeight="1" x14ac:dyDescent="0.15">
      <c r="A84" s="610"/>
      <c r="B84" s="87">
        <f>D6</f>
        <v>0</v>
      </c>
      <c r="C84" s="461"/>
      <c r="D84" s="461"/>
      <c r="E84" s="461"/>
      <c r="F84" s="368"/>
      <c r="G84" s="369"/>
      <c r="H84" s="370"/>
      <c r="I84" s="152"/>
      <c r="J84" s="152"/>
      <c r="K84" s="156">
        <v>1</v>
      </c>
      <c r="L84" s="77" t="s">
        <v>63</v>
      </c>
      <c r="M84" s="88">
        <f t="shared" si="22"/>
        <v>0</v>
      </c>
      <c r="N84" s="89"/>
      <c r="O84" s="153"/>
      <c r="P84" s="88" t="s">
        <v>63</v>
      </c>
      <c r="Q84" s="447"/>
      <c r="R84" s="77"/>
      <c r="S84" s="88" t="s">
        <v>63</v>
      </c>
      <c r="T84" s="154">
        <f t="shared" si="21"/>
        <v>0</v>
      </c>
      <c r="U84" s="157"/>
      <c r="V84" s="158"/>
      <c r="W84" s="154"/>
      <c r="X84" s="154"/>
      <c r="Y84" s="582"/>
      <c r="Z84" s="582"/>
      <c r="AA84" s="582"/>
      <c r="AB84" s="405"/>
    </row>
    <row r="85" spans="1:28" s="176" customFormat="1" ht="54.95" customHeight="1" x14ac:dyDescent="0.15">
      <c r="A85" s="610"/>
      <c r="B85" s="87">
        <f>E6</f>
        <v>0</v>
      </c>
      <c r="C85" s="461"/>
      <c r="D85" s="461"/>
      <c r="E85" s="461"/>
      <c r="F85" s="368"/>
      <c r="G85" s="369"/>
      <c r="H85" s="370"/>
      <c r="I85" s="152"/>
      <c r="J85" s="152"/>
      <c r="K85" s="156">
        <v>1</v>
      </c>
      <c r="L85" s="77" t="s">
        <v>63</v>
      </c>
      <c r="M85" s="88">
        <f t="shared" si="22"/>
        <v>0</v>
      </c>
      <c r="N85" s="89"/>
      <c r="O85" s="153"/>
      <c r="P85" s="88" t="s">
        <v>63</v>
      </c>
      <c r="Q85" s="447"/>
      <c r="R85" s="153"/>
      <c r="S85" s="88" t="s">
        <v>63</v>
      </c>
      <c r="T85" s="154">
        <f>R85-M85</f>
        <v>0</v>
      </c>
      <c r="U85" s="157"/>
      <c r="V85" s="158"/>
      <c r="W85" s="154"/>
      <c r="X85" s="154"/>
      <c r="Y85" s="582"/>
      <c r="Z85" s="582"/>
      <c r="AA85" s="582"/>
      <c r="AB85" s="405"/>
    </row>
    <row r="86" spans="1:28" s="176" customFormat="1" ht="54.95" customHeight="1" x14ac:dyDescent="0.15">
      <c r="A86" s="610"/>
      <c r="B86" s="87">
        <f>C7</f>
        <v>0</v>
      </c>
      <c r="C86" s="392" t="str">
        <f>A7</f>
        <v>DG</v>
      </c>
      <c r="D86" s="393"/>
      <c r="E86" s="394"/>
      <c r="F86" s="368"/>
      <c r="G86" s="369"/>
      <c r="H86" s="370"/>
      <c r="I86" s="152"/>
      <c r="J86" s="152"/>
      <c r="K86" s="156">
        <v>1</v>
      </c>
      <c r="L86" s="77" t="s">
        <v>63</v>
      </c>
      <c r="M86" s="88">
        <f t="shared" si="22"/>
        <v>0</v>
      </c>
      <c r="N86" s="89"/>
      <c r="O86" s="153"/>
      <c r="P86" s="88" t="s">
        <v>63</v>
      </c>
      <c r="Q86" s="447"/>
      <c r="R86" s="153"/>
      <c r="S86" s="88" t="s">
        <v>63</v>
      </c>
      <c r="T86" s="154">
        <f>R86-M86</f>
        <v>0</v>
      </c>
      <c r="U86" s="157"/>
      <c r="V86" s="158"/>
      <c r="W86" s="154"/>
      <c r="X86" s="154"/>
      <c r="Y86" s="582" t="s">
        <v>72</v>
      </c>
      <c r="Z86" s="582"/>
      <c r="AA86" s="582"/>
      <c r="AB86" s="405"/>
    </row>
    <row r="87" spans="1:28" s="176" customFormat="1" ht="54.95" customHeight="1" x14ac:dyDescent="0.15">
      <c r="A87" s="610"/>
      <c r="B87" s="87">
        <f>D7</f>
        <v>0</v>
      </c>
      <c r="C87" s="392"/>
      <c r="D87" s="393"/>
      <c r="E87" s="394"/>
      <c r="F87" s="368"/>
      <c r="G87" s="369"/>
      <c r="H87" s="370"/>
      <c r="I87" s="152"/>
      <c r="J87" s="152"/>
      <c r="K87" s="156">
        <v>1</v>
      </c>
      <c r="L87" s="77" t="s">
        <v>63</v>
      </c>
      <c r="M87" s="88">
        <f t="shared" si="22"/>
        <v>0</v>
      </c>
      <c r="N87" s="89"/>
      <c r="O87" s="153"/>
      <c r="P87" s="88" t="s">
        <v>63</v>
      </c>
      <c r="Q87" s="447"/>
      <c r="R87" s="153"/>
      <c r="S87" s="88" t="s">
        <v>63</v>
      </c>
      <c r="T87" s="154">
        <f>R87-M87</f>
        <v>0</v>
      </c>
      <c r="U87" s="157"/>
      <c r="V87" s="158"/>
      <c r="W87" s="154"/>
      <c r="X87" s="154"/>
      <c r="Y87" s="582"/>
      <c r="Z87" s="582"/>
      <c r="AA87" s="582"/>
      <c r="AB87" s="405"/>
    </row>
    <row r="88" spans="1:28" s="176" customFormat="1" ht="54.95" customHeight="1" x14ac:dyDescent="0.15">
      <c r="A88" s="610"/>
      <c r="B88" s="87">
        <f>E7</f>
        <v>0</v>
      </c>
      <c r="C88" s="392"/>
      <c r="D88" s="393"/>
      <c r="E88" s="394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22"/>
        <v>0</v>
      </c>
      <c r="N88" s="171"/>
      <c r="O88" s="277"/>
      <c r="P88" s="169" t="s">
        <v>63</v>
      </c>
      <c r="Q88" s="444"/>
      <c r="R88" s="168"/>
      <c r="S88" s="169" t="s">
        <v>63</v>
      </c>
      <c r="T88" s="278">
        <f>R88-M88</f>
        <v>0</v>
      </c>
      <c r="U88" s="281"/>
      <c r="V88" s="282"/>
      <c r="W88" s="278"/>
      <c r="X88" s="278"/>
      <c r="Y88" s="582"/>
      <c r="Z88" s="582"/>
      <c r="AA88" s="582"/>
      <c r="AB88" s="405"/>
    </row>
    <row r="89" spans="1:28" s="176" customFormat="1" ht="54.95" customHeight="1" x14ac:dyDescent="0.15">
      <c r="A89" s="386" t="s">
        <v>69</v>
      </c>
      <c r="B89" s="164">
        <f>C5</f>
        <v>0</v>
      </c>
      <c r="C89" s="461" t="str">
        <f>A5</f>
        <v>CR</v>
      </c>
      <c r="D89" s="461"/>
      <c r="E89" s="461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22"/>
        <v>0</v>
      </c>
      <c r="N89" s="171"/>
      <c r="O89" s="277"/>
      <c r="P89" s="169" t="s">
        <v>63</v>
      </c>
      <c r="Q89" s="376"/>
      <c r="R89" s="277"/>
      <c r="S89" s="169" t="s">
        <v>63</v>
      </c>
      <c r="T89" s="278">
        <f t="shared" si="21"/>
        <v>0</v>
      </c>
      <c r="U89" s="281"/>
      <c r="V89" s="282"/>
      <c r="W89" s="278"/>
      <c r="X89" s="278"/>
      <c r="Y89" s="597" t="s">
        <v>349</v>
      </c>
      <c r="Z89" s="597"/>
      <c r="AA89" s="597"/>
      <c r="AB89" s="404"/>
    </row>
    <row r="90" spans="1:28" s="176" customFormat="1" ht="54.95" customHeight="1" x14ac:dyDescent="0.15">
      <c r="A90" s="387"/>
      <c r="B90" s="164">
        <f>D5</f>
        <v>0</v>
      </c>
      <c r="C90" s="461"/>
      <c r="D90" s="461"/>
      <c r="E90" s="461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22"/>
        <v>0</v>
      </c>
      <c r="N90" s="171"/>
      <c r="O90" s="277"/>
      <c r="P90" s="169" t="s">
        <v>63</v>
      </c>
      <c r="Q90" s="377"/>
      <c r="R90" s="277"/>
      <c r="S90" s="169" t="s">
        <v>63</v>
      </c>
      <c r="T90" s="278">
        <f t="shared" si="21"/>
        <v>0</v>
      </c>
      <c r="U90" s="281"/>
      <c r="V90" s="282"/>
      <c r="W90" s="278"/>
      <c r="X90" s="278"/>
      <c r="Y90" s="597"/>
      <c r="Z90" s="597"/>
      <c r="AA90" s="597"/>
      <c r="AB90" s="405"/>
    </row>
    <row r="91" spans="1:28" s="176" customFormat="1" ht="54.95" customHeight="1" x14ac:dyDescent="0.15">
      <c r="A91" s="387"/>
      <c r="B91" s="164">
        <f>E5</f>
        <v>0</v>
      </c>
      <c r="C91" s="461"/>
      <c r="D91" s="461"/>
      <c r="E91" s="461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2"/>
        <v>0</v>
      </c>
      <c r="N91" s="171"/>
      <c r="O91" s="277"/>
      <c r="P91" s="169" t="s">
        <v>63</v>
      </c>
      <c r="Q91" s="377"/>
      <c r="R91" s="277"/>
      <c r="S91" s="169" t="s">
        <v>63</v>
      </c>
      <c r="T91" s="278">
        <f t="shared" si="21"/>
        <v>0</v>
      </c>
      <c r="U91" s="281"/>
      <c r="V91" s="282"/>
      <c r="W91" s="278"/>
      <c r="X91" s="278"/>
      <c r="Y91" s="597"/>
      <c r="Z91" s="597"/>
      <c r="AA91" s="597"/>
      <c r="AB91" s="405"/>
    </row>
    <row r="92" spans="1:28" s="176" customFormat="1" ht="54.95" customHeight="1" x14ac:dyDescent="0.15">
      <c r="A92" s="387"/>
      <c r="B92" s="164">
        <f>C6</f>
        <v>0</v>
      </c>
      <c r="C92" s="461" t="str">
        <f>A6</f>
        <v>LB</v>
      </c>
      <c r="D92" s="461"/>
      <c r="E92" s="461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2"/>
        <v>0</v>
      </c>
      <c r="N92" s="171"/>
      <c r="O92" s="277"/>
      <c r="P92" s="169" t="s">
        <v>63</v>
      </c>
      <c r="Q92" s="377"/>
      <c r="R92" s="168"/>
      <c r="S92" s="169" t="s">
        <v>63</v>
      </c>
      <c r="T92" s="278">
        <f t="shared" si="21"/>
        <v>0</v>
      </c>
      <c r="U92" s="281"/>
      <c r="V92" s="282"/>
      <c r="W92" s="278"/>
      <c r="X92" s="278"/>
      <c r="Y92" s="597" t="s">
        <v>349</v>
      </c>
      <c r="AA92" s="597"/>
      <c r="AB92" s="405"/>
    </row>
    <row r="93" spans="1:28" s="176" customFormat="1" ht="54.95" customHeight="1" x14ac:dyDescent="0.15">
      <c r="A93" s="387"/>
      <c r="B93" s="164">
        <f>D6</f>
        <v>0</v>
      </c>
      <c r="C93" s="461"/>
      <c r="D93" s="461"/>
      <c r="E93" s="461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2"/>
        <v>0</v>
      </c>
      <c r="N93" s="171"/>
      <c r="O93" s="277"/>
      <c r="P93" s="169" t="s">
        <v>63</v>
      </c>
      <c r="Q93" s="377"/>
      <c r="R93" s="168"/>
      <c r="S93" s="169" t="s">
        <v>63</v>
      </c>
      <c r="T93" s="278">
        <f t="shared" si="21"/>
        <v>0</v>
      </c>
      <c r="U93" s="281"/>
      <c r="V93" s="282"/>
      <c r="W93" s="278"/>
      <c r="X93" s="278"/>
      <c r="Y93" s="597"/>
      <c r="AA93" s="597"/>
      <c r="AB93" s="405"/>
    </row>
    <row r="94" spans="1:28" s="176" customFormat="1" ht="54.95" customHeight="1" x14ac:dyDescent="0.15">
      <c r="A94" s="387"/>
      <c r="B94" s="164">
        <f>E6</f>
        <v>0</v>
      </c>
      <c r="C94" s="461"/>
      <c r="D94" s="461"/>
      <c r="E94" s="461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2"/>
        <v>0</v>
      </c>
      <c r="N94" s="171"/>
      <c r="O94" s="277"/>
      <c r="P94" s="169" t="s">
        <v>63</v>
      </c>
      <c r="Q94" s="377"/>
      <c r="R94" s="277"/>
      <c r="S94" s="169" t="s">
        <v>63</v>
      </c>
      <c r="T94" s="278">
        <f t="shared" si="21"/>
        <v>0</v>
      </c>
      <c r="U94" s="281"/>
      <c r="V94" s="282"/>
      <c r="W94" s="278"/>
      <c r="X94" s="278"/>
      <c r="Y94" s="597"/>
      <c r="AA94" s="597"/>
      <c r="AB94" s="405"/>
    </row>
    <row r="95" spans="1:28" s="55" customFormat="1" ht="54.95" customHeight="1" x14ac:dyDescent="0.15">
      <c r="A95" s="387"/>
      <c r="B95" s="164">
        <f>C7</f>
        <v>0</v>
      </c>
      <c r="C95" s="392" t="str">
        <f>A7</f>
        <v>DG</v>
      </c>
      <c r="D95" s="393"/>
      <c r="E95" s="394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2"/>
        <v>0</v>
      </c>
      <c r="N95" s="171"/>
      <c r="O95" s="277"/>
      <c r="P95" s="169" t="s">
        <v>63</v>
      </c>
      <c r="Q95" s="377"/>
      <c r="R95" s="277"/>
      <c r="S95" s="169" t="s">
        <v>63</v>
      </c>
      <c r="T95" s="278">
        <f t="shared" si="21"/>
        <v>0</v>
      </c>
      <c r="U95" s="281"/>
      <c r="V95" s="282"/>
      <c r="W95" s="278"/>
      <c r="X95" s="278"/>
      <c r="Y95" s="597" t="s">
        <v>349</v>
      </c>
      <c r="Z95" s="597"/>
      <c r="AA95" s="597"/>
      <c r="AB95" s="405"/>
    </row>
    <row r="96" spans="1:28" s="55" customFormat="1" ht="54.95" customHeight="1" x14ac:dyDescent="0.15">
      <c r="A96" s="387"/>
      <c r="B96" s="164">
        <f>D7</f>
        <v>0</v>
      </c>
      <c r="C96" s="392"/>
      <c r="D96" s="393"/>
      <c r="E96" s="394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2"/>
        <v>0</v>
      </c>
      <c r="N96" s="171"/>
      <c r="O96" s="277"/>
      <c r="P96" s="169" t="s">
        <v>63</v>
      </c>
      <c r="Q96" s="377"/>
      <c r="R96" s="277"/>
      <c r="S96" s="169" t="s">
        <v>63</v>
      </c>
      <c r="T96" s="278">
        <f t="shared" si="21"/>
        <v>0</v>
      </c>
      <c r="U96" s="281"/>
      <c r="V96" s="282"/>
      <c r="W96" s="278"/>
      <c r="X96" s="278"/>
      <c r="Y96" s="597"/>
      <c r="Z96" s="597"/>
      <c r="AA96" s="597"/>
      <c r="AB96" s="405"/>
    </row>
    <row r="97" spans="1:29" s="55" customFormat="1" ht="54.95" customHeight="1" x14ac:dyDescent="0.15">
      <c r="A97" s="387"/>
      <c r="B97" s="164">
        <f>E7</f>
        <v>0</v>
      </c>
      <c r="C97" s="392"/>
      <c r="D97" s="393"/>
      <c r="E97" s="394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2"/>
        <v>0</v>
      </c>
      <c r="N97" s="171"/>
      <c r="O97" s="277"/>
      <c r="P97" s="169" t="s">
        <v>63</v>
      </c>
      <c r="Q97" s="378"/>
      <c r="R97" s="168"/>
      <c r="S97" s="169" t="s">
        <v>63</v>
      </c>
      <c r="T97" s="278">
        <f t="shared" si="21"/>
        <v>0</v>
      </c>
      <c r="U97" s="281"/>
      <c r="V97" s="282"/>
      <c r="W97" s="278"/>
      <c r="X97" s="278"/>
      <c r="Y97" s="597"/>
      <c r="Z97" s="597"/>
      <c r="AA97" s="597"/>
      <c r="AB97" s="405"/>
    </row>
    <row r="98" spans="1:29" s="55" customFormat="1" ht="54.95" customHeight="1" x14ac:dyDescent="0.15">
      <c r="A98" s="386" t="s">
        <v>70</v>
      </c>
      <c r="B98" s="87">
        <f>C11</f>
        <v>0</v>
      </c>
      <c r="C98" s="389" t="s">
        <v>71</v>
      </c>
      <c r="D98" s="390"/>
      <c r="E98" s="391"/>
      <c r="F98" s="368"/>
      <c r="G98" s="369"/>
      <c r="H98" s="370"/>
      <c r="I98" s="152"/>
      <c r="J98" s="90"/>
      <c r="K98" s="156">
        <v>1</v>
      </c>
      <c r="L98" s="77" t="s">
        <v>63</v>
      </c>
      <c r="M98" s="88">
        <f t="shared" si="22"/>
        <v>0</v>
      </c>
      <c r="N98" s="89"/>
      <c r="O98" s="153"/>
      <c r="P98" s="88" t="s">
        <v>63</v>
      </c>
      <c r="Q98" s="398"/>
      <c r="R98" s="93"/>
      <c r="S98" s="88" t="s">
        <v>63</v>
      </c>
      <c r="T98" s="154">
        <f t="shared" si="21"/>
        <v>0</v>
      </c>
      <c r="U98" s="91"/>
      <c r="V98" s="159"/>
      <c r="W98" s="159"/>
      <c r="X98" s="159"/>
      <c r="Y98" s="401" t="s">
        <v>258</v>
      </c>
      <c r="Z98" s="416"/>
      <c r="AA98" s="416"/>
      <c r="AB98" s="419"/>
    </row>
    <row r="99" spans="1:29" s="176" customFormat="1" ht="54.95" customHeight="1" x14ac:dyDescent="0.15">
      <c r="A99" s="387"/>
      <c r="B99" s="87">
        <f>D11</f>
        <v>0</v>
      </c>
      <c r="C99" s="392"/>
      <c r="D99" s="393"/>
      <c r="E99" s="394"/>
      <c r="F99" s="368"/>
      <c r="G99" s="369"/>
      <c r="H99" s="370"/>
      <c r="I99" s="152"/>
      <c r="J99" s="90"/>
      <c r="K99" s="156">
        <v>1</v>
      </c>
      <c r="L99" s="77" t="s">
        <v>63</v>
      </c>
      <c r="M99" s="88">
        <f t="shared" si="22"/>
        <v>0</v>
      </c>
      <c r="N99" s="89"/>
      <c r="O99" s="153"/>
      <c r="P99" s="88" t="s">
        <v>63</v>
      </c>
      <c r="Q99" s="399"/>
      <c r="R99" s="93"/>
      <c r="S99" s="88" t="s">
        <v>63</v>
      </c>
      <c r="T99" s="154">
        <f t="shared" si="21"/>
        <v>0</v>
      </c>
      <c r="U99" s="91"/>
      <c r="V99" s="159"/>
      <c r="W99" s="159"/>
      <c r="X99" s="159"/>
      <c r="Y99" s="402"/>
      <c r="Z99" s="417"/>
      <c r="AA99" s="417"/>
      <c r="AB99" s="420"/>
    </row>
    <row r="100" spans="1:29" s="55" customFormat="1" ht="54.95" customHeight="1" x14ac:dyDescent="0.15">
      <c r="A100" s="387"/>
      <c r="B100" s="87">
        <f>E11</f>
        <v>0</v>
      </c>
      <c r="C100" s="392"/>
      <c r="D100" s="393"/>
      <c r="E100" s="394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2"/>
        <v>0</v>
      </c>
      <c r="N100" s="89"/>
      <c r="O100" s="153"/>
      <c r="P100" s="88" t="s">
        <v>63</v>
      </c>
      <c r="Q100" s="399"/>
      <c r="R100" s="93"/>
      <c r="S100" s="88" t="s">
        <v>63</v>
      </c>
      <c r="T100" s="154">
        <f t="shared" si="21"/>
        <v>0</v>
      </c>
      <c r="U100" s="91"/>
      <c r="V100" s="159"/>
      <c r="W100" s="159"/>
      <c r="X100" s="159"/>
      <c r="Y100" s="402"/>
      <c r="Z100" s="417"/>
      <c r="AA100" s="417"/>
      <c r="AB100" s="420"/>
    </row>
    <row r="101" spans="1:29" s="55" customFormat="1" ht="54.95" customHeight="1" x14ac:dyDescent="0.15">
      <c r="A101" s="388"/>
      <c r="B101" s="87">
        <f>F11</f>
        <v>0</v>
      </c>
      <c r="C101" s="395"/>
      <c r="D101" s="396"/>
      <c r="E101" s="397"/>
      <c r="F101" s="368"/>
      <c r="G101" s="369"/>
      <c r="H101" s="370"/>
      <c r="I101" s="152"/>
      <c r="J101" s="90"/>
      <c r="K101" s="156"/>
      <c r="L101" s="77" t="s">
        <v>63</v>
      </c>
      <c r="M101" s="88">
        <f t="shared" si="22"/>
        <v>0</v>
      </c>
      <c r="N101" s="89"/>
      <c r="O101" s="153"/>
      <c r="P101" s="88" t="s">
        <v>63</v>
      </c>
      <c r="Q101" s="400"/>
      <c r="R101" s="162"/>
      <c r="S101" s="88" t="s">
        <v>63</v>
      </c>
      <c r="T101" s="154">
        <f t="shared" si="21"/>
        <v>0</v>
      </c>
      <c r="U101" s="91"/>
      <c r="V101" s="159"/>
      <c r="W101" s="159"/>
      <c r="X101" s="159"/>
      <c r="Y101" s="403"/>
      <c r="Z101" s="418"/>
      <c r="AA101" s="418"/>
      <c r="AB101" s="421"/>
    </row>
    <row r="102" spans="1:29" ht="13.5" customHeight="1" x14ac:dyDescent="0.15">
      <c r="A102" s="92" t="s">
        <v>73</v>
      </c>
      <c r="B102" s="164">
        <f>I11</f>
        <v>0</v>
      </c>
      <c r="C102" s="371" t="s">
        <v>71</v>
      </c>
      <c r="D102" s="372"/>
      <c r="E102" s="373"/>
      <c r="F102" s="371"/>
      <c r="G102" s="372"/>
      <c r="H102" s="373"/>
      <c r="I102" s="165"/>
      <c r="J102" s="166"/>
      <c r="K102" s="167">
        <v>1</v>
      </c>
      <c r="L102" s="168" t="s">
        <v>63</v>
      </c>
      <c r="M102" s="88">
        <f t="shared" si="22"/>
        <v>0</v>
      </c>
      <c r="N102" s="170"/>
      <c r="O102" s="170"/>
      <c r="P102" s="169" t="s">
        <v>63</v>
      </c>
      <c r="Q102" s="363"/>
      <c r="R102" s="165"/>
      <c r="S102" s="169" t="s">
        <v>63</v>
      </c>
      <c r="T102" s="154">
        <f t="shared" si="21"/>
        <v>0</v>
      </c>
      <c r="U102" s="170"/>
      <c r="V102" s="172"/>
      <c r="W102" s="172"/>
      <c r="X102" s="172"/>
      <c r="Y102" s="173" t="s">
        <v>72</v>
      </c>
      <c r="Z102" s="174"/>
      <c r="AA102" s="175"/>
      <c r="AB102" s="586"/>
    </row>
    <row r="103" spans="1:29" ht="13.5" customHeight="1" x14ac:dyDescent="0.15">
      <c r="A103" s="92" t="s">
        <v>81</v>
      </c>
      <c r="B103" s="87">
        <f>I11</f>
        <v>0</v>
      </c>
      <c r="C103" s="368" t="s">
        <v>71</v>
      </c>
      <c r="D103" s="369"/>
      <c r="E103" s="370"/>
      <c r="F103" s="368"/>
      <c r="G103" s="369"/>
      <c r="H103" s="370"/>
      <c r="I103" s="93"/>
      <c r="J103" s="90"/>
      <c r="K103" s="156">
        <v>1</v>
      </c>
      <c r="L103" s="77" t="s">
        <v>63</v>
      </c>
      <c r="M103" s="88">
        <f>K103*B103</f>
        <v>0</v>
      </c>
      <c r="N103" s="91"/>
      <c r="O103" s="91"/>
      <c r="P103" s="88" t="s">
        <v>63</v>
      </c>
      <c r="Q103" s="364"/>
      <c r="R103" s="165"/>
      <c r="S103" s="88" t="s">
        <v>63</v>
      </c>
      <c r="T103" s="154">
        <f t="shared" si="21"/>
        <v>0</v>
      </c>
      <c r="U103" s="91"/>
      <c r="V103" s="91"/>
      <c r="W103" s="91"/>
      <c r="X103" s="91"/>
      <c r="Y103" s="160" t="s">
        <v>72</v>
      </c>
      <c r="Z103" s="94"/>
      <c r="AA103" s="95"/>
      <c r="AB103" s="587"/>
    </row>
    <row r="104" spans="1:29" ht="13.5" customHeight="1" x14ac:dyDescent="0.15">
      <c r="A104" s="96" t="s">
        <v>74</v>
      </c>
      <c r="B104" s="87">
        <f>I11</f>
        <v>0</v>
      </c>
      <c r="C104" s="368" t="s">
        <v>71</v>
      </c>
      <c r="D104" s="369"/>
      <c r="E104" s="370"/>
      <c r="F104" s="368"/>
      <c r="G104" s="369"/>
      <c r="H104" s="370"/>
      <c r="I104" s="93" t="s">
        <v>272</v>
      </c>
      <c r="J104" s="93"/>
      <c r="K104" s="156">
        <v>1</v>
      </c>
      <c r="L104" s="77" t="s">
        <v>63</v>
      </c>
      <c r="M104" s="88">
        <f t="shared" si="22"/>
        <v>0</v>
      </c>
      <c r="N104" s="91"/>
      <c r="O104" s="91"/>
      <c r="P104" s="89" t="s">
        <v>63</v>
      </c>
      <c r="Q104" s="365"/>
      <c r="R104" s="93"/>
      <c r="S104" s="89" t="s">
        <v>63</v>
      </c>
      <c r="T104" s="154">
        <f t="shared" si="21"/>
        <v>0</v>
      </c>
      <c r="U104" s="91"/>
      <c r="V104" s="91"/>
      <c r="W104" s="91"/>
      <c r="X104" s="91"/>
      <c r="Y104" s="160" t="s">
        <v>72</v>
      </c>
      <c r="Z104" s="97"/>
      <c r="AA104" s="98"/>
      <c r="AB104" s="588"/>
    </row>
    <row r="105" spans="1:29" ht="13.5" customHeight="1" x14ac:dyDescent="0.15">
      <c r="A105" s="177"/>
      <c r="B105" s="366"/>
      <c r="C105" s="366"/>
      <c r="D105" s="177"/>
      <c r="E105" s="177"/>
      <c r="F105" s="100"/>
      <c r="G105" s="100"/>
      <c r="H105" s="100"/>
      <c r="I105" s="177"/>
      <c r="J105" s="177"/>
      <c r="K105" s="101"/>
      <c r="L105" s="102"/>
      <c r="M105" s="103"/>
      <c r="N105" s="104"/>
      <c r="O105" s="104"/>
      <c r="P105" s="177"/>
      <c r="Q105" s="105"/>
      <c r="R105" s="105"/>
      <c r="S105" s="106"/>
      <c r="T105" s="107"/>
      <c r="U105" s="108"/>
      <c r="V105" s="108"/>
      <c r="W105" s="109"/>
      <c r="X105" s="107"/>
      <c r="Y105" s="110"/>
      <c r="Z105" s="111"/>
      <c r="AA105" s="111"/>
    </row>
    <row r="106" spans="1:29" x14ac:dyDescent="0.15">
      <c r="A106" s="177"/>
      <c r="B106" s="366"/>
      <c r="C106" s="366"/>
      <c r="D106" s="177"/>
      <c r="E106" s="177"/>
      <c r="F106" s="367"/>
      <c r="G106" s="367"/>
      <c r="H106" s="367"/>
      <c r="I106" s="177"/>
      <c r="J106" s="177"/>
      <c r="K106" s="101"/>
      <c r="L106" s="102"/>
      <c r="M106" s="103"/>
      <c r="N106" s="104"/>
      <c r="O106" s="104"/>
      <c r="P106" s="177"/>
      <c r="Q106" s="105"/>
      <c r="R106" s="105"/>
      <c r="S106" s="106"/>
      <c r="T106" s="107"/>
      <c r="U106" s="108"/>
      <c r="V106" s="108"/>
      <c r="W106" s="109"/>
      <c r="X106" s="107"/>
      <c r="Y106" s="112"/>
      <c r="Z106" s="111"/>
      <c r="AA106" s="111"/>
    </row>
    <row r="107" spans="1:29" x14ac:dyDescent="0.15">
      <c r="J107" s="177"/>
    </row>
    <row r="108" spans="1:29" x14ac:dyDescent="0.15">
      <c r="J108" s="177"/>
    </row>
    <row r="112" spans="1:29" s="114" customFormat="1" x14ac:dyDescent="0.15">
      <c r="A112" s="1"/>
      <c r="B112" s="113"/>
      <c r="C112" s="1"/>
      <c r="D112" s="1"/>
      <c r="E112" s="1"/>
      <c r="F112" s="1"/>
      <c r="G112" s="1"/>
      <c r="H112" s="1"/>
      <c r="I112" s="1"/>
      <c r="J112" s="1"/>
      <c r="L112" s="115"/>
      <c r="M112" s="116"/>
      <c r="N112" s="117"/>
      <c r="O112" s="117"/>
      <c r="P112" s="1"/>
      <c r="Q112" s="118"/>
      <c r="R112" s="118"/>
      <c r="S112" s="115"/>
      <c r="T112" s="119"/>
      <c r="U112" s="1"/>
      <c r="V112" s="1"/>
      <c r="W112" s="120"/>
      <c r="X112" s="121"/>
      <c r="Y112" s="1"/>
      <c r="Z112" s="1"/>
      <c r="AA112" s="1"/>
      <c r="AB112" s="1"/>
      <c r="AC112" s="1"/>
    </row>
    <row r="113" spans="1:29" s="114" customFormat="1" x14ac:dyDescent="0.15">
      <c r="A113" s="1"/>
      <c r="B113" s="113"/>
      <c r="C113" s="1"/>
      <c r="D113" s="1"/>
      <c r="E113" s="1"/>
      <c r="F113" s="1"/>
      <c r="G113" s="1"/>
      <c r="H113" s="1"/>
      <c r="I113" s="1"/>
      <c r="J113" s="1"/>
      <c r="L113" s="115"/>
      <c r="M113" s="116"/>
      <c r="N113" s="117"/>
      <c r="O113" s="117"/>
      <c r="P113" s="1"/>
      <c r="Q113" s="118"/>
      <c r="R113" s="118"/>
      <c r="S113" s="115"/>
      <c r="T113" s="119"/>
      <c r="U113" s="1"/>
      <c r="V113" s="1"/>
      <c r="W113" s="120"/>
      <c r="X113" s="121"/>
      <c r="Y113" s="1"/>
      <c r="Z113" s="1"/>
      <c r="AA113" s="1"/>
      <c r="AB113" s="1"/>
      <c r="AC113" s="1"/>
    </row>
  </sheetData>
  <mergeCells count="372">
    <mergeCell ref="F103:H103"/>
    <mergeCell ref="C104:E104"/>
    <mergeCell ref="F104:H104"/>
    <mergeCell ref="B105:C105"/>
    <mergeCell ref="B106:C106"/>
    <mergeCell ref="F106:H106"/>
    <mergeCell ref="AA98:AA101"/>
    <mergeCell ref="AB98:AB101"/>
    <mergeCell ref="F99:H99"/>
    <mergeCell ref="F100:H100"/>
    <mergeCell ref="F101:H101"/>
    <mergeCell ref="C102:E102"/>
    <mergeCell ref="F102:H102"/>
    <mergeCell ref="Q102:Q104"/>
    <mergeCell ref="AB102:AB104"/>
    <mergeCell ref="C103:E103"/>
    <mergeCell ref="A98:A101"/>
    <mergeCell ref="C98:E101"/>
    <mergeCell ref="F98:H98"/>
    <mergeCell ref="Q98:Q101"/>
    <mergeCell ref="Y98:Y101"/>
    <mergeCell ref="Z98:Z101"/>
    <mergeCell ref="C95:E97"/>
    <mergeCell ref="F95:H95"/>
    <mergeCell ref="Y95:Y97"/>
    <mergeCell ref="Z95:Z97"/>
    <mergeCell ref="A89:A97"/>
    <mergeCell ref="F90:H90"/>
    <mergeCell ref="F91:H91"/>
    <mergeCell ref="C92:E94"/>
    <mergeCell ref="F92:H92"/>
    <mergeCell ref="Y92:Y94"/>
    <mergeCell ref="AA92:AA94"/>
    <mergeCell ref="F93:H93"/>
    <mergeCell ref="F94:H94"/>
    <mergeCell ref="C89:E91"/>
    <mergeCell ref="F89:H89"/>
    <mergeCell ref="Q89:Q97"/>
    <mergeCell ref="Y89:Y91"/>
    <mergeCell ref="Z89:Z91"/>
    <mergeCell ref="AA95:AA97"/>
    <mergeCell ref="F96:H96"/>
    <mergeCell ref="F97:H97"/>
    <mergeCell ref="AA89:AA91"/>
    <mergeCell ref="AB89:AB97"/>
    <mergeCell ref="AA86:AA88"/>
    <mergeCell ref="F87:H87"/>
    <mergeCell ref="F88:H88"/>
    <mergeCell ref="Z75:Z79"/>
    <mergeCell ref="AA75:AA79"/>
    <mergeCell ref="AB75:AB79"/>
    <mergeCell ref="F76:H76"/>
    <mergeCell ref="F77:H77"/>
    <mergeCell ref="F78:H78"/>
    <mergeCell ref="F79:H79"/>
    <mergeCell ref="AA80:AA82"/>
    <mergeCell ref="AB80:AB88"/>
    <mergeCell ref="F81:H81"/>
    <mergeCell ref="F82:H82"/>
    <mergeCell ref="F83:H83"/>
    <mergeCell ref="Y83:Y85"/>
    <mergeCell ref="Z83:Z85"/>
    <mergeCell ref="AA83:AA85"/>
    <mergeCell ref="F84:H84"/>
    <mergeCell ref="F80:H80"/>
    <mergeCell ref="Q80:Q88"/>
    <mergeCell ref="Y80:Y82"/>
    <mergeCell ref="Z80:Z82"/>
    <mergeCell ref="F73:H73"/>
    <mergeCell ref="C74:E74"/>
    <mergeCell ref="F74:H74"/>
    <mergeCell ref="A75:A79"/>
    <mergeCell ref="C75:E79"/>
    <mergeCell ref="F75:H75"/>
    <mergeCell ref="Q75:Q79"/>
    <mergeCell ref="Y75:Y79"/>
    <mergeCell ref="Z86:Z88"/>
    <mergeCell ref="A80:A88"/>
    <mergeCell ref="C83:E85"/>
    <mergeCell ref="C80:E82"/>
    <mergeCell ref="F85:H85"/>
    <mergeCell ref="C86:E88"/>
    <mergeCell ref="F86:H86"/>
    <mergeCell ref="Y86:Y88"/>
    <mergeCell ref="C71:E71"/>
    <mergeCell ref="F71:H71"/>
    <mergeCell ref="A72:A73"/>
    <mergeCell ref="C72:E72"/>
    <mergeCell ref="F72:H72"/>
    <mergeCell ref="Q72:Q73"/>
    <mergeCell ref="AB68:AB69"/>
    <mergeCell ref="C69:E69"/>
    <mergeCell ref="F69:H69"/>
    <mergeCell ref="A70:A71"/>
    <mergeCell ref="C70:E70"/>
    <mergeCell ref="F70:H70"/>
    <mergeCell ref="I70:I71"/>
    <mergeCell ref="Q70:Q71"/>
    <mergeCell ref="Y70:Y71"/>
    <mergeCell ref="AB70:AB71"/>
    <mergeCell ref="A68:A69"/>
    <mergeCell ref="C68:E68"/>
    <mergeCell ref="F68:H68"/>
    <mergeCell ref="I68:I69"/>
    <mergeCell ref="Q68:Q69"/>
    <mergeCell ref="Y68:Y69"/>
    <mergeCell ref="Y72:Y73"/>
    <mergeCell ref="C73:E73"/>
    <mergeCell ref="C61:E61"/>
    <mergeCell ref="F61:H61"/>
    <mergeCell ref="A66:A67"/>
    <mergeCell ref="C66:E66"/>
    <mergeCell ref="F66:H66"/>
    <mergeCell ref="Q66:Q67"/>
    <mergeCell ref="Y66:Y67"/>
    <mergeCell ref="AB66:AB67"/>
    <mergeCell ref="C67:E67"/>
    <mergeCell ref="F67:H67"/>
    <mergeCell ref="A64:A65"/>
    <mergeCell ref="C64:E64"/>
    <mergeCell ref="F64:H64"/>
    <mergeCell ref="Q64:Q65"/>
    <mergeCell ref="Y64:Y65"/>
    <mergeCell ref="AB64:AB65"/>
    <mergeCell ref="C65:E65"/>
    <mergeCell ref="F65:H65"/>
    <mergeCell ref="F56:H56"/>
    <mergeCell ref="A57:A58"/>
    <mergeCell ref="C57:E57"/>
    <mergeCell ref="F57:H57"/>
    <mergeCell ref="Y57:Y58"/>
    <mergeCell ref="AB57:AB58"/>
    <mergeCell ref="C58:E58"/>
    <mergeCell ref="F58:H58"/>
    <mergeCell ref="A62:A63"/>
    <mergeCell ref="C62:E62"/>
    <mergeCell ref="F62:H62"/>
    <mergeCell ref="Q62:Q63"/>
    <mergeCell ref="Y62:Y63"/>
    <mergeCell ref="AB62:AB63"/>
    <mergeCell ref="C63:E63"/>
    <mergeCell ref="F63:H63"/>
    <mergeCell ref="A59:A61"/>
    <mergeCell ref="C59:E59"/>
    <mergeCell ref="F59:H59"/>
    <mergeCell ref="Q59:Q61"/>
    <mergeCell ref="Y59:Y61"/>
    <mergeCell ref="AB59:AB61"/>
    <mergeCell ref="C60:E60"/>
    <mergeCell ref="F60:H60"/>
    <mergeCell ref="F54:H54"/>
    <mergeCell ref="A55:A56"/>
    <mergeCell ref="C55:E55"/>
    <mergeCell ref="F55:H55"/>
    <mergeCell ref="Q55:Q56"/>
    <mergeCell ref="Y55:Y56"/>
    <mergeCell ref="AB51:AB52"/>
    <mergeCell ref="C52:E52"/>
    <mergeCell ref="F52:H52"/>
    <mergeCell ref="A53:A54"/>
    <mergeCell ref="C53:E53"/>
    <mergeCell ref="F53:H53"/>
    <mergeCell ref="Q53:Q54"/>
    <mergeCell ref="Y53:Y54"/>
    <mergeCell ref="AB53:AB54"/>
    <mergeCell ref="C54:E54"/>
    <mergeCell ref="A51:A52"/>
    <mergeCell ref="C51:E51"/>
    <mergeCell ref="F51:H51"/>
    <mergeCell ref="I51:I52"/>
    <mergeCell ref="Q51:Q52"/>
    <mergeCell ref="Y51:Y52"/>
    <mergeCell ref="AB55:AB56"/>
    <mergeCell ref="C56:E56"/>
    <mergeCell ref="AB48:AB50"/>
    <mergeCell ref="C49:E49"/>
    <mergeCell ref="F49:H49"/>
    <mergeCell ref="AC49:AF49"/>
    <mergeCell ref="C50:E50"/>
    <mergeCell ref="F50:H50"/>
    <mergeCell ref="A48:A50"/>
    <mergeCell ref="C48:E48"/>
    <mergeCell ref="F48:H48"/>
    <mergeCell ref="I48:I50"/>
    <mergeCell ref="Q48:Q50"/>
    <mergeCell ref="Y48:Y50"/>
    <mergeCell ref="AB45:AB47"/>
    <mergeCell ref="C46:E46"/>
    <mergeCell ref="F46:H46"/>
    <mergeCell ref="AC46:AF46"/>
    <mergeCell ref="C47:E47"/>
    <mergeCell ref="F47:H47"/>
    <mergeCell ref="A45:A47"/>
    <mergeCell ref="C45:E45"/>
    <mergeCell ref="F45:H45"/>
    <mergeCell ref="I45:I47"/>
    <mergeCell ref="Q45:Q47"/>
    <mergeCell ref="Y45:Y47"/>
    <mergeCell ref="Y42:Y44"/>
    <mergeCell ref="AB42:AB44"/>
    <mergeCell ref="C43:E43"/>
    <mergeCell ref="F43:H43"/>
    <mergeCell ref="AC43:AF43"/>
    <mergeCell ref="C44:E44"/>
    <mergeCell ref="F44:H44"/>
    <mergeCell ref="AB40:AB41"/>
    <mergeCell ref="AC40:AF40"/>
    <mergeCell ref="C41:E41"/>
    <mergeCell ref="F41:H41"/>
    <mergeCell ref="AC41:AF41"/>
    <mergeCell ref="Y40:Y41"/>
    <mergeCell ref="A42:A44"/>
    <mergeCell ref="C42:E42"/>
    <mergeCell ref="F42:H42"/>
    <mergeCell ref="I42:I44"/>
    <mergeCell ref="Q42:Q44"/>
    <mergeCell ref="A40:A41"/>
    <mergeCell ref="C40:E40"/>
    <mergeCell ref="F40:H40"/>
    <mergeCell ref="I40:I41"/>
    <mergeCell ref="Q40:Q41"/>
    <mergeCell ref="AC38:AF38"/>
    <mergeCell ref="C39:E39"/>
    <mergeCell ref="F39:H39"/>
    <mergeCell ref="A37:A39"/>
    <mergeCell ref="C37:E37"/>
    <mergeCell ref="F37:H37"/>
    <mergeCell ref="I37:I39"/>
    <mergeCell ref="Q37:Q39"/>
    <mergeCell ref="Y37:Y39"/>
    <mergeCell ref="A34:A36"/>
    <mergeCell ref="C34:E34"/>
    <mergeCell ref="F34:H34"/>
    <mergeCell ref="I34:I36"/>
    <mergeCell ref="Q34:Q36"/>
    <mergeCell ref="Y34:Y36"/>
    <mergeCell ref="AB37:AB39"/>
    <mergeCell ref="C38:E38"/>
    <mergeCell ref="F38:H38"/>
    <mergeCell ref="C30:E30"/>
    <mergeCell ref="F30:H30"/>
    <mergeCell ref="AC30:AF30"/>
    <mergeCell ref="AB34:AB36"/>
    <mergeCell ref="AC34:AF34"/>
    <mergeCell ref="C35:E35"/>
    <mergeCell ref="F35:H35"/>
    <mergeCell ref="C36:E36"/>
    <mergeCell ref="F36:H36"/>
    <mergeCell ref="AC36:AF36"/>
    <mergeCell ref="A31:A33"/>
    <mergeCell ref="C31:E31"/>
    <mergeCell ref="F31:H31"/>
    <mergeCell ref="I31:I33"/>
    <mergeCell ref="Q31:Q33"/>
    <mergeCell ref="AC25:AF25"/>
    <mergeCell ref="C26:E26"/>
    <mergeCell ref="F26:H26"/>
    <mergeCell ref="C27:E27"/>
    <mergeCell ref="F27:H27"/>
    <mergeCell ref="A28:A30"/>
    <mergeCell ref="C28:E28"/>
    <mergeCell ref="F28:H28"/>
    <mergeCell ref="Y28:Y30"/>
    <mergeCell ref="AB28:AB30"/>
    <mergeCell ref="Y31:Y33"/>
    <mergeCell ref="AB31:AB33"/>
    <mergeCell ref="C32:E32"/>
    <mergeCell ref="F32:H32"/>
    <mergeCell ref="AC32:AF32"/>
    <mergeCell ref="C33:E33"/>
    <mergeCell ref="F33:H33"/>
    <mergeCell ref="C29:E29"/>
    <mergeCell ref="F29:H29"/>
    <mergeCell ref="AB23:AB24"/>
    <mergeCell ref="C24:E24"/>
    <mergeCell ref="F24:H24"/>
    <mergeCell ref="A25:A27"/>
    <mergeCell ref="C25:E25"/>
    <mergeCell ref="F25:H25"/>
    <mergeCell ref="Q25:Q26"/>
    <mergeCell ref="Y25:Y27"/>
    <mergeCell ref="AB25:AB26"/>
    <mergeCell ref="A23:A24"/>
    <mergeCell ref="C23:E23"/>
    <mergeCell ref="F23:H23"/>
    <mergeCell ref="I23:I24"/>
    <mergeCell ref="Q23:Q24"/>
    <mergeCell ref="Y23:Y24"/>
    <mergeCell ref="Y20:Y22"/>
    <mergeCell ref="C21:E21"/>
    <mergeCell ref="F21:H21"/>
    <mergeCell ref="AB21:AB22"/>
    <mergeCell ref="C22:E22"/>
    <mergeCell ref="F22:H22"/>
    <mergeCell ref="F17:H17"/>
    <mergeCell ref="AC17:AF17"/>
    <mergeCell ref="A18:A22"/>
    <mergeCell ref="C18:E18"/>
    <mergeCell ref="F18:H18"/>
    <mergeCell ref="AB18:AB20"/>
    <mergeCell ref="C19:E19"/>
    <mergeCell ref="F19:H19"/>
    <mergeCell ref="C20:E20"/>
    <mergeCell ref="F20:H20"/>
    <mergeCell ref="A15:A17"/>
    <mergeCell ref="C15:E15"/>
    <mergeCell ref="F15:H15"/>
    <mergeCell ref="Q15:Q17"/>
    <mergeCell ref="AB15:AB17"/>
    <mergeCell ref="AC15:AF15"/>
    <mergeCell ref="C16:E16"/>
    <mergeCell ref="F16:H16"/>
    <mergeCell ref="AC16:AF16"/>
    <mergeCell ref="C17:E17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8494-3F8B-4A96-8C50-51BC06518380}">
  <sheetPr>
    <pageSetUpPr fitToPage="1"/>
  </sheetPr>
  <dimension ref="A1:AF118"/>
  <sheetViews>
    <sheetView view="pageBreakPreview" topLeftCell="A98" zoomScale="75" zoomScaleNormal="100" zoomScaleSheetLayoutView="75" workbookViewId="0">
      <selection activeCell="J111" sqref="J111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359</v>
      </c>
      <c r="C2" s="548"/>
      <c r="D2" s="548"/>
      <c r="E2" s="548"/>
      <c r="F2" s="548"/>
      <c r="G2" s="549"/>
      <c r="H2" s="180" t="s">
        <v>1</v>
      </c>
      <c r="I2" s="550">
        <f>I11</f>
        <v>1351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153</v>
      </c>
      <c r="B5" s="480"/>
      <c r="C5" s="182">
        <v>270</v>
      </c>
      <c r="D5" s="182">
        <v>320</v>
      </c>
      <c r="E5" s="182">
        <v>91</v>
      </c>
      <c r="F5" s="182"/>
      <c r="G5" s="182"/>
      <c r="H5" s="542" t="s">
        <v>24</v>
      </c>
      <c r="I5" s="524">
        <f t="shared" ref="I5:I11" si="0">SUM(C5:G5)</f>
        <v>681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98</v>
      </c>
      <c r="B6" s="523"/>
      <c r="C6" s="182">
        <v>260</v>
      </c>
      <c r="D6" s="182">
        <v>310</v>
      </c>
      <c r="E6" s="182">
        <v>100</v>
      </c>
      <c r="F6" s="182"/>
      <c r="G6" s="182"/>
      <c r="H6" s="537"/>
      <c r="I6" s="524">
        <f t="shared" si="0"/>
        <v>670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46184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530</v>
      </c>
      <c r="D11" s="181">
        <f>SUM(D5:D10)</f>
        <v>630</v>
      </c>
      <c r="E11" s="181">
        <f>SUM(E5:E10)</f>
        <v>191</v>
      </c>
      <c r="F11" s="181">
        <f>SUM(F5:F10)</f>
        <v>0</v>
      </c>
      <c r="G11" s="181">
        <f>SUM(G5:G10)</f>
        <v>0</v>
      </c>
      <c r="H11" s="182"/>
      <c r="I11" s="481">
        <f t="shared" si="0"/>
        <v>1351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46296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540.6</v>
      </c>
      <c r="D12" s="43">
        <f>D11*1.02</f>
        <v>642.6</v>
      </c>
      <c r="E12" s="43">
        <f>E11*1.02</f>
        <v>194.82</v>
      </c>
      <c r="F12" s="43">
        <f>F11*1.02</f>
        <v>0</v>
      </c>
      <c r="G12" s="43">
        <f>G11*1.02</f>
        <v>0</v>
      </c>
      <c r="H12" s="44"/>
      <c r="I12" s="486">
        <f>I11*1.02</f>
        <v>1378.02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681</v>
      </c>
      <c r="C15" s="474" t="str">
        <f t="shared" ref="C15:C29" si="2">$A$5</f>
        <v>GR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1.4</v>
      </c>
      <c r="L15" s="67" t="s">
        <v>7</v>
      </c>
      <c r="M15" s="68">
        <f>K15*B15</f>
        <v>953.4</v>
      </c>
      <c r="N15" s="69"/>
      <c r="O15" s="70"/>
      <c r="P15" s="67" t="s">
        <v>7</v>
      </c>
      <c r="Q15" s="478">
        <v>46200</v>
      </c>
      <c r="R15" s="293">
        <v>954</v>
      </c>
      <c r="S15" s="71" t="s">
        <v>7</v>
      </c>
      <c r="T15" s="123">
        <f t="shared" ref="T15:T106" si="3">R15-M15</f>
        <v>0.60000000000002274</v>
      </c>
      <c r="U15" s="72"/>
      <c r="V15" s="72"/>
      <c r="W15" s="73"/>
      <c r="X15" s="74"/>
      <c r="Y15" s="479" t="s">
        <v>412</v>
      </c>
      <c r="Z15" s="63"/>
      <c r="AA15" s="64"/>
      <c r="AB15" s="360" t="s">
        <v>463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670</v>
      </c>
      <c r="C16" s="368" t="str">
        <f>$A$6</f>
        <v>BK</v>
      </c>
      <c r="D16" s="369"/>
      <c r="E16" s="370"/>
      <c r="F16" s="368"/>
      <c r="G16" s="369"/>
      <c r="H16" s="370"/>
      <c r="I16" s="563"/>
      <c r="J16" s="76" t="s">
        <v>6</v>
      </c>
      <c r="K16" s="83">
        <v>1.4</v>
      </c>
      <c r="L16" s="77" t="s">
        <v>7</v>
      </c>
      <c r="M16" s="78">
        <f t="shared" ref="M16:M85" si="4">K16*B16</f>
        <v>937.99999999999989</v>
      </c>
      <c r="N16" s="79"/>
      <c r="O16" s="128"/>
      <c r="P16" s="77" t="s">
        <v>7</v>
      </c>
      <c r="Q16" s="447"/>
      <c r="R16" s="137">
        <v>938</v>
      </c>
      <c r="S16" s="75" t="s">
        <v>7</v>
      </c>
      <c r="T16" s="81">
        <f t="shared" si="3"/>
        <v>0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442"/>
      <c r="J17" s="76" t="s">
        <v>6</v>
      </c>
      <c r="K17" s="83">
        <v>1.4</v>
      </c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681</v>
      </c>
      <c r="C18" s="461" t="str">
        <f t="shared" si="2"/>
        <v>GR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670</v>
      </c>
      <c r="C19" s="461" t="str">
        <f>$A$6</f>
        <v>BK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681</v>
      </c>
      <c r="C20" s="465" t="str">
        <f t="shared" ref="C20" si="6">$A$5</f>
        <v>GR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>
        <v>0.1</v>
      </c>
      <c r="L20" s="194" t="s">
        <v>7</v>
      </c>
      <c r="M20" s="195">
        <f t="shared" si="4"/>
        <v>68.100000000000009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-68.100000000000009</v>
      </c>
      <c r="U20" s="199"/>
      <c r="V20" s="200"/>
      <c r="W20" s="195"/>
      <c r="X20" s="195"/>
      <c r="Y20" s="437" t="s">
        <v>93</v>
      </c>
      <c r="Z20" s="235"/>
      <c r="AA20" s="202"/>
      <c r="AB20" s="617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670</v>
      </c>
      <c r="C21" s="465" t="str">
        <f>$A$6</f>
        <v>BK</v>
      </c>
      <c r="D21" s="465"/>
      <c r="E21" s="465"/>
      <c r="F21" s="465"/>
      <c r="G21" s="465"/>
      <c r="H21" s="465"/>
      <c r="I21" s="560"/>
      <c r="J21" s="192" t="s">
        <v>6</v>
      </c>
      <c r="K21" s="209">
        <v>0.1</v>
      </c>
      <c r="L21" s="194" t="s">
        <v>7</v>
      </c>
      <c r="M21" s="195">
        <f t="shared" si="4"/>
        <v>67</v>
      </c>
      <c r="N21" s="196"/>
      <c r="O21" s="210"/>
      <c r="P21" s="194" t="s">
        <v>7</v>
      </c>
      <c r="Q21" s="561"/>
      <c r="R21" s="200"/>
      <c r="S21" s="207" t="s">
        <v>7</v>
      </c>
      <c r="T21" s="198">
        <f t="shared" si="3"/>
        <v>-67</v>
      </c>
      <c r="U21" s="211"/>
      <c r="V21" s="211"/>
      <c r="W21" s="212"/>
      <c r="X21" s="213"/>
      <c r="Y21" s="562"/>
      <c r="Z21" s="214"/>
      <c r="AA21" s="202"/>
      <c r="AB21" s="61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0</v>
      </c>
      <c r="C22" s="465">
        <f>$A$7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619"/>
      <c r="AC22" s="229"/>
      <c r="AD22" s="230"/>
      <c r="AE22" s="230"/>
      <c r="AF22" s="230"/>
    </row>
    <row r="23" spans="1:32" s="55" customFormat="1" ht="69.95" customHeight="1" x14ac:dyDescent="0.15">
      <c r="A23" s="431" t="s">
        <v>352</v>
      </c>
      <c r="B23" s="182">
        <f t="shared" si="1"/>
        <v>681</v>
      </c>
      <c r="C23" s="461" t="str">
        <f t="shared" si="2"/>
        <v>GR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177.06</v>
      </c>
      <c r="N23" s="79"/>
      <c r="O23" s="78"/>
      <c r="P23" s="80" t="s">
        <v>7</v>
      </c>
      <c r="Q23" s="443">
        <v>46207</v>
      </c>
      <c r="R23" s="78">
        <v>175</v>
      </c>
      <c r="S23" s="80" t="s">
        <v>7</v>
      </c>
      <c r="T23" s="81">
        <f t="shared" si="3"/>
        <v>-2.0600000000000023</v>
      </c>
      <c r="U23" s="82"/>
      <c r="V23" s="137"/>
      <c r="W23" s="78"/>
      <c r="X23" s="78"/>
      <c r="Y23" s="445" t="s">
        <v>93</v>
      </c>
      <c r="Z23" s="138"/>
      <c r="AA23" s="135"/>
      <c r="AB23" s="586" t="s">
        <v>485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670</v>
      </c>
      <c r="C24" s="461" t="str">
        <f>$A$6</f>
        <v>BK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174.20000000000002</v>
      </c>
      <c r="N24" s="79"/>
      <c r="O24" s="128"/>
      <c r="P24" s="77" t="s">
        <v>7</v>
      </c>
      <c r="Q24" s="447"/>
      <c r="R24" s="137">
        <v>175</v>
      </c>
      <c r="S24" s="75" t="s">
        <v>7</v>
      </c>
      <c r="T24" s="81">
        <f t="shared" si="3"/>
        <v>0.79999999999998295</v>
      </c>
      <c r="U24" s="131"/>
      <c r="V24" s="131"/>
      <c r="W24" s="132"/>
      <c r="X24" s="133"/>
      <c r="Y24" s="557"/>
      <c r="Z24" s="228"/>
      <c r="AA24" s="228"/>
      <c r="AB24" s="587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/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588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681</v>
      </c>
      <c r="C26" s="465" t="str">
        <f t="shared" si="2"/>
        <v>GR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670</v>
      </c>
      <c r="C27" s="465" t="str">
        <f>$A$6</f>
        <v>BK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0</v>
      </c>
      <c r="C28" s="465">
        <f>$A$7</f>
        <v>0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353</v>
      </c>
      <c r="B29" s="239">
        <f t="shared" si="1"/>
        <v>681</v>
      </c>
      <c r="C29" s="456" t="str">
        <f t="shared" si="2"/>
        <v>GR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0.1</v>
      </c>
      <c r="L29" s="168" t="s">
        <v>7</v>
      </c>
      <c r="M29" s="242">
        <f t="shared" si="4"/>
        <v>68.100000000000009</v>
      </c>
      <c r="N29" s="243"/>
      <c r="O29" s="242"/>
      <c r="P29" s="244" t="s">
        <v>7</v>
      </c>
      <c r="Q29" s="376">
        <v>46207</v>
      </c>
      <c r="R29" s="242">
        <v>68</v>
      </c>
      <c r="S29" s="244" t="s">
        <v>7</v>
      </c>
      <c r="T29" s="245">
        <f t="shared" si="3"/>
        <v>-0.10000000000000853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485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670</v>
      </c>
      <c r="C30" s="456" t="str">
        <f>$A$6</f>
        <v>BK</v>
      </c>
      <c r="D30" s="456"/>
      <c r="E30" s="456"/>
      <c r="F30" s="456"/>
      <c r="G30" s="456"/>
      <c r="H30" s="456"/>
      <c r="I30" s="564"/>
      <c r="J30" s="240" t="s">
        <v>6</v>
      </c>
      <c r="K30" s="241">
        <v>0.1</v>
      </c>
      <c r="L30" s="168" t="s">
        <v>7</v>
      </c>
      <c r="M30" s="242">
        <f t="shared" si="4"/>
        <v>67</v>
      </c>
      <c r="N30" s="243"/>
      <c r="O30" s="253"/>
      <c r="P30" s="168" t="s">
        <v>7</v>
      </c>
      <c r="Q30" s="377"/>
      <c r="R30" s="247">
        <v>67</v>
      </c>
      <c r="S30" s="255" t="s">
        <v>7</v>
      </c>
      <c r="T30" s="245">
        <f t="shared" si="3"/>
        <v>0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/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8"/>
      <c r="R31" s="247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354</v>
      </c>
      <c r="B32" s="239">
        <f>$I$5</f>
        <v>681</v>
      </c>
      <c r="C32" s="456" t="str">
        <f>$A$5</f>
        <v>GR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0.18</v>
      </c>
      <c r="L32" s="168" t="s">
        <v>7</v>
      </c>
      <c r="M32" s="242">
        <f>K32*B32</f>
        <v>122.58</v>
      </c>
      <c r="N32" s="243"/>
      <c r="O32" s="242"/>
      <c r="P32" s="244" t="s">
        <v>7</v>
      </c>
      <c r="Q32" s="376">
        <v>46207</v>
      </c>
      <c r="R32" s="242">
        <v>123</v>
      </c>
      <c r="S32" s="244" t="s">
        <v>9</v>
      </c>
      <c r="T32" s="245">
        <f t="shared" si="3"/>
        <v>0.42000000000000171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670</v>
      </c>
      <c r="C33" s="456" t="str">
        <f>$A$6</f>
        <v>BK</v>
      </c>
      <c r="D33" s="456"/>
      <c r="E33" s="456"/>
      <c r="F33" s="456"/>
      <c r="G33" s="456"/>
      <c r="H33" s="456"/>
      <c r="I33" s="564"/>
      <c r="J33" s="240" t="s">
        <v>6</v>
      </c>
      <c r="K33" s="241">
        <v>0.18</v>
      </c>
      <c r="L33" s="168" t="s">
        <v>7</v>
      </c>
      <c r="M33" s="242">
        <f>K33*B33</f>
        <v>120.6</v>
      </c>
      <c r="N33" s="243"/>
      <c r="O33" s="253"/>
      <c r="P33" s="168" t="s">
        <v>7</v>
      </c>
      <c r="Q33" s="377"/>
      <c r="R33" s="247">
        <v>121</v>
      </c>
      <c r="S33" s="255" t="s">
        <v>9</v>
      </c>
      <c r="T33" s="245">
        <f t="shared" si="3"/>
        <v>0.40000000000000568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/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681</v>
      </c>
      <c r="C35" s="465" t="str">
        <f>$A$5</f>
        <v>GR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670</v>
      </c>
      <c r="C36" s="465" t="str">
        <f>$A$6</f>
        <v>BK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86</v>
      </c>
      <c r="B38" s="239">
        <f>$I$5</f>
        <v>681</v>
      </c>
      <c r="C38" s="456" t="str">
        <f>$A$5</f>
        <v>GR</v>
      </c>
      <c r="D38" s="456"/>
      <c r="E38" s="456"/>
      <c r="F38" s="456"/>
      <c r="G38" s="456"/>
      <c r="H38" s="456"/>
      <c r="I38" s="457" t="s">
        <v>76</v>
      </c>
      <c r="J38" s="240"/>
      <c r="K38" s="308">
        <v>3.5</v>
      </c>
      <c r="L38" s="168" t="s">
        <v>7</v>
      </c>
      <c r="M38" s="242">
        <f t="shared" ref="M38:M43" si="7">K38*B38/50</f>
        <v>47.67</v>
      </c>
      <c r="N38" s="243"/>
      <c r="O38" s="242"/>
      <c r="P38" s="244" t="s">
        <v>7</v>
      </c>
      <c r="Q38" s="376">
        <v>46207</v>
      </c>
      <c r="R38" s="78">
        <v>48</v>
      </c>
      <c r="S38" s="244" t="s">
        <v>9</v>
      </c>
      <c r="T38" s="245">
        <f t="shared" si="3"/>
        <v>0.32999999999999829</v>
      </c>
      <c r="U38" s="246"/>
      <c r="V38" s="247"/>
      <c r="W38" s="242"/>
      <c r="X38" s="242"/>
      <c r="Y38" s="459" t="s">
        <v>94</v>
      </c>
      <c r="Z38" s="260"/>
      <c r="AA38" s="249"/>
      <c r="AB38" s="586" t="s">
        <v>485</v>
      </c>
    </row>
    <row r="39" spans="1:32" s="261" customFormat="1" ht="69.95" customHeight="1" x14ac:dyDescent="0.15">
      <c r="A39" s="464"/>
      <c r="B39" s="239">
        <f>$I$6</f>
        <v>670</v>
      </c>
      <c r="C39" s="456" t="str">
        <f>$A$6</f>
        <v>BK</v>
      </c>
      <c r="D39" s="456"/>
      <c r="E39" s="456"/>
      <c r="F39" s="456"/>
      <c r="G39" s="456"/>
      <c r="H39" s="456"/>
      <c r="I39" s="564"/>
      <c r="J39" s="240"/>
      <c r="K39" s="308">
        <v>3.5</v>
      </c>
      <c r="L39" s="168" t="s">
        <v>7</v>
      </c>
      <c r="M39" s="242">
        <f t="shared" si="7"/>
        <v>46.9</v>
      </c>
      <c r="N39" s="243"/>
      <c r="O39" s="253"/>
      <c r="P39" s="168" t="s">
        <v>7</v>
      </c>
      <c r="Q39" s="377"/>
      <c r="R39" s="137">
        <v>47</v>
      </c>
      <c r="S39" s="255" t="s">
        <v>9</v>
      </c>
      <c r="T39" s="245">
        <f t="shared" si="3"/>
        <v>0.10000000000000142</v>
      </c>
      <c r="U39" s="256"/>
      <c r="V39" s="256"/>
      <c r="W39" s="257"/>
      <c r="X39" s="258"/>
      <c r="Y39" s="565"/>
      <c r="Z39" s="259"/>
      <c r="AA39" s="249"/>
      <c r="AB39" s="587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262"/>
      <c r="L40" s="168" t="s">
        <v>7</v>
      </c>
      <c r="M40" s="242">
        <f t="shared" si="7"/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588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681</v>
      </c>
      <c r="C41" s="465" t="str">
        <f>$A$5</f>
        <v>GR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670</v>
      </c>
      <c r="C42" s="465" t="str">
        <f>$A$6</f>
        <v>BK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681</v>
      </c>
      <c r="C44" s="456" t="str">
        <f>$A$5</f>
        <v>GR</v>
      </c>
      <c r="D44" s="456"/>
      <c r="E44" s="456"/>
      <c r="F44" s="456" t="str">
        <f>$A$5</f>
        <v>GR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35.411999999999999</v>
      </c>
      <c r="N44" s="243"/>
      <c r="O44" s="242"/>
      <c r="P44" s="244" t="s">
        <v>10</v>
      </c>
      <c r="Q44" s="443">
        <v>46207</v>
      </c>
      <c r="R44" s="242">
        <v>36</v>
      </c>
      <c r="S44" s="244" t="s">
        <v>10</v>
      </c>
      <c r="T44" s="245">
        <f t="shared" si="3"/>
        <v>0.58800000000000097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485</v>
      </c>
    </row>
    <row r="45" spans="1:32" s="176" customFormat="1" ht="69.95" customHeight="1" x14ac:dyDescent="0.15">
      <c r="A45" s="559"/>
      <c r="B45" s="264">
        <f>$I$6</f>
        <v>670</v>
      </c>
      <c r="C45" s="413" t="str">
        <f>$A$6</f>
        <v>BK</v>
      </c>
      <c r="D45" s="414"/>
      <c r="E45" s="415"/>
      <c r="F45" s="413" t="str">
        <f>$A$6</f>
        <v>BK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34.840000000000003</v>
      </c>
      <c r="N45" s="267"/>
      <c r="O45" s="268"/>
      <c r="P45" s="266" t="s">
        <v>10</v>
      </c>
      <c r="Q45" s="447"/>
      <c r="R45" s="269">
        <v>35</v>
      </c>
      <c r="S45" s="252" t="s">
        <v>10</v>
      </c>
      <c r="T45" s="270">
        <f t="shared" si="3"/>
        <v>0.15999999999999659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/>
      <c r="L46" s="266" t="s">
        <v>61</v>
      </c>
      <c r="M46" s="242">
        <f t="shared" si="8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681</v>
      </c>
      <c r="C47" s="456" t="str">
        <f>$A$5</f>
        <v>GR</v>
      </c>
      <c r="D47" s="456"/>
      <c r="E47" s="456"/>
      <c r="F47" s="456" t="str">
        <f>$A$5</f>
        <v>GR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37.454999999999998</v>
      </c>
      <c r="N47" s="243"/>
      <c r="O47" s="242"/>
      <c r="P47" s="244" t="s">
        <v>10</v>
      </c>
      <c r="Q47" s="447"/>
      <c r="R47" s="242">
        <v>38</v>
      </c>
      <c r="S47" s="244" t="s">
        <v>10</v>
      </c>
      <c r="T47" s="245">
        <f t="shared" si="3"/>
        <v>0.54500000000000171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670</v>
      </c>
      <c r="C48" s="413" t="str">
        <f>$A$6</f>
        <v>BK</v>
      </c>
      <c r="D48" s="414"/>
      <c r="E48" s="415"/>
      <c r="F48" s="413" t="str">
        <f>$A$6</f>
        <v>BK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36.85</v>
      </c>
      <c r="N48" s="267"/>
      <c r="O48" s="268"/>
      <c r="P48" s="266" t="s">
        <v>10</v>
      </c>
      <c r="Q48" s="447"/>
      <c r="R48" s="269">
        <v>37</v>
      </c>
      <c r="S48" s="252" t="s">
        <v>10</v>
      </c>
      <c r="T48" s="270">
        <f t="shared" si="3"/>
        <v>0.14999999999999858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>
        <f>$A$7</f>
        <v>0</v>
      </c>
      <c r="G49" s="414"/>
      <c r="H49" s="415"/>
      <c r="I49" s="458"/>
      <c r="J49" s="265"/>
      <c r="K49" s="263"/>
      <c r="L49" s="266" t="s">
        <v>61</v>
      </c>
      <c r="M49" s="242">
        <f t="shared" si="9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208</v>
      </c>
      <c r="B50" s="182">
        <f>$I$5</f>
        <v>681</v>
      </c>
      <c r="C50" s="461" t="str">
        <f>$A$5</f>
        <v>GR</v>
      </c>
      <c r="D50" s="461"/>
      <c r="E50" s="461"/>
      <c r="F50" s="461" t="str">
        <f>$A$5</f>
        <v>GR</v>
      </c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9"/>
        <v>1.7024999999999999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si="3"/>
        <v>0.2975000000000001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670</v>
      </c>
      <c r="C51" s="395" t="str">
        <f>$A$6</f>
        <v>BK</v>
      </c>
      <c r="D51" s="396"/>
      <c r="E51" s="397"/>
      <c r="F51" s="395" t="str">
        <f>$A$6</f>
        <v>BK</v>
      </c>
      <c r="G51" s="396"/>
      <c r="H51" s="397"/>
      <c r="I51" s="563"/>
      <c r="J51" s="144"/>
      <c r="K51" s="139">
        <v>10</v>
      </c>
      <c r="L51" s="145" t="s">
        <v>61</v>
      </c>
      <c r="M51" s="78">
        <f t="shared" si="9"/>
        <v>1.675</v>
      </c>
      <c r="N51" s="146"/>
      <c r="O51" s="147"/>
      <c r="P51" s="145" t="s">
        <v>10</v>
      </c>
      <c r="Q51" s="447"/>
      <c r="R51" s="161">
        <v>2</v>
      </c>
      <c r="S51" s="148" t="s">
        <v>10</v>
      </c>
      <c r="T51" s="84">
        <f t="shared" si="3"/>
        <v>0.32499999999999996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 t="str">
        <f>$A$6</f>
        <v>BK</v>
      </c>
      <c r="G52" s="396"/>
      <c r="H52" s="397"/>
      <c r="I52" s="442"/>
      <c r="J52" s="144"/>
      <c r="K52" s="139"/>
      <c r="L52" s="145" t="s">
        <v>61</v>
      </c>
      <c r="M52" s="78">
        <f t="shared" si="9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139</v>
      </c>
      <c r="B53" s="191">
        <f t="shared" ref="B53" si="10">$I$5</f>
        <v>681</v>
      </c>
      <c r="C53" s="422" t="str">
        <f t="shared" ref="C53" si="11">$A$5</f>
        <v>GR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ref="M53:M73" si="12">K53*B53</f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140</v>
      </c>
      <c r="Z53" s="231"/>
      <c r="AA53" s="232"/>
      <c r="AB53" s="439"/>
    </row>
    <row r="54" spans="1:32" s="206" customFormat="1" ht="69.95" customHeight="1" x14ac:dyDescent="0.15">
      <c r="A54" s="559"/>
      <c r="B54" s="204">
        <f>$I$6</f>
        <v>670</v>
      </c>
      <c r="C54" s="453" t="str">
        <f>$A$6</f>
        <v>BK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2"/>
        <v>0</v>
      </c>
      <c r="N54" s="233"/>
      <c r="O54" s="195"/>
      <c r="P54" s="194" t="s">
        <v>65</v>
      </c>
      <c r="Q54" s="561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562"/>
      <c r="Z54" s="201"/>
      <c r="AA54" s="202"/>
      <c r="AB54" s="558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91">
        <f>$I$7</f>
        <v>0</v>
      </c>
      <c r="C55" s="465">
        <f>$A$7</f>
        <v>0</v>
      </c>
      <c r="D55" s="465"/>
      <c r="E55" s="465"/>
      <c r="F55" s="425"/>
      <c r="G55" s="423"/>
      <c r="H55" s="424"/>
      <c r="I55" s="207"/>
      <c r="J55" s="192"/>
      <c r="K55" s="193"/>
      <c r="L55" s="194" t="s">
        <v>65</v>
      </c>
      <c r="M55" s="195">
        <f t="shared" si="12"/>
        <v>0</v>
      </c>
      <c r="N55" s="233"/>
      <c r="O55" s="195"/>
      <c r="P55" s="194" t="s">
        <v>65</v>
      </c>
      <c r="Q55" s="436"/>
      <c r="R55" s="195"/>
      <c r="S55" s="194" t="s">
        <v>65</v>
      </c>
      <c r="T55" s="198">
        <f t="shared" si="3"/>
        <v>0</v>
      </c>
      <c r="U55" s="199"/>
      <c r="V55" s="200"/>
      <c r="W55" s="195"/>
      <c r="X55" s="195"/>
      <c r="Y55" s="438"/>
      <c r="Z55" s="201"/>
      <c r="AA55" s="202"/>
      <c r="AB55" s="440"/>
      <c r="AC55" s="234"/>
      <c r="AD55" s="230"/>
      <c r="AE55" s="230"/>
      <c r="AF55" s="230"/>
    </row>
    <row r="56" spans="1:32" s="55" customFormat="1" ht="69.95" customHeight="1" x14ac:dyDescent="0.15">
      <c r="A56" s="431" t="s">
        <v>355</v>
      </c>
      <c r="B56" s="182">
        <f t="shared" ref="B56:B62" si="13">$I$5</f>
        <v>681</v>
      </c>
      <c r="C56" s="368" t="str">
        <f t="shared" ref="C56:C62" si="14">$A$5</f>
        <v>GR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681</v>
      </c>
      <c r="N56" s="79"/>
      <c r="O56" s="78"/>
      <c r="P56" s="80" t="s">
        <v>63</v>
      </c>
      <c r="Q56" s="443">
        <v>46207</v>
      </c>
      <c r="R56" s="78">
        <v>681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485</v>
      </c>
    </row>
    <row r="57" spans="1:32" s="55" customFormat="1" ht="69.95" customHeight="1" x14ac:dyDescent="0.15">
      <c r="A57" s="559"/>
      <c r="B57" s="186">
        <f>$I$6</f>
        <v>670</v>
      </c>
      <c r="C57" s="395" t="str">
        <f>$A$6</f>
        <v>BK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670</v>
      </c>
      <c r="N57" s="140"/>
      <c r="O57" s="78"/>
      <c r="P57" s="80" t="s">
        <v>63</v>
      </c>
      <c r="Q57" s="447"/>
      <c r="R57" s="78">
        <v>670</v>
      </c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461">
        <f>$A$7</f>
        <v>0</v>
      </c>
      <c r="D58" s="461"/>
      <c r="E58" s="461"/>
      <c r="F58" s="428"/>
      <c r="G58" s="369"/>
      <c r="H58" s="370"/>
      <c r="I58" s="442"/>
      <c r="J58" s="76"/>
      <c r="K58" s="139"/>
      <c r="L58" s="77" t="s">
        <v>63</v>
      </c>
      <c r="M58" s="78">
        <f t="shared" si="12"/>
        <v>0</v>
      </c>
      <c r="N58" s="140"/>
      <c r="O58" s="78"/>
      <c r="P58" s="80" t="s">
        <v>63</v>
      </c>
      <c r="Q58" s="447"/>
      <c r="R58" s="78"/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356</v>
      </c>
      <c r="B59" s="182">
        <f t="shared" ref="B59" si="15">$I$5</f>
        <v>681</v>
      </c>
      <c r="C59" s="368" t="str">
        <f t="shared" ref="C59" si="16">$A$5</f>
        <v>GR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681</v>
      </c>
      <c r="N59" s="79"/>
      <c r="O59" s="78"/>
      <c r="P59" s="80" t="s">
        <v>65</v>
      </c>
      <c r="Q59" s="447"/>
      <c r="R59" s="78">
        <v>681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670</v>
      </c>
      <c r="C60" s="368" t="str">
        <f>$A$6</f>
        <v>BK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670</v>
      </c>
      <c r="N60" s="140"/>
      <c r="O60" s="78"/>
      <c r="P60" s="80" t="s">
        <v>65</v>
      </c>
      <c r="Q60" s="447"/>
      <c r="R60" s="78">
        <v>670</v>
      </c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368">
        <f>$A$7</f>
        <v>0</v>
      </c>
      <c r="D61" s="369"/>
      <c r="E61" s="370"/>
      <c r="F61" s="428"/>
      <c r="G61" s="429"/>
      <c r="H61" s="430"/>
      <c r="I61" s="75"/>
      <c r="J61" s="76"/>
      <c r="K61" s="139"/>
      <c r="L61" s="77" t="s">
        <v>65</v>
      </c>
      <c r="M61" s="78">
        <f t="shared" si="12"/>
        <v>0</v>
      </c>
      <c r="N61" s="140"/>
      <c r="O61" s="78"/>
      <c r="P61" s="80" t="s">
        <v>65</v>
      </c>
      <c r="Q61" s="444"/>
      <c r="R61" s="78"/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90</v>
      </c>
      <c r="B62" s="191">
        <f t="shared" si="13"/>
        <v>681</v>
      </c>
      <c r="C62" s="422" t="str">
        <f t="shared" si="14"/>
        <v>GR</v>
      </c>
      <c r="D62" s="423"/>
      <c r="E62" s="424"/>
      <c r="F62" s="425"/>
      <c r="G62" s="426"/>
      <c r="H62" s="427"/>
      <c r="I62" s="207" t="s">
        <v>79</v>
      </c>
      <c r="J62" s="192"/>
      <c r="K62" s="193"/>
      <c r="L62" s="194" t="s">
        <v>63</v>
      </c>
      <c r="M62" s="195">
        <f t="shared" si="12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</row>
    <row r="63" spans="1:32" s="55" customFormat="1" ht="69.95" customHeight="1" x14ac:dyDescent="0.15">
      <c r="A63" s="559"/>
      <c r="B63" s="204">
        <f>$I$6</f>
        <v>670</v>
      </c>
      <c r="C63" s="422" t="str">
        <f>$A$6</f>
        <v>BK</v>
      </c>
      <c r="D63" s="423"/>
      <c r="E63" s="424"/>
      <c r="F63" s="425"/>
      <c r="G63" s="426"/>
      <c r="H63" s="427"/>
      <c r="I63" s="207" t="s">
        <v>79</v>
      </c>
      <c r="J63" s="192"/>
      <c r="K63" s="193"/>
      <c r="L63" s="194" t="s">
        <v>63</v>
      </c>
      <c r="M63" s="195">
        <f t="shared" si="12"/>
        <v>0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0</v>
      </c>
      <c r="U63" s="199"/>
      <c r="V63" s="200"/>
      <c r="W63" s="195"/>
      <c r="X63" s="195"/>
      <c r="Y63" s="562"/>
      <c r="Z63" s="201"/>
      <c r="AA63" s="202"/>
      <c r="AB63" s="558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91">
        <f>$I$7</f>
        <v>0</v>
      </c>
      <c r="C64" s="465">
        <f>$A$7</f>
        <v>0</v>
      </c>
      <c r="D64" s="465"/>
      <c r="E64" s="465"/>
      <c r="F64" s="425"/>
      <c r="G64" s="426"/>
      <c r="H64" s="427"/>
      <c r="I64" s="207" t="s">
        <v>79</v>
      </c>
      <c r="J64" s="192"/>
      <c r="K64" s="193"/>
      <c r="L64" s="194" t="s">
        <v>63</v>
      </c>
      <c r="M64" s="195">
        <f t="shared" si="12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142"/>
      <c r="AD64" s="179"/>
      <c r="AE64" s="179"/>
      <c r="AF64" s="179"/>
    </row>
    <row r="65" spans="1:32" s="55" customFormat="1" ht="69.95" customHeight="1" x14ac:dyDescent="0.15">
      <c r="A65" s="431" t="s">
        <v>357</v>
      </c>
      <c r="B65" s="182">
        <f t="shared" ref="B65" si="17">$I$5</f>
        <v>681</v>
      </c>
      <c r="C65" s="368" t="str">
        <f t="shared" ref="C65" si="18">$A$5</f>
        <v>GR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681</v>
      </c>
      <c r="N65" s="79"/>
      <c r="O65" s="78"/>
      <c r="P65" s="80" t="s">
        <v>63</v>
      </c>
      <c r="Q65" s="443"/>
      <c r="R65" s="78"/>
      <c r="S65" s="80" t="s">
        <v>63</v>
      </c>
      <c r="T65" s="84">
        <f t="shared" si="3"/>
        <v>-681</v>
      </c>
      <c r="U65" s="82"/>
      <c r="V65" s="82"/>
      <c r="W65" s="83"/>
      <c r="X65" s="81"/>
      <c r="Y65" s="445" t="s">
        <v>64</v>
      </c>
      <c r="Z65" s="86"/>
      <c r="AA65" s="85"/>
      <c r="AB65" s="586"/>
    </row>
    <row r="66" spans="1:32" s="55" customFormat="1" ht="69.95" customHeight="1" x14ac:dyDescent="0.15">
      <c r="A66" s="559"/>
      <c r="B66" s="186">
        <f>$I$6</f>
        <v>670</v>
      </c>
      <c r="C66" s="368" t="str">
        <f>$A$6</f>
        <v>BK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670</v>
      </c>
      <c r="N66" s="140"/>
      <c r="O66" s="78"/>
      <c r="P66" s="80" t="s">
        <v>63</v>
      </c>
      <c r="Q66" s="447"/>
      <c r="R66" s="78"/>
      <c r="S66" s="80" t="s">
        <v>63</v>
      </c>
      <c r="T66" s="81">
        <f t="shared" si="3"/>
        <v>-670</v>
      </c>
      <c r="U66" s="82"/>
      <c r="V66" s="137"/>
      <c r="W66" s="78"/>
      <c r="X66" s="78"/>
      <c r="Y66" s="557"/>
      <c r="Z66" s="141"/>
      <c r="AA66" s="135"/>
      <c r="AB66" s="587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0</v>
      </c>
      <c r="C67" s="456">
        <f>$A$7</f>
        <v>0</v>
      </c>
      <c r="D67" s="456"/>
      <c r="E67" s="456"/>
      <c r="F67" s="428"/>
      <c r="G67" s="429"/>
      <c r="H67" s="430"/>
      <c r="I67" s="442"/>
      <c r="J67" s="76"/>
      <c r="K67" s="139"/>
      <c r="L67" s="77" t="s">
        <v>63</v>
      </c>
      <c r="M67" s="78">
        <f t="shared" si="12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588"/>
      <c r="AC67" s="142"/>
      <c r="AD67" s="179"/>
      <c r="AE67" s="179"/>
      <c r="AF67" s="179"/>
    </row>
    <row r="68" spans="1:32" s="55" customFormat="1" ht="69.95" customHeight="1" x14ac:dyDescent="0.15">
      <c r="A68" s="431" t="s">
        <v>164</v>
      </c>
      <c r="B68" s="191">
        <f t="shared" ref="B68" si="19">$I$5</f>
        <v>681</v>
      </c>
      <c r="C68" s="422" t="str">
        <f t="shared" ref="C68" si="20">$A$5</f>
        <v>GR</v>
      </c>
      <c r="D68" s="423"/>
      <c r="E68" s="424"/>
      <c r="F68" s="425"/>
      <c r="G68" s="426"/>
      <c r="H68" s="427"/>
      <c r="I68" s="433" t="s">
        <v>102</v>
      </c>
      <c r="J68" s="192"/>
      <c r="K68" s="209">
        <v>0.56000000000000005</v>
      </c>
      <c r="L68" s="194" t="s">
        <v>129</v>
      </c>
      <c r="M68" s="195">
        <f t="shared" si="12"/>
        <v>381.36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3"/>
        <v>-381.36</v>
      </c>
      <c r="U68" s="199"/>
      <c r="V68" s="199"/>
      <c r="W68" s="208"/>
      <c r="X68" s="198"/>
      <c r="Y68" s="437" t="s">
        <v>130</v>
      </c>
      <c r="Z68" s="231"/>
      <c r="AA68" s="232"/>
      <c r="AB68" s="439"/>
    </row>
    <row r="69" spans="1:32" s="55" customFormat="1" ht="69.95" customHeight="1" x14ac:dyDescent="0.15">
      <c r="A69" s="559"/>
      <c r="B69" s="204">
        <f>$I$6</f>
        <v>670</v>
      </c>
      <c r="C69" s="422" t="str">
        <f>$A$6</f>
        <v>BK</v>
      </c>
      <c r="D69" s="423"/>
      <c r="E69" s="424"/>
      <c r="F69" s="425"/>
      <c r="G69" s="426"/>
      <c r="H69" s="427"/>
      <c r="I69" s="560"/>
      <c r="J69" s="192"/>
      <c r="K69" s="209">
        <v>0.56000000000000005</v>
      </c>
      <c r="L69" s="194" t="s">
        <v>129</v>
      </c>
      <c r="M69" s="195">
        <f t="shared" si="12"/>
        <v>375.20000000000005</v>
      </c>
      <c r="N69" s="233"/>
      <c r="O69" s="195"/>
      <c r="P69" s="197" t="s">
        <v>63</v>
      </c>
      <c r="Q69" s="561"/>
      <c r="R69" s="195"/>
      <c r="S69" s="197" t="s">
        <v>63</v>
      </c>
      <c r="T69" s="198">
        <f t="shared" si="3"/>
        <v>-375.20000000000005</v>
      </c>
      <c r="U69" s="199"/>
      <c r="V69" s="200"/>
      <c r="W69" s="195"/>
      <c r="X69" s="195"/>
      <c r="Y69" s="562"/>
      <c r="Z69" s="201"/>
      <c r="AA69" s="202"/>
      <c r="AB69" s="558"/>
      <c r="AC69" s="142"/>
      <c r="AD69" s="179"/>
      <c r="AE69" s="179"/>
      <c r="AF69" s="179"/>
    </row>
    <row r="70" spans="1:32" s="55" customFormat="1" ht="69.95" customHeight="1" x14ac:dyDescent="0.15">
      <c r="A70" s="432"/>
      <c r="B70" s="191">
        <f>$I$7</f>
        <v>0</v>
      </c>
      <c r="C70" s="465">
        <f>$A$7</f>
        <v>0</v>
      </c>
      <c r="D70" s="465"/>
      <c r="E70" s="465"/>
      <c r="F70" s="425"/>
      <c r="G70" s="426"/>
      <c r="H70" s="427"/>
      <c r="I70" s="434"/>
      <c r="J70" s="192"/>
      <c r="K70" s="209"/>
      <c r="L70" s="194" t="s">
        <v>129</v>
      </c>
      <c r="M70" s="195">
        <f t="shared" si="12"/>
        <v>0</v>
      </c>
      <c r="N70" s="233"/>
      <c r="O70" s="195"/>
      <c r="P70" s="197" t="s">
        <v>63</v>
      </c>
      <c r="Q70" s="436"/>
      <c r="R70" s="195"/>
      <c r="S70" s="197" t="s">
        <v>63</v>
      </c>
      <c r="T70" s="198">
        <f t="shared" si="3"/>
        <v>0</v>
      </c>
      <c r="U70" s="199"/>
      <c r="V70" s="200"/>
      <c r="W70" s="195"/>
      <c r="X70" s="195"/>
      <c r="Y70" s="438"/>
      <c r="Z70" s="201"/>
      <c r="AA70" s="202"/>
      <c r="AB70" s="440"/>
      <c r="AC70" s="142"/>
      <c r="AD70" s="179"/>
      <c r="AE70" s="179"/>
      <c r="AF70" s="179"/>
    </row>
    <row r="71" spans="1:32" s="55" customFormat="1" ht="69.95" customHeight="1" x14ac:dyDescent="0.15">
      <c r="A71" s="431" t="s">
        <v>141</v>
      </c>
      <c r="B71" s="191">
        <f t="shared" ref="B71" si="21">$I$5</f>
        <v>681</v>
      </c>
      <c r="C71" s="422" t="str">
        <f t="shared" ref="C71" si="22">$A$5</f>
        <v>GR</v>
      </c>
      <c r="D71" s="423"/>
      <c r="E71" s="424"/>
      <c r="F71" s="425"/>
      <c r="G71" s="426"/>
      <c r="H71" s="427"/>
      <c r="I71" s="433" t="s">
        <v>204</v>
      </c>
      <c r="J71" s="192"/>
      <c r="K71" s="209"/>
      <c r="L71" s="194" t="s">
        <v>129</v>
      </c>
      <c r="M71" s="195">
        <f t="shared" si="12"/>
        <v>0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0</v>
      </c>
      <c r="U71" s="199"/>
      <c r="V71" s="199"/>
      <c r="W71" s="208"/>
      <c r="X71" s="198"/>
      <c r="Y71" s="437" t="s">
        <v>130</v>
      </c>
      <c r="Z71" s="231"/>
      <c r="AA71" s="232"/>
      <c r="AB71" s="439"/>
    </row>
    <row r="72" spans="1:32" s="55" customFormat="1" ht="69.95" customHeight="1" x14ac:dyDescent="0.15">
      <c r="A72" s="559"/>
      <c r="B72" s="204">
        <f>$I$6</f>
        <v>670</v>
      </c>
      <c r="C72" s="422" t="str">
        <f>$A$6</f>
        <v>BK</v>
      </c>
      <c r="D72" s="423"/>
      <c r="E72" s="424"/>
      <c r="F72" s="425"/>
      <c r="G72" s="426"/>
      <c r="H72" s="427"/>
      <c r="I72" s="560"/>
      <c r="J72" s="192"/>
      <c r="K72" s="209"/>
      <c r="L72" s="194" t="s">
        <v>129</v>
      </c>
      <c r="M72" s="195">
        <f t="shared" si="12"/>
        <v>0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0</v>
      </c>
      <c r="U72" s="199"/>
      <c r="V72" s="200"/>
      <c r="W72" s="195"/>
      <c r="X72" s="195"/>
      <c r="Y72" s="562"/>
      <c r="Z72" s="201"/>
      <c r="AA72" s="202"/>
      <c r="AB72" s="558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91">
        <f>$I$7</f>
        <v>0</v>
      </c>
      <c r="C73" s="465">
        <f>$A$7</f>
        <v>0</v>
      </c>
      <c r="D73" s="465"/>
      <c r="E73" s="465"/>
      <c r="F73" s="425"/>
      <c r="G73" s="426"/>
      <c r="H73" s="427"/>
      <c r="I73" s="434"/>
      <c r="J73" s="192"/>
      <c r="K73" s="209"/>
      <c r="L73" s="194" t="s">
        <v>129</v>
      </c>
      <c r="M73" s="195">
        <f t="shared" si="12"/>
        <v>0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0</v>
      </c>
      <c r="U73" s="199"/>
      <c r="V73" s="200"/>
      <c r="W73" s="195"/>
      <c r="X73" s="195"/>
      <c r="Y73" s="438"/>
      <c r="Z73" s="201"/>
      <c r="AA73" s="202"/>
      <c r="AB73" s="440"/>
      <c r="AC73" s="142"/>
      <c r="AD73" s="179"/>
      <c r="AE73" s="179"/>
      <c r="AF73" s="179"/>
    </row>
    <row r="74" spans="1:32" s="206" customFormat="1" ht="69.95" customHeight="1" x14ac:dyDescent="0.15">
      <c r="A74" s="431" t="s">
        <v>120</v>
      </c>
      <c r="B74" s="191">
        <f t="shared" ref="B74" si="23">$I$5</f>
        <v>681</v>
      </c>
      <c r="C74" s="422" t="str">
        <f t="shared" ref="C74" si="24">$A$5</f>
        <v>GR</v>
      </c>
      <c r="D74" s="423"/>
      <c r="E74" s="424"/>
      <c r="F74" s="425"/>
      <c r="G74" s="426"/>
      <c r="H74" s="427"/>
      <c r="I74" s="433" t="s">
        <v>75</v>
      </c>
      <c r="J74" s="192"/>
      <c r="K74" s="193"/>
      <c r="L74" s="194" t="s">
        <v>63</v>
      </c>
      <c r="M74" s="195">
        <f t="shared" si="4"/>
        <v>0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0</v>
      </c>
      <c r="U74" s="199"/>
      <c r="V74" s="199"/>
      <c r="W74" s="208"/>
      <c r="X74" s="198"/>
      <c r="Y74" s="437" t="s">
        <v>64</v>
      </c>
      <c r="Z74" s="231"/>
      <c r="AA74" s="232"/>
      <c r="AB74" s="439"/>
    </row>
    <row r="75" spans="1:32" s="206" customFormat="1" ht="69.95" customHeight="1" x14ac:dyDescent="0.15">
      <c r="A75" s="559"/>
      <c r="B75" s="204">
        <f>$I$6</f>
        <v>670</v>
      </c>
      <c r="C75" s="422" t="str">
        <f>$A$6</f>
        <v>BK</v>
      </c>
      <c r="D75" s="423"/>
      <c r="E75" s="424"/>
      <c r="F75" s="425"/>
      <c r="G75" s="426"/>
      <c r="H75" s="427"/>
      <c r="I75" s="560"/>
      <c r="J75" s="192"/>
      <c r="K75" s="193"/>
      <c r="L75" s="194" t="s">
        <v>63</v>
      </c>
      <c r="M75" s="195">
        <f t="shared" si="4"/>
        <v>0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0</v>
      </c>
      <c r="U75" s="199"/>
      <c r="V75" s="200"/>
      <c r="W75" s="195"/>
      <c r="X75" s="195"/>
      <c r="Y75" s="562"/>
      <c r="Z75" s="201"/>
      <c r="AA75" s="202"/>
      <c r="AB75" s="558"/>
      <c r="AC75" s="234"/>
      <c r="AD75" s="230"/>
      <c r="AE75" s="230"/>
      <c r="AF75" s="230"/>
    </row>
    <row r="76" spans="1:32" s="206" customFormat="1" ht="69.95" customHeight="1" x14ac:dyDescent="0.15">
      <c r="A76" s="432"/>
      <c r="B76" s="191">
        <f>$I$7</f>
        <v>0</v>
      </c>
      <c r="C76" s="465">
        <f>$A$7</f>
        <v>0</v>
      </c>
      <c r="D76" s="465"/>
      <c r="E76" s="465"/>
      <c r="F76" s="425"/>
      <c r="G76" s="426"/>
      <c r="H76" s="427"/>
      <c r="I76" s="434"/>
      <c r="J76" s="192"/>
      <c r="K76" s="193"/>
      <c r="L76" s="194" t="s">
        <v>63</v>
      </c>
      <c r="M76" s="195">
        <f t="shared" si="4"/>
        <v>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0</v>
      </c>
      <c r="U76" s="199"/>
      <c r="V76" s="200"/>
      <c r="W76" s="195"/>
      <c r="X76" s="195"/>
      <c r="Y76" s="438"/>
      <c r="Z76" s="201"/>
      <c r="AA76" s="202"/>
      <c r="AB76" s="440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530</v>
      </c>
      <c r="C77" s="407" t="e">
        <f>#REF!</f>
        <v>#REF!</v>
      </c>
      <c r="D77" s="408"/>
      <c r="E77" s="409"/>
      <c r="F77" s="371" t="s">
        <v>465</v>
      </c>
      <c r="G77" s="372"/>
      <c r="H77" s="373"/>
      <c r="I77" s="614" t="s">
        <v>358</v>
      </c>
      <c r="J77" s="255"/>
      <c r="K77" s="263">
        <v>1</v>
      </c>
      <c r="L77" s="168" t="s">
        <v>63</v>
      </c>
      <c r="M77" s="169">
        <f t="shared" si="4"/>
        <v>530</v>
      </c>
      <c r="N77" s="171"/>
      <c r="O77" s="277"/>
      <c r="P77" s="169" t="s">
        <v>63</v>
      </c>
      <c r="Q77" s="376">
        <v>46207</v>
      </c>
      <c r="R77" s="277">
        <v>670</v>
      </c>
      <c r="S77" s="169" t="s">
        <v>63</v>
      </c>
      <c r="T77" s="278">
        <f t="shared" si="3"/>
        <v>140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475</v>
      </c>
    </row>
    <row r="78" spans="1:32" s="176" customFormat="1" ht="54.95" customHeight="1" x14ac:dyDescent="0.15">
      <c r="A78" s="387"/>
      <c r="B78" s="164">
        <f>D11</f>
        <v>630</v>
      </c>
      <c r="C78" s="410"/>
      <c r="D78" s="411"/>
      <c r="E78" s="412"/>
      <c r="F78" s="371" t="s">
        <v>466</v>
      </c>
      <c r="G78" s="372"/>
      <c r="H78" s="373"/>
      <c r="I78" s="615"/>
      <c r="J78" s="255"/>
      <c r="K78" s="167">
        <v>1</v>
      </c>
      <c r="L78" s="168" t="s">
        <v>63</v>
      </c>
      <c r="M78" s="169">
        <f t="shared" si="4"/>
        <v>630</v>
      </c>
      <c r="N78" s="171"/>
      <c r="O78" s="277"/>
      <c r="P78" s="169" t="s">
        <v>63</v>
      </c>
      <c r="Q78" s="377"/>
      <c r="R78" s="277"/>
      <c r="S78" s="169" t="s">
        <v>63</v>
      </c>
      <c r="T78" s="278">
        <f t="shared" si="3"/>
        <v>-630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191</v>
      </c>
      <c r="C79" s="410"/>
      <c r="D79" s="411"/>
      <c r="E79" s="412"/>
      <c r="F79" s="371"/>
      <c r="G79" s="372"/>
      <c r="H79" s="373"/>
      <c r="I79" s="615"/>
      <c r="J79" s="255"/>
      <c r="K79" s="167">
        <v>1</v>
      </c>
      <c r="L79" s="168" t="s">
        <v>63</v>
      </c>
      <c r="M79" s="169">
        <f t="shared" si="4"/>
        <v>191</v>
      </c>
      <c r="N79" s="171"/>
      <c r="O79" s="277"/>
      <c r="P79" s="169" t="s">
        <v>63</v>
      </c>
      <c r="Q79" s="377"/>
      <c r="R79" s="277"/>
      <c r="S79" s="169" t="s">
        <v>63</v>
      </c>
      <c r="T79" s="278">
        <f t="shared" si="3"/>
        <v>-191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/>
      <c r="G80" s="372"/>
      <c r="H80" s="373"/>
      <c r="I80" s="615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/>
      <c r="G81" s="372"/>
      <c r="H81" s="373"/>
      <c r="I81" s="61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68</v>
      </c>
      <c r="B82" s="164">
        <f>C5+C8</f>
        <v>270</v>
      </c>
      <c r="C82" s="456" t="str">
        <f>A5</f>
        <v>GR</v>
      </c>
      <c r="D82" s="456"/>
      <c r="E82" s="456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270</v>
      </c>
      <c r="N82" s="171"/>
      <c r="O82" s="277"/>
      <c r="P82" s="169" t="s">
        <v>63</v>
      </c>
      <c r="Q82" s="376">
        <v>46200</v>
      </c>
      <c r="R82" s="277"/>
      <c r="S82" s="169" t="s">
        <v>63</v>
      </c>
      <c r="T82" s="278">
        <f t="shared" si="3"/>
        <v>-270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475</v>
      </c>
    </row>
    <row r="83" spans="1:28" s="176" customFormat="1" ht="54.95" customHeight="1" x14ac:dyDescent="0.15">
      <c r="A83" s="387"/>
      <c r="B83" s="164">
        <f>D5+D8</f>
        <v>320</v>
      </c>
      <c r="C83" s="456"/>
      <c r="D83" s="456"/>
      <c r="E83" s="456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320</v>
      </c>
      <c r="N83" s="171"/>
      <c r="O83" s="277"/>
      <c r="P83" s="169" t="s">
        <v>63</v>
      </c>
      <c r="Q83" s="377"/>
      <c r="R83" s="277"/>
      <c r="S83" s="169" t="s">
        <v>63</v>
      </c>
      <c r="T83" s="278">
        <f t="shared" si="3"/>
        <v>-320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91</v>
      </c>
      <c r="C84" s="456"/>
      <c r="D84" s="456"/>
      <c r="E84" s="456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91</v>
      </c>
      <c r="N84" s="171"/>
      <c r="O84" s="277"/>
      <c r="P84" s="169" t="s">
        <v>63</v>
      </c>
      <c r="Q84" s="377"/>
      <c r="R84" s="277"/>
      <c r="S84" s="169" t="s">
        <v>63</v>
      </c>
      <c r="T84" s="278">
        <f t="shared" si="3"/>
        <v>-91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260</v>
      </c>
      <c r="C85" s="456" t="str">
        <f>A6</f>
        <v>BK</v>
      </c>
      <c r="D85" s="456"/>
      <c r="E85" s="456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260</v>
      </c>
      <c r="N85" s="171"/>
      <c r="O85" s="277"/>
      <c r="P85" s="169" t="s">
        <v>63</v>
      </c>
      <c r="Q85" s="377"/>
      <c r="R85" s="168">
        <v>260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310</v>
      </c>
      <c r="C86" s="456"/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ref="M86:M106" si="25">K86*B86</f>
        <v>310</v>
      </c>
      <c r="N86" s="171"/>
      <c r="O86" s="277"/>
      <c r="P86" s="169" t="s">
        <v>63</v>
      </c>
      <c r="Q86" s="377"/>
      <c r="R86" s="168">
        <v>310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100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25"/>
        <v>100</v>
      </c>
      <c r="N87" s="171"/>
      <c r="O87" s="277"/>
      <c r="P87" s="169" t="s">
        <v>63</v>
      </c>
      <c r="Q87" s="377"/>
      <c r="R87" s="277">
        <v>100</v>
      </c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0</v>
      </c>
      <c r="C88" s="456">
        <f>A7</f>
        <v>0</v>
      </c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25"/>
        <v>0</v>
      </c>
      <c r="N88" s="171"/>
      <c r="O88" s="277"/>
      <c r="P88" s="169" t="s">
        <v>63</v>
      </c>
      <c r="Q88" s="377"/>
      <c r="R88" s="277"/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0</v>
      </c>
      <c r="C89" s="456"/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25"/>
        <v>0</v>
      </c>
      <c r="N89" s="171"/>
      <c r="O89" s="277"/>
      <c r="P89" s="169" t="s">
        <v>63</v>
      </c>
      <c r="Q89" s="377"/>
      <c r="R89" s="277"/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25"/>
        <v>0</v>
      </c>
      <c r="N90" s="171"/>
      <c r="O90" s="277"/>
      <c r="P90" s="169" t="s">
        <v>63</v>
      </c>
      <c r="Q90" s="378"/>
      <c r="R90" s="168"/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270</v>
      </c>
      <c r="C91" s="456" t="str">
        <f>A5</f>
        <v>GR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270</v>
      </c>
      <c r="N91" s="171"/>
      <c r="O91" s="277"/>
      <c r="P91" s="169" t="s">
        <v>63</v>
      </c>
      <c r="Q91" s="376"/>
      <c r="R91" s="277"/>
      <c r="S91" s="169" t="s">
        <v>63</v>
      </c>
      <c r="T91" s="278">
        <f t="shared" si="3"/>
        <v>-270</v>
      </c>
      <c r="U91" s="281"/>
      <c r="V91" s="282"/>
      <c r="W91" s="278"/>
      <c r="X91" s="278"/>
      <c r="Y91" s="374" t="s">
        <v>67</v>
      </c>
      <c r="Z91" s="374"/>
      <c r="AA91" s="374"/>
      <c r="AB91" s="404"/>
    </row>
    <row r="92" spans="1:28" s="176" customFormat="1" ht="54.95" customHeight="1" x14ac:dyDescent="0.15">
      <c r="A92" s="387"/>
      <c r="B92" s="164">
        <f>D5</f>
        <v>320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320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 t="shared" si="3"/>
        <v>-320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91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91</v>
      </c>
      <c r="N93" s="171"/>
      <c r="O93" s="277"/>
      <c r="P93" s="169" t="s">
        <v>63</v>
      </c>
      <c r="Q93" s="377"/>
      <c r="R93" s="277"/>
      <c r="S93" s="169" t="s">
        <v>63</v>
      </c>
      <c r="T93" s="278">
        <f t="shared" si="3"/>
        <v>-91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260</v>
      </c>
      <c r="C94" s="456" t="str">
        <f>A6</f>
        <v>BK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260</v>
      </c>
      <c r="N94" s="171"/>
      <c r="O94" s="277"/>
      <c r="P94" s="169" t="s">
        <v>63</v>
      </c>
      <c r="Q94" s="377"/>
      <c r="R94" s="168"/>
      <c r="S94" s="169" t="s">
        <v>63</v>
      </c>
      <c r="T94" s="278">
        <f t="shared" si="3"/>
        <v>-260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310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310</v>
      </c>
      <c r="N95" s="171"/>
      <c r="O95" s="277"/>
      <c r="P95" s="169" t="s">
        <v>63</v>
      </c>
      <c r="Q95" s="377"/>
      <c r="R95" s="168"/>
      <c r="S95" s="169" t="s">
        <v>63</v>
      </c>
      <c r="T95" s="278">
        <f t="shared" si="3"/>
        <v>-310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100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100</v>
      </c>
      <c r="N96" s="171"/>
      <c r="O96" s="277"/>
      <c r="P96" s="169" t="s">
        <v>63</v>
      </c>
      <c r="Q96" s="377"/>
      <c r="R96" s="277"/>
      <c r="S96" s="169" t="s">
        <v>63</v>
      </c>
      <c r="T96" s="278">
        <f t="shared" si="3"/>
        <v>-100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0</v>
      </c>
      <c r="C97" s="456">
        <f>A7</f>
        <v>0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0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530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530</v>
      </c>
      <c r="N100" s="89"/>
      <c r="O100" s="153"/>
      <c r="P100" s="88" t="s">
        <v>63</v>
      </c>
      <c r="Q100" s="398">
        <v>46207</v>
      </c>
      <c r="R100" s="93">
        <v>530</v>
      </c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485</v>
      </c>
    </row>
    <row r="101" spans="1:28" s="55" customFormat="1" ht="54.95" customHeight="1" x14ac:dyDescent="0.15">
      <c r="A101" s="387"/>
      <c r="B101" s="87">
        <f>D11</f>
        <v>630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630</v>
      </c>
      <c r="N101" s="89"/>
      <c r="O101" s="153"/>
      <c r="P101" s="88" t="s">
        <v>63</v>
      </c>
      <c r="Q101" s="399"/>
      <c r="R101" s="93">
        <v>630</v>
      </c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191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191</v>
      </c>
      <c r="N102" s="89"/>
      <c r="O102" s="153"/>
      <c r="P102" s="88" t="s">
        <v>63</v>
      </c>
      <c r="Q102" s="399"/>
      <c r="R102" s="93">
        <v>191</v>
      </c>
      <c r="S102" s="88" t="s">
        <v>63</v>
      </c>
      <c r="T102" s="154">
        <f t="shared" si="3"/>
        <v>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1351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1351</v>
      </c>
      <c r="N104" s="170"/>
      <c r="O104" s="170"/>
      <c r="P104" s="169" t="s">
        <v>63</v>
      </c>
      <c r="Q104" s="350">
        <v>46207</v>
      </c>
      <c r="R104" s="165">
        <v>670</v>
      </c>
      <c r="S104" s="169" t="s">
        <v>63</v>
      </c>
      <c r="T104" s="154">
        <f t="shared" si="3"/>
        <v>-681</v>
      </c>
      <c r="U104" s="170"/>
      <c r="V104" s="172"/>
      <c r="W104" s="172"/>
      <c r="X104" s="172"/>
      <c r="Y104" s="374" t="s">
        <v>72</v>
      </c>
      <c r="Z104" s="380"/>
      <c r="AA104" s="383"/>
      <c r="AB104" s="352" t="s">
        <v>477</v>
      </c>
    </row>
    <row r="105" spans="1:28" s="55" customFormat="1" ht="54.95" customHeight="1" x14ac:dyDescent="0.15">
      <c r="A105" s="163" t="s">
        <v>81</v>
      </c>
      <c r="B105" s="87">
        <f>I11</f>
        <v>1351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1351</v>
      </c>
      <c r="N105" s="91"/>
      <c r="O105" s="91"/>
      <c r="P105" s="169" t="s">
        <v>63</v>
      </c>
      <c r="Q105" s="350">
        <v>46207</v>
      </c>
      <c r="R105" s="165">
        <v>670</v>
      </c>
      <c r="S105" s="169" t="s">
        <v>63</v>
      </c>
      <c r="T105" s="154">
        <f t="shared" si="3"/>
        <v>-681</v>
      </c>
      <c r="U105" s="91"/>
      <c r="V105" s="91"/>
      <c r="W105" s="91"/>
      <c r="X105" s="91"/>
      <c r="Y105" s="375"/>
      <c r="Z105" s="381"/>
      <c r="AA105" s="384"/>
      <c r="AB105" s="352" t="s">
        <v>477</v>
      </c>
    </row>
    <row r="106" spans="1:28" s="55" customFormat="1" ht="54.95" customHeight="1" x14ac:dyDescent="0.15">
      <c r="A106" s="284" t="s">
        <v>160</v>
      </c>
      <c r="B106" s="87">
        <f>I11</f>
        <v>1351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1351</v>
      </c>
      <c r="N106" s="91"/>
      <c r="O106" s="91"/>
      <c r="P106" s="89" t="s">
        <v>63</v>
      </c>
      <c r="Q106" s="350">
        <v>46207</v>
      </c>
      <c r="R106" s="93">
        <v>670</v>
      </c>
      <c r="S106" s="89" t="s">
        <v>63</v>
      </c>
      <c r="T106" s="154">
        <f t="shared" si="3"/>
        <v>-681</v>
      </c>
      <c r="U106" s="91"/>
      <c r="V106" s="91"/>
      <c r="W106" s="91"/>
      <c r="X106" s="91"/>
      <c r="Y106" s="379"/>
      <c r="Z106" s="382"/>
      <c r="AA106" s="385"/>
      <c r="AB106" s="351" t="s">
        <v>485</v>
      </c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5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5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11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"/>
      <c r="AC118" s="1"/>
    </row>
  </sheetData>
  <mergeCells count="368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I15:I17"/>
    <mergeCell ref="Q15:Q17"/>
    <mergeCell ref="Y15:Y17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B15:AB17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F51:H51"/>
    <mergeCell ref="AC51:AF51"/>
    <mergeCell ref="C52:E52"/>
    <mergeCell ref="F52:H52"/>
    <mergeCell ref="AC52:AF52"/>
    <mergeCell ref="AC48:AF48"/>
    <mergeCell ref="AC49:AF49"/>
    <mergeCell ref="C44:E44"/>
    <mergeCell ref="F44:H44"/>
    <mergeCell ref="I44:I46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C49:E49"/>
    <mergeCell ref="F49:H49"/>
    <mergeCell ref="A50:A52"/>
    <mergeCell ref="C50:E50"/>
    <mergeCell ref="F50:H50"/>
    <mergeCell ref="I50:I52"/>
    <mergeCell ref="Y50:Y52"/>
    <mergeCell ref="C51:E51"/>
    <mergeCell ref="A44:A46"/>
    <mergeCell ref="AB56:AB61"/>
    <mergeCell ref="C57:E57"/>
    <mergeCell ref="F57:H57"/>
    <mergeCell ref="C58:E58"/>
    <mergeCell ref="F58:H58"/>
    <mergeCell ref="AB53:AB55"/>
    <mergeCell ref="C54:E54"/>
    <mergeCell ref="F54:H54"/>
    <mergeCell ref="C55:E55"/>
    <mergeCell ref="F55:H55"/>
    <mergeCell ref="C56:E56"/>
    <mergeCell ref="F56:H56"/>
    <mergeCell ref="I56:I58"/>
    <mergeCell ref="Q56:Q61"/>
    <mergeCell ref="A59:A61"/>
    <mergeCell ref="C59:E59"/>
    <mergeCell ref="F59:H59"/>
    <mergeCell ref="Y59:Y61"/>
    <mergeCell ref="C60:E60"/>
    <mergeCell ref="F60:H60"/>
    <mergeCell ref="C61:E61"/>
    <mergeCell ref="F61:H61"/>
    <mergeCell ref="Y56:Y58"/>
    <mergeCell ref="A56:A58"/>
    <mergeCell ref="A62:A64"/>
    <mergeCell ref="C62:E62"/>
    <mergeCell ref="F62:H62"/>
    <mergeCell ref="Q62:Q64"/>
    <mergeCell ref="Y62:Y64"/>
    <mergeCell ref="AB62:AB64"/>
    <mergeCell ref="C63:E63"/>
    <mergeCell ref="F63:H63"/>
    <mergeCell ref="C64:E64"/>
    <mergeCell ref="F64:H64"/>
    <mergeCell ref="A68:A70"/>
    <mergeCell ref="C68:E68"/>
    <mergeCell ref="F68:H68"/>
    <mergeCell ref="I68:I70"/>
    <mergeCell ref="Q68:Q70"/>
    <mergeCell ref="A65:A67"/>
    <mergeCell ref="C65:E65"/>
    <mergeCell ref="F65:H65"/>
    <mergeCell ref="I65:I67"/>
    <mergeCell ref="Q65:Q67"/>
    <mergeCell ref="Y68:Y70"/>
    <mergeCell ref="AB68:AB70"/>
    <mergeCell ref="C69:E69"/>
    <mergeCell ref="F69:H69"/>
    <mergeCell ref="C70:E70"/>
    <mergeCell ref="F70:H70"/>
    <mergeCell ref="AB65:AB67"/>
    <mergeCell ref="C66:E66"/>
    <mergeCell ref="F66:H66"/>
    <mergeCell ref="C67:E67"/>
    <mergeCell ref="F67:H67"/>
    <mergeCell ref="Y65:Y67"/>
    <mergeCell ref="A74:A76"/>
    <mergeCell ref="C74:E74"/>
    <mergeCell ref="F74:H74"/>
    <mergeCell ref="I74:I76"/>
    <mergeCell ref="Q74:Q76"/>
    <mergeCell ref="A71:A73"/>
    <mergeCell ref="C71:E71"/>
    <mergeCell ref="F71:H71"/>
    <mergeCell ref="I71:I73"/>
    <mergeCell ref="Q71:Q73"/>
    <mergeCell ref="Y74:Y76"/>
    <mergeCell ref="AB74:AB76"/>
    <mergeCell ref="C75:E75"/>
    <mergeCell ref="F75:H75"/>
    <mergeCell ref="C76:E76"/>
    <mergeCell ref="F76:H76"/>
    <mergeCell ref="AB71:AB73"/>
    <mergeCell ref="C72:E72"/>
    <mergeCell ref="F72:H72"/>
    <mergeCell ref="C73:E73"/>
    <mergeCell ref="F73:H73"/>
    <mergeCell ref="Y71:Y73"/>
    <mergeCell ref="AB77:AB81"/>
    <mergeCell ref="F78:H78"/>
    <mergeCell ref="F79:H79"/>
    <mergeCell ref="F80:H80"/>
    <mergeCell ref="F81:H81"/>
    <mergeCell ref="A77:A81"/>
    <mergeCell ref="C77:E81"/>
    <mergeCell ref="F77:H77"/>
    <mergeCell ref="Q77:Q81"/>
    <mergeCell ref="Y77:Y81"/>
    <mergeCell ref="Z77:Z81"/>
    <mergeCell ref="A82:A90"/>
    <mergeCell ref="C82:E84"/>
    <mergeCell ref="F82:H82"/>
    <mergeCell ref="Q82:Q90"/>
    <mergeCell ref="Y82:Y90"/>
    <mergeCell ref="Z82:Z90"/>
    <mergeCell ref="F89:H89"/>
    <mergeCell ref="F90:H90"/>
    <mergeCell ref="AA77:AA81"/>
    <mergeCell ref="AA82:AA90"/>
    <mergeCell ref="AB82:AB90"/>
    <mergeCell ref="F83:H83"/>
    <mergeCell ref="F84:H84"/>
    <mergeCell ref="C85:E87"/>
    <mergeCell ref="F85:H85"/>
    <mergeCell ref="F86:H86"/>
    <mergeCell ref="F87:H87"/>
    <mergeCell ref="C88:E90"/>
    <mergeCell ref="F88:H88"/>
    <mergeCell ref="A100:A103"/>
    <mergeCell ref="C100:E103"/>
    <mergeCell ref="F100:H100"/>
    <mergeCell ref="Q100:Q103"/>
    <mergeCell ref="Y100:Y103"/>
    <mergeCell ref="AA91:AA95"/>
    <mergeCell ref="AB91:AB99"/>
    <mergeCell ref="F92:H92"/>
    <mergeCell ref="F93:H93"/>
    <mergeCell ref="C94:E96"/>
    <mergeCell ref="F94:H94"/>
    <mergeCell ref="F95:H95"/>
    <mergeCell ref="F96:H96"/>
    <mergeCell ref="Y96:Y99"/>
    <mergeCell ref="Z96:Z99"/>
    <mergeCell ref="A91:A99"/>
    <mergeCell ref="C91:E93"/>
    <mergeCell ref="F91:H91"/>
    <mergeCell ref="Q91:Q99"/>
    <mergeCell ref="Y91:Y95"/>
    <mergeCell ref="Z91:Z95"/>
    <mergeCell ref="AA96:AA99"/>
    <mergeCell ref="B108:C108"/>
    <mergeCell ref="F108:H108"/>
    <mergeCell ref="I77:I81"/>
    <mergeCell ref="C105:E105"/>
    <mergeCell ref="F105:H105"/>
    <mergeCell ref="C106:E106"/>
    <mergeCell ref="F106:H106"/>
    <mergeCell ref="B107:C107"/>
    <mergeCell ref="C104:E104"/>
    <mergeCell ref="F104:H104"/>
    <mergeCell ref="C97:E99"/>
    <mergeCell ref="F97:H97"/>
    <mergeCell ref="F98:H98"/>
    <mergeCell ref="F99:H99"/>
    <mergeCell ref="Y104:Y106"/>
    <mergeCell ref="Z104:Z106"/>
    <mergeCell ref="AA104:AA106"/>
    <mergeCell ref="Z100:Z103"/>
    <mergeCell ref="AA100:AA103"/>
    <mergeCell ref="AB100:AB103"/>
    <mergeCell ref="F101:H101"/>
    <mergeCell ref="F102:H102"/>
    <mergeCell ref="F103:H10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434D-FFA0-4D7A-8BFC-C4E53F6412E8}">
  <sheetPr>
    <pageSetUpPr fitToPage="1"/>
  </sheetPr>
  <dimension ref="A1:AF118"/>
  <sheetViews>
    <sheetView view="pageBreakPreview" topLeftCell="A47" zoomScale="75" zoomScaleNormal="100" zoomScaleSheetLayoutView="75" workbookViewId="0">
      <selection activeCell="F40" sqref="F40:H40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360</v>
      </c>
      <c r="C2" s="548"/>
      <c r="D2" s="548"/>
      <c r="E2" s="548"/>
      <c r="F2" s="548"/>
      <c r="G2" s="549"/>
      <c r="H2" s="180" t="s">
        <v>1</v>
      </c>
      <c r="I2" s="550">
        <f>I11</f>
        <v>812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320</v>
      </c>
      <c r="D5" s="182">
        <v>360</v>
      </c>
      <c r="E5" s="182">
        <v>132</v>
      </c>
      <c r="F5" s="182"/>
      <c r="G5" s="182"/>
      <c r="H5" s="542" t="s">
        <v>24</v>
      </c>
      <c r="I5" s="524">
        <f t="shared" ref="I5:I11" si="0">SUM(C5:G5)</f>
        <v>812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46184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320</v>
      </c>
      <c r="D11" s="181">
        <f>SUM(D5:D10)</f>
        <v>360</v>
      </c>
      <c r="E11" s="181">
        <f>SUM(E5:E10)</f>
        <v>132</v>
      </c>
      <c r="F11" s="181">
        <f>SUM(F5:F10)</f>
        <v>0</v>
      </c>
      <c r="G11" s="181">
        <f>SUM(G5:G10)</f>
        <v>0</v>
      </c>
      <c r="H11" s="182"/>
      <c r="I11" s="481">
        <f t="shared" si="0"/>
        <v>812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46296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326.39999999999998</v>
      </c>
      <c r="D12" s="43">
        <f>D11*1.02</f>
        <v>367.2</v>
      </c>
      <c r="E12" s="43">
        <f>E11*1.02</f>
        <v>134.64000000000001</v>
      </c>
      <c r="F12" s="43">
        <f>F11*1.02</f>
        <v>0</v>
      </c>
      <c r="G12" s="43">
        <f>G11*1.02</f>
        <v>0</v>
      </c>
      <c r="H12" s="44"/>
      <c r="I12" s="486">
        <f>I11*1.02</f>
        <v>828.24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812</v>
      </c>
      <c r="C15" s="474" t="str">
        <f t="shared" ref="C15:C29" si="2">$A$5</f>
        <v>BK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1.38</v>
      </c>
      <c r="L15" s="67" t="s">
        <v>7</v>
      </c>
      <c r="M15" s="68">
        <f>K15*B15</f>
        <v>1120.56</v>
      </c>
      <c r="N15" s="69"/>
      <c r="O15" s="70"/>
      <c r="P15" s="67" t="s">
        <v>7</v>
      </c>
      <c r="Q15" s="478">
        <v>46200</v>
      </c>
      <c r="R15" s="293">
        <v>1121</v>
      </c>
      <c r="S15" s="71" t="s">
        <v>7</v>
      </c>
      <c r="T15" s="123">
        <f t="shared" ref="T15:T106" si="3">R15-M15</f>
        <v>0.44000000000005457</v>
      </c>
      <c r="U15" s="72"/>
      <c r="V15" s="72"/>
      <c r="W15" s="73"/>
      <c r="X15" s="74"/>
      <c r="Y15" s="479" t="s">
        <v>412</v>
      </c>
      <c r="Z15" s="63"/>
      <c r="AA15" s="64"/>
      <c r="AB15" s="620" t="s">
        <v>467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563"/>
      <c r="J16" s="76" t="s">
        <v>6</v>
      </c>
      <c r="K16" s="83">
        <v>1.38</v>
      </c>
      <c r="L16" s="77" t="s">
        <v>7</v>
      </c>
      <c r="M16" s="78">
        <f t="shared" ref="M16:M85" si="4">K16*B16</f>
        <v>0</v>
      </c>
      <c r="N16" s="79"/>
      <c r="O16" s="128"/>
      <c r="P16" s="77" t="s">
        <v>7</v>
      </c>
      <c r="Q16" s="447"/>
      <c r="R16" s="137"/>
      <c r="S16" s="75" t="s">
        <v>7</v>
      </c>
      <c r="T16" s="81">
        <f t="shared" si="3"/>
        <v>0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442"/>
      <c r="J17" s="76" t="s">
        <v>6</v>
      </c>
      <c r="K17" s="83">
        <v>1.38</v>
      </c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812</v>
      </c>
      <c r="C18" s="461" t="str">
        <f t="shared" si="2"/>
        <v>BK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0</v>
      </c>
      <c r="C19" s="461">
        <f>$A$6</f>
        <v>0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812</v>
      </c>
      <c r="C20" s="465" t="str">
        <f t="shared" ref="C20" si="6">$A$5</f>
        <v>BK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>
        <v>0.1</v>
      </c>
      <c r="L20" s="194" t="s">
        <v>7</v>
      </c>
      <c r="M20" s="195">
        <f t="shared" si="4"/>
        <v>81.2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-81.2</v>
      </c>
      <c r="U20" s="199"/>
      <c r="V20" s="200"/>
      <c r="W20" s="195"/>
      <c r="X20" s="195"/>
      <c r="Y20" s="437" t="s">
        <v>93</v>
      </c>
      <c r="Z20" s="235"/>
      <c r="AA20" s="202"/>
      <c r="AB20" s="617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0</v>
      </c>
      <c r="C21" s="465">
        <f>$A$6</f>
        <v>0</v>
      </c>
      <c r="D21" s="465"/>
      <c r="E21" s="465"/>
      <c r="F21" s="465"/>
      <c r="G21" s="465"/>
      <c r="H21" s="465"/>
      <c r="I21" s="560"/>
      <c r="J21" s="192" t="s">
        <v>6</v>
      </c>
      <c r="K21" s="209">
        <v>0.1</v>
      </c>
      <c r="L21" s="194" t="s">
        <v>7</v>
      </c>
      <c r="M21" s="195">
        <f t="shared" si="4"/>
        <v>0</v>
      </c>
      <c r="N21" s="196"/>
      <c r="O21" s="210"/>
      <c r="P21" s="194" t="s">
        <v>7</v>
      </c>
      <c r="Q21" s="561"/>
      <c r="R21" s="200"/>
      <c r="S21" s="207" t="s">
        <v>7</v>
      </c>
      <c r="T21" s="198">
        <f t="shared" si="3"/>
        <v>0</v>
      </c>
      <c r="U21" s="211"/>
      <c r="V21" s="211"/>
      <c r="W21" s="212"/>
      <c r="X21" s="213"/>
      <c r="Y21" s="562"/>
      <c r="Z21" s="214"/>
      <c r="AA21" s="202"/>
      <c r="AB21" s="61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0</v>
      </c>
      <c r="C22" s="465">
        <f>$A$7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619"/>
      <c r="AC22" s="229"/>
      <c r="AD22" s="230"/>
      <c r="AE22" s="230"/>
      <c r="AF22" s="230"/>
    </row>
    <row r="23" spans="1:32" s="55" customFormat="1" ht="69.95" customHeight="1" x14ac:dyDescent="0.15">
      <c r="A23" s="431" t="s">
        <v>361</v>
      </c>
      <c r="B23" s="182">
        <f t="shared" si="1"/>
        <v>812</v>
      </c>
      <c r="C23" s="461" t="str">
        <f t="shared" si="2"/>
        <v>BK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211.12</v>
      </c>
      <c r="N23" s="79"/>
      <c r="O23" s="78"/>
      <c r="P23" s="80" t="s">
        <v>7</v>
      </c>
      <c r="Q23" s="443">
        <v>46207</v>
      </c>
      <c r="R23" s="78">
        <v>212</v>
      </c>
      <c r="S23" s="80" t="s">
        <v>7</v>
      </c>
      <c r="T23" s="81">
        <f t="shared" si="3"/>
        <v>0.87999999999999545</v>
      </c>
      <c r="U23" s="82"/>
      <c r="V23" s="137"/>
      <c r="W23" s="78"/>
      <c r="X23" s="78"/>
      <c r="Y23" s="445" t="s">
        <v>93</v>
      </c>
      <c r="Z23" s="138"/>
      <c r="AA23" s="135"/>
      <c r="AB23" s="586" t="s">
        <v>476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0</v>
      </c>
      <c r="C24" s="461">
        <f>$A$6</f>
        <v>0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0</v>
      </c>
      <c r="N24" s="79"/>
      <c r="O24" s="128"/>
      <c r="P24" s="77" t="s">
        <v>7</v>
      </c>
      <c r="Q24" s="447"/>
      <c r="R24" s="137"/>
      <c r="S24" s="75" t="s">
        <v>7</v>
      </c>
      <c r="T24" s="81">
        <f t="shared" si="3"/>
        <v>0</v>
      </c>
      <c r="U24" s="131"/>
      <c r="V24" s="131"/>
      <c r="W24" s="132"/>
      <c r="X24" s="133"/>
      <c r="Y24" s="557"/>
      <c r="Z24" s="228"/>
      <c r="AA24" s="228"/>
      <c r="AB24" s="587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/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588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812</v>
      </c>
      <c r="C26" s="465" t="str">
        <f t="shared" si="2"/>
        <v>BK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0</v>
      </c>
      <c r="C27" s="465">
        <f>$A$6</f>
        <v>0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0</v>
      </c>
      <c r="C28" s="465">
        <f>$A$7</f>
        <v>0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353</v>
      </c>
      <c r="B29" s="239">
        <f t="shared" si="1"/>
        <v>812</v>
      </c>
      <c r="C29" s="456" t="str">
        <f t="shared" si="2"/>
        <v>BK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0.09</v>
      </c>
      <c r="L29" s="168" t="s">
        <v>7</v>
      </c>
      <c r="M29" s="242">
        <f t="shared" si="4"/>
        <v>73.08</v>
      </c>
      <c r="N29" s="243"/>
      <c r="O29" s="242"/>
      <c r="P29" s="244" t="s">
        <v>7</v>
      </c>
      <c r="Q29" s="376">
        <v>46207</v>
      </c>
      <c r="R29" s="242">
        <v>73</v>
      </c>
      <c r="S29" s="244" t="s">
        <v>7</v>
      </c>
      <c r="T29" s="245">
        <f t="shared" si="3"/>
        <v>-7.9999999999998295E-2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476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0</v>
      </c>
      <c r="C30" s="456">
        <f>$A$6</f>
        <v>0</v>
      </c>
      <c r="D30" s="456"/>
      <c r="E30" s="456"/>
      <c r="F30" s="456"/>
      <c r="G30" s="456"/>
      <c r="H30" s="456"/>
      <c r="I30" s="564"/>
      <c r="J30" s="240" t="s">
        <v>6</v>
      </c>
      <c r="K30" s="241">
        <v>0.09</v>
      </c>
      <c r="L30" s="168" t="s">
        <v>7</v>
      </c>
      <c r="M30" s="242">
        <f t="shared" si="4"/>
        <v>0</v>
      </c>
      <c r="N30" s="243"/>
      <c r="O30" s="253"/>
      <c r="P30" s="168" t="s">
        <v>7</v>
      </c>
      <c r="Q30" s="377"/>
      <c r="R30" s="247"/>
      <c r="S30" s="255" t="s">
        <v>7</v>
      </c>
      <c r="T30" s="245">
        <f t="shared" si="3"/>
        <v>0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/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8"/>
      <c r="R31" s="247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354</v>
      </c>
      <c r="B32" s="239">
        <f>$I$5</f>
        <v>812</v>
      </c>
      <c r="C32" s="456" t="str">
        <f>$A$5</f>
        <v>BK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0.09</v>
      </c>
      <c r="L32" s="168" t="s">
        <v>7</v>
      </c>
      <c r="M32" s="242">
        <f>K32*B32</f>
        <v>73.08</v>
      </c>
      <c r="N32" s="243"/>
      <c r="O32" s="242"/>
      <c r="P32" s="244" t="s">
        <v>7</v>
      </c>
      <c r="Q32" s="376">
        <v>46207</v>
      </c>
      <c r="R32" s="242">
        <v>73</v>
      </c>
      <c r="S32" s="244" t="s">
        <v>9</v>
      </c>
      <c r="T32" s="245">
        <f t="shared" si="3"/>
        <v>-7.9999999999998295E-2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0</v>
      </c>
      <c r="C33" s="456">
        <f>$A$6</f>
        <v>0</v>
      </c>
      <c r="D33" s="456"/>
      <c r="E33" s="456"/>
      <c r="F33" s="456"/>
      <c r="G33" s="456"/>
      <c r="H33" s="456"/>
      <c r="I33" s="564"/>
      <c r="J33" s="240" t="s">
        <v>6</v>
      </c>
      <c r="K33" s="241">
        <v>0.09</v>
      </c>
      <c r="L33" s="168" t="s">
        <v>7</v>
      </c>
      <c r="M33" s="242">
        <f>K33*B33</f>
        <v>0</v>
      </c>
      <c r="N33" s="243"/>
      <c r="O33" s="253"/>
      <c r="P33" s="168" t="s">
        <v>7</v>
      </c>
      <c r="Q33" s="377"/>
      <c r="R33" s="247"/>
      <c r="S33" s="255" t="s">
        <v>9</v>
      </c>
      <c r="T33" s="245">
        <f t="shared" si="3"/>
        <v>0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/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812</v>
      </c>
      <c r="C35" s="465" t="str">
        <f>$A$5</f>
        <v>BK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0</v>
      </c>
      <c r="C36" s="465">
        <f>$A$6</f>
        <v>0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362</v>
      </c>
      <c r="B38" s="239">
        <f>$I$5</f>
        <v>812</v>
      </c>
      <c r="C38" s="456" t="str">
        <f>$A$5</f>
        <v>BK</v>
      </c>
      <c r="D38" s="456"/>
      <c r="E38" s="456"/>
      <c r="F38" s="456"/>
      <c r="G38" s="456"/>
      <c r="H38" s="456"/>
      <c r="I38" s="457" t="s">
        <v>76</v>
      </c>
      <c r="J38" s="240"/>
      <c r="K38" s="308">
        <v>2.2000000000000002</v>
      </c>
      <c r="L38" s="168" t="s">
        <v>7</v>
      </c>
      <c r="M38" s="242">
        <f t="shared" ref="M38:M43" si="7">K38*B38/50</f>
        <v>35.728000000000002</v>
      </c>
      <c r="N38" s="243"/>
      <c r="O38" s="242"/>
      <c r="P38" s="244" t="s">
        <v>7</v>
      </c>
      <c r="Q38" s="376">
        <v>46207</v>
      </c>
      <c r="R38" s="78">
        <v>36</v>
      </c>
      <c r="S38" s="244" t="s">
        <v>9</v>
      </c>
      <c r="T38" s="245">
        <f t="shared" si="3"/>
        <v>0.27199999999999847</v>
      </c>
      <c r="U38" s="246"/>
      <c r="V38" s="247"/>
      <c r="W38" s="242"/>
      <c r="X38" s="242"/>
      <c r="Y38" s="459" t="s">
        <v>94</v>
      </c>
      <c r="Z38" s="260"/>
      <c r="AA38" s="249"/>
      <c r="AB38" s="586" t="s">
        <v>476</v>
      </c>
    </row>
    <row r="39" spans="1:32" s="261" customFormat="1" ht="69.95" customHeight="1" x14ac:dyDescent="0.15">
      <c r="A39" s="464"/>
      <c r="B39" s="239">
        <f>$I$6</f>
        <v>0</v>
      </c>
      <c r="C39" s="456">
        <f>$A$6</f>
        <v>0</v>
      </c>
      <c r="D39" s="456"/>
      <c r="E39" s="456"/>
      <c r="F39" s="456"/>
      <c r="G39" s="456"/>
      <c r="H39" s="456"/>
      <c r="I39" s="564"/>
      <c r="J39" s="240"/>
      <c r="K39" s="308">
        <v>2.2000000000000002</v>
      </c>
      <c r="L39" s="168" t="s">
        <v>7</v>
      </c>
      <c r="M39" s="242">
        <f t="shared" si="7"/>
        <v>0</v>
      </c>
      <c r="N39" s="243"/>
      <c r="O39" s="253"/>
      <c r="P39" s="168" t="s">
        <v>7</v>
      </c>
      <c r="Q39" s="377"/>
      <c r="R39" s="137"/>
      <c r="S39" s="255" t="s">
        <v>9</v>
      </c>
      <c r="T39" s="245">
        <f t="shared" si="3"/>
        <v>0</v>
      </c>
      <c r="U39" s="256"/>
      <c r="V39" s="256"/>
      <c r="W39" s="257"/>
      <c r="X39" s="258"/>
      <c r="Y39" s="565"/>
      <c r="Z39" s="259"/>
      <c r="AA39" s="249"/>
      <c r="AB39" s="587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262">
        <v>2.2000000000000002</v>
      </c>
      <c r="L40" s="168" t="s">
        <v>7</v>
      </c>
      <c r="M40" s="242">
        <f t="shared" si="7"/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588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812</v>
      </c>
      <c r="C41" s="465" t="str">
        <f>$A$5</f>
        <v>BK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0</v>
      </c>
      <c r="C42" s="465">
        <f>$A$6</f>
        <v>0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812</v>
      </c>
      <c r="C44" s="456" t="str">
        <f>$A$5</f>
        <v>BK</v>
      </c>
      <c r="D44" s="456"/>
      <c r="E44" s="456"/>
      <c r="F44" s="456" t="str">
        <f>$A$5</f>
        <v>BK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42.223999999999997</v>
      </c>
      <c r="N44" s="243"/>
      <c r="O44" s="242"/>
      <c r="P44" s="244" t="s">
        <v>10</v>
      </c>
      <c r="Q44" s="443">
        <v>46207</v>
      </c>
      <c r="R44" s="242">
        <v>43</v>
      </c>
      <c r="S44" s="244" t="s">
        <v>10</v>
      </c>
      <c r="T44" s="245">
        <f t="shared" si="3"/>
        <v>0.77600000000000335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476</v>
      </c>
    </row>
    <row r="45" spans="1:32" s="176" customFormat="1" ht="69.95" customHeight="1" x14ac:dyDescent="0.15">
      <c r="A45" s="559"/>
      <c r="B45" s="264">
        <f>$I$6</f>
        <v>0</v>
      </c>
      <c r="C45" s="413">
        <f>$A$6</f>
        <v>0</v>
      </c>
      <c r="D45" s="414"/>
      <c r="E45" s="415"/>
      <c r="F45" s="413">
        <f>$A$6</f>
        <v>0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0</v>
      </c>
      <c r="N45" s="267"/>
      <c r="O45" s="268"/>
      <c r="P45" s="266" t="s">
        <v>10</v>
      </c>
      <c r="Q45" s="447"/>
      <c r="R45" s="269"/>
      <c r="S45" s="252" t="s">
        <v>10</v>
      </c>
      <c r="T45" s="270">
        <f t="shared" si="3"/>
        <v>0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/>
      <c r="L46" s="266" t="s">
        <v>61</v>
      </c>
      <c r="M46" s="242">
        <f t="shared" si="8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812</v>
      </c>
      <c r="C47" s="456" t="str">
        <f>$A$5</f>
        <v>BK</v>
      </c>
      <c r="D47" s="456"/>
      <c r="E47" s="456"/>
      <c r="F47" s="456" t="str">
        <f>$A$5</f>
        <v>BK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44.66</v>
      </c>
      <c r="N47" s="243"/>
      <c r="O47" s="242"/>
      <c r="P47" s="244" t="s">
        <v>10</v>
      </c>
      <c r="Q47" s="447"/>
      <c r="R47" s="242">
        <v>46</v>
      </c>
      <c r="S47" s="244" t="s">
        <v>10</v>
      </c>
      <c r="T47" s="245">
        <f t="shared" si="3"/>
        <v>1.3400000000000034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0</v>
      </c>
      <c r="C48" s="413">
        <f>$A$6</f>
        <v>0</v>
      </c>
      <c r="D48" s="414"/>
      <c r="E48" s="415"/>
      <c r="F48" s="413">
        <f>$A$6</f>
        <v>0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0</v>
      </c>
      <c r="N48" s="267"/>
      <c r="O48" s="268"/>
      <c r="P48" s="266" t="s">
        <v>10</v>
      </c>
      <c r="Q48" s="447"/>
      <c r="R48" s="269"/>
      <c r="S48" s="252" t="s">
        <v>10</v>
      </c>
      <c r="T48" s="270">
        <f t="shared" si="3"/>
        <v>0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>
        <f>$A$7</f>
        <v>0</v>
      </c>
      <c r="G49" s="414"/>
      <c r="H49" s="415"/>
      <c r="I49" s="458"/>
      <c r="J49" s="265"/>
      <c r="K49" s="263"/>
      <c r="L49" s="266" t="s">
        <v>61</v>
      </c>
      <c r="M49" s="242">
        <f t="shared" si="9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363</v>
      </c>
      <c r="B50" s="182">
        <f>$I$5</f>
        <v>812</v>
      </c>
      <c r="C50" s="461" t="str">
        <f>$A$5</f>
        <v>BK</v>
      </c>
      <c r="D50" s="461"/>
      <c r="E50" s="461"/>
      <c r="F50" s="461" t="str">
        <f>$A$5</f>
        <v>BK</v>
      </c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9"/>
        <v>2.0299999999999998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si="3"/>
        <v>-2.9999999999999805E-2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0</v>
      </c>
      <c r="C51" s="395">
        <f>$A$6</f>
        <v>0</v>
      </c>
      <c r="D51" s="396"/>
      <c r="E51" s="397"/>
      <c r="F51" s="395">
        <f>$A$6</f>
        <v>0</v>
      </c>
      <c r="G51" s="396"/>
      <c r="H51" s="397"/>
      <c r="I51" s="563"/>
      <c r="J51" s="144"/>
      <c r="K51" s="139">
        <v>10</v>
      </c>
      <c r="L51" s="145" t="s">
        <v>61</v>
      </c>
      <c r="M51" s="78">
        <f t="shared" si="9"/>
        <v>0</v>
      </c>
      <c r="N51" s="146"/>
      <c r="O51" s="147"/>
      <c r="P51" s="145" t="s">
        <v>10</v>
      </c>
      <c r="Q51" s="447"/>
      <c r="R51" s="161"/>
      <c r="S51" s="148" t="s">
        <v>10</v>
      </c>
      <c r="T51" s="84">
        <f t="shared" si="3"/>
        <v>0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>
        <f>$A$6</f>
        <v>0</v>
      </c>
      <c r="G52" s="396"/>
      <c r="H52" s="397"/>
      <c r="I52" s="442"/>
      <c r="J52" s="144"/>
      <c r="K52" s="139"/>
      <c r="L52" s="145" t="s">
        <v>61</v>
      </c>
      <c r="M52" s="78">
        <f t="shared" si="9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139</v>
      </c>
      <c r="B53" s="191">
        <f t="shared" ref="B53" si="10">$I$5</f>
        <v>812</v>
      </c>
      <c r="C53" s="422" t="str">
        <f t="shared" ref="C53" si="11">$A$5</f>
        <v>BK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ref="M53:M73" si="12">K53*B53</f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140</v>
      </c>
      <c r="Z53" s="231"/>
      <c r="AA53" s="232"/>
      <c r="AB53" s="439"/>
    </row>
    <row r="54" spans="1:32" s="206" customFormat="1" ht="69.95" customHeight="1" x14ac:dyDescent="0.15">
      <c r="A54" s="559"/>
      <c r="B54" s="204">
        <f>$I$6</f>
        <v>0</v>
      </c>
      <c r="C54" s="453">
        <f>$A$6</f>
        <v>0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2"/>
        <v>0</v>
      </c>
      <c r="N54" s="233"/>
      <c r="O54" s="195"/>
      <c r="P54" s="194" t="s">
        <v>65</v>
      </c>
      <c r="Q54" s="561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562"/>
      <c r="Z54" s="201"/>
      <c r="AA54" s="202"/>
      <c r="AB54" s="558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91">
        <f>$I$7</f>
        <v>0</v>
      </c>
      <c r="C55" s="465">
        <f>$A$7</f>
        <v>0</v>
      </c>
      <c r="D55" s="465"/>
      <c r="E55" s="465"/>
      <c r="F55" s="425"/>
      <c r="G55" s="423"/>
      <c r="H55" s="424"/>
      <c r="I55" s="207"/>
      <c r="J55" s="192"/>
      <c r="K55" s="193"/>
      <c r="L55" s="194" t="s">
        <v>65</v>
      </c>
      <c r="M55" s="195">
        <f t="shared" si="12"/>
        <v>0</v>
      </c>
      <c r="N55" s="233"/>
      <c r="O55" s="195"/>
      <c r="P55" s="194" t="s">
        <v>65</v>
      </c>
      <c r="Q55" s="436"/>
      <c r="R55" s="195"/>
      <c r="S55" s="194" t="s">
        <v>65</v>
      </c>
      <c r="T55" s="198">
        <f t="shared" si="3"/>
        <v>0</v>
      </c>
      <c r="U55" s="199"/>
      <c r="V55" s="200"/>
      <c r="W55" s="195"/>
      <c r="X55" s="195"/>
      <c r="Y55" s="438"/>
      <c r="Z55" s="201"/>
      <c r="AA55" s="202"/>
      <c r="AB55" s="440"/>
      <c r="AC55" s="234"/>
      <c r="AD55" s="230"/>
      <c r="AE55" s="230"/>
      <c r="AF55" s="230"/>
    </row>
    <row r="56" spans="1:32" s="55" customFormat="1" ht="69.95" customHeight="1" x14ac:dyDescent="0.15">
      <c r="A56" s="431" t="s">
        <v>100</v>
      </c>
      <c r="B56" s="182">
        <f t="shared" ref="B56:B62" si="13">$I$5</f>
        <v>812</v>
      </c>
      <c r="C56" s="368" t="str">
        <f t="shared" ref="C56:C62" si="14">$A$5</f>
        <v>BK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812</v>
      </c>
      <c r="N56" s="79"/>
      <c r="O56" s="78"/>
      <c r="P56" s="80" t="s">
        <v>63</v>
      </c>
      <c r="Q56" s="443">
        <v>46207</v>
      </c>
      <c r="R56" s="78">
        <v>812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476</v>
      </c>
    </row>
    <row r="57" spans="1:32" s="55" customFormat="1" ht="69.95" customHeight="1" x14ac:dyDescent="0.15">
      <c r="A57" s="559"/>
      <c r="B57" s="186">
        <f>$I$6</f>
        <v>0</v>
      </c>
      <c r="C57" s="395">
        <f>$A$6</f>
        <v>0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0</v>
      </c>
      <c r="N57" s="140"/>
      <c r="O57" s="78"/>
      <c r="P57" s="80" t="s">
        <v>63</v>
      </c>
      <c r="Q57" s="447"/>
      <c r="R57" s="78"/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461">
        <f>$A$7</f>
        <v>0</v>
      </c>
      <c r="D58" s="461"/>
      <c r="E58" s="461"/>
      <c r="F58" s="428"/>
      <c r="G58" s="369"/>
      <c r="H58" s="370"/>
      <c r="I58" s="442"/>
      <c r="J58" s="76"/>
      <c r="K58" s="139"/>
      <c r="L58" s="77" t="s">
        <v>63</v>
      </c>
      <c r="M58" s="78">
        <f t="shared" si="12"/>
        <v>0</v>
      </c>
      <c r="N58" s="140"/>
      <c r="O58" s="78"/>
      <c r="P58" s="80" t="s">
        <v>63</v>
      </c>
      <c r="Q58" s="447"/>
      <c r="R58" s="78"/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103</v>
      </c>
      <c r="B59" s="182">
        <f t="shared" ref="B59" si="15">$I$5</f>
        <v>812</v>
      </c>
      <c r="C59" s="368" t="str">
        <f t="shared" ref="C59" si="16">$A$5</f>
        <v>BK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812</v>
      </c>
      <c r="N59" s="79"/>
      <c r="O59" s="78"/>
      <c r="P59" s="80" t="s">
        <v>65</v>
      </c>
      <c r="Q59" s="447"/>
      <c r="R59" s="78">
        <v>812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0</v>
      </c>
      <c r="C60" s="368">
        <f>$A$6</f>
        <v>0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0</v>
      </c>
      <c r="N60" s="140"/>
      <c r="O60" s="78"/>
      <c r="P60" s="80" t="s">
        <v>65</v>
      </c>
      <c r="Q60" s="447"/>
      <c r="R60" s="78"/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368">
        <f>$A$7</f>
        <v>0</v>
      </c>
      <c r="D61" s="369"/>
      <c r="E61" s="370"/>
      <c r="F61" s="428"/>
      <c r="G61" s="429"/>
      <c r="H61" s="430"/>
      <c r="I61" s="75"/>
      <c r="J61" s="76"/>
      <c r="K61" s="139"/>
      <c r="L61" s="77" t="s">
        <v>65</v>
      </c>
      <c r="M61" s="78">
        <f t="shared" si="12"/>
        <v>0</v>
      </c>
      <c r="N61" s="140"/>
      <c r="O61" s="78"/>
      <c r="P61" s="80" t="s">
        <v>65</v>
      </c>
      <c r="Q61" s="444"/>
      <c r="R61" s="78"/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90</v>
      </c>
      <c r="B62" s="191">
        <f t="shared" si="13"/>
        <v>812</v>
      </c>
      <c r="C62" s="422" t="str">
        <f t="shared" si="14"/>
        <v>BK</v>
      </c>
      <c r="D62" s="423"/>
      <c r="E62" s="424"/>
      <c r="F62" s="425"/>
      <c r="G62" s="426"/>
      <c r="H62" s="427"/>
      <c r="I62" s="207" t="s">
        <v>79</v>
      </c>
      <c r="J62" s="192"/>
      <c r="K62" s="193"/>
      <c r="L62" s="194" t="s">
        <v>63</v>
      </c>
      <c r="M62" s="195">
        <f t="shared" si="12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</row>
    <row r="63" spans="1:32" s="55" customFormat="1" ht="69.95" customHeight="1" x14ac:dyDescent="0.15">
      <c r="A63" s="559"/>
      <c r="B63" s="204">
        <f>$I$6</f>
        <v>0</v>
      </c>
      <c r="C63" s="422">
        <f>$A$6</f>
        <v>0</v>
      </c>
      <c r="D63" s="423"/>
      <c r="E63" s="424"/>
      <c r="F63" s="425"/>
      <c r="G63" s="426"/>
      <c r="H63" s="427"/>
      <c r="I63" s="207" t="s">
        <v>79</v>
      </c>
      <c r="J63" s="192"/>
      <c r="K63" s="193"/>
      <c r="L63" s="194" t="s">
        <v>63</v>
      </c>
      <c r="M63" s="195">
        <f t="shared" si="12"/>
        <v>0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0</v>
      </c>
      <c r="U63" s="199"/>
      <c r="V63" s="200"/>
      <c r="W63" s="195"/>
      <c r="X63" s="195"/>
      <c r="Y63" s="562"/>
      <c r="Z63" s="201"/>
      <c r="AA63" s="202"/>
      <c r="AB63" s="558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91">
        <f>$I$7</f>
        <v>0</v>
      </c>
      <c r="C64" s="465">
        <f>$A$7</f>
        <v>0</v>
      </c>
      <c r="D64" s="465"/>
      <c r="E64" s="465"/>
      <c r="F64" s="425"/>
      <c r="G64" s="426"/>
      <c r="H64" s="427"/>
      <c r="I64" s="207" t="s">
        <v>79</v>
      </c>
      <c r="J64" s="192"/>
      <c r="K64" s="193"/>
      <c r="L64" s="194" t="s">
        <v>63</v>
      </c>
      <c r="M64" s="195">
        <f t="shared" si="12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142"/>
      <c r="AD64" s="179"/>
      <c r="AE64" s="179"/>
      <c r="AF64" s="179"/>
    </row>
    <row r="65" spans="1:32" s="55" customFormat="1" ht="69.95" customHeight="1" x14ac:dyDescent="0.15">
      <c r="A65" s="431" t="s">
        <v>364</v>
      </c>
      <c r="B65" s="182">
        <f t="shared" ref="B65" si="17">$I$5</f>
        <v>812</v>
      </c>
      <c r="C65" s="368" t="str">
        <f t="shared" ref="C65" si="18">$A$5</f>
        <v>BK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812</v>
      </c>
      <c r="N65" s="79"/>
      <c r="O65" s="78"/>
      <c r="P65" s="80" t="s">
        <v>63</v>
      </c>
      <c r="Q65" s="443"/>
      <c r="R65" s="78"/>
      <c r="S65" s="80" t="s">
        <v>63</v>
      </c>
      <c r="T65" s="84">
        <f t="shared" si="3"/>
        <v>-812</v>
      </c>
      <c r="U65" s="82"/>
      <c r="V65" s="82"/>
      <c r="W65" s="83"/>
      <c r="X65" s="81"/>
      <c r="Y65" s="445" t="s">
        <v>64</v>
      </c>
      <c r="Z65" s="86"/>
      <c r="AA65" s="85"/>
      <c r="AB65" s="586"/>
    </row>
    <row r="66" spans="1:32" s="55" customFormat="1" ht="69.95" customHeight="1" x14ac:dyDescent="0.15">
      <c r="A66" s="559"/>
      <c r="B66" s="186">
        <f>$I$6</f>
        <v>0</v>
      </c>
      <c r="C66" s="368">
        <f>$A$6</f>
        <v>0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0</v>
      </c>
      <c r="N66" s="140"/>
      <c r="O66" s="78"/>
      <c r="P66" s="80" t="s">
        <v>63</v>
      </c>
      <c r="Q66" s="447"/>
      <c r="R66" s="78"/>
      <c r="S66" s="80" t="s">
        <v>63</v>
      </c>
      <c r="T66" s="81">
        <f t="shared" si="3"/>
        <v>0</v>
      </c>
      <c r="U66" s="82"/>
      <c r="V66" s="137"/>
      <c r="W66" s="78"/>
      <c r="X66" s="78"/>
      <c r="Y66" s="557"/>
      <c r="Z66" s="141"/>
      <c r="AA66" s="135"/>
      <c r="AB66" s="587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0</v>
      </c>
      <c r="C67" s="456">
        <f>$A$7</f>
        <v>0</v>
      </c>
      <c r="D67" s="456"/>
      <c r="E67" s="456"/>
      <c r="F67" s="428"/>
      <c r="G67" s="429"/>
      <c r="H67" s="430"/>
      <c r="I67" s="442"/>
      <c r="J67" s="76"/>
      <c r="K67" s="139"/>
      <c r="L67" s="77" t="s">
        <v>63</v>
      </c>
      <c r="M67" s="78">
        <f t="shared" si="12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588"/>
      <c r="AC67" s="142"/>
      <c r="AD67" s="179"/>
      <c r="AE67" s="179"/>
      <c r="AF67" s="179"/>
    </row>
    <row r="68" spans="1:32" s="55" customFormat="1" ht="69.95" customHeight="1" x14ac:dyDescent="0.15">
      <c r="A68" s="431" t="s">
        <v>365</v>
      </c>
      <c r="B68" s="182">
        <f t="shared" ref="B68" si="19">$I$5</f>
        <v>812</v>
      </c>
      <c r="C68" s="368" t="str">
        <f t="shared" ref="C68" si="20">$A$5</f>
        <v>BK</v>
      </c>
      <c r="D68" s="369"/>
      <c r="E68" s="370"/>
      <c r="F68" s="428"/>
      <c r="G68" s="429"/>
      <c r="H68" s="430"/>
      <c r="I68" s="441" t="s">
        <v>102</v>
      </c>
      <c r="J68" s="76"/>
      <c r="K68" s="136">
        <v>0.56000000000000005</v>
      </c>
      <c r="L68" s="77" t="s">
        <v>129</v>
      </c>
      <c r="M68" s="78">
        <f t="shared" si="12"/>
        <v>454.72</v>
      </c>
      <c r="N68" s="79"/>
      <c r="O68" s="78"/>
      <c r="P68" s="80" t="s">
        <v>63</v>
      </c>
      <c r="Q68" s="443"/>
      <c r="R68" s="78"/>
      <c r="S68" s="80" t="s">
        <v>63</v>
      </c>
      <c r="T68" s="84">
        <f t="shared" si="3"/>
        <v>-454.72</v>
      </c>
      <c r="U68" s="82"/>
      <c r="V68" s="82"/>
      <c r="W68" s="83"/>
      <c r="X68" s="81"/>
      <c r="Y68" s="445" t="s">
        <v>130</v>
      </c>
      <c r="Z68" s="86"/>
      <c r="AA68" s="85"/>
      <c r="AB68" s="360"/>
    </row>
    <row r="69" spans="1:32" s="55" customFormat="1" ht="69.95" customHeight="1" x14ac:dyDescent="0.15">
      <c r="A69" s="559"/>
      <c r="B69" s="186">
        <f>$I$6</f>
        <v>0</v>
      </c>
      <c r="C69" s="368">
        <f>$A$6</f>
        <v>0</v>
      </c>
      <c r="D69" s="369"/>
      <c r="E69" s="370"/>
      <c r="F69" s="428"/>
      <c r="G69" s="429"/>
      <c r="H69" s="430"/>
      <c r="I69" s="563"/>
      <c r="J69" s="76"/>
      <c r="K69" s="136">
        <v>0.56000000000000005</v>
      </c>
      <c r="L69" s="77" t="s">
        <v>129</v>
      </c>
      <c r="M69" s="78">
        <f t="shared" si="12"/>
        <v>0</v>
      </c>
      <c r="N69" s="140"/>
      <c r="O69" s="78"/>
      <c r="P69" s="80" t="s">
        <v>63</v>
      </c>
      <c r="Q69" s="447"/>
      <c r="R69" s="78"/>
      <c r="S69" s="80" t="s">
        <v>63</v>
      </c>
      <c r="T69" s="81">
        <f t="shared" si="3"/>
        <v>0</v>
      </c>
      <c r="U69" s="82"/>
      <c r="V69" s="137"/>
      <c r="W69" s="78"/>
      <c r="X69" s="78"/>
      <c r="Y69" s="557"/>
      <c r="Z69" s="141"/>
      <c r="AA69" s="135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432"/>
      <c r="B70" s="182">
        <f>$I$7</f>
        <v>0</v>
      </c>
      <c r="C70" s="461">
        <f>$A$7</f>
        <v>0</v>
      </c>
      <c r="D70" s="461"/>
      <c r="E70" s="461"/>
      <c r="F70" s="428"/>
      <c r="G70" s="429"/>
      <c r="H70" s="430"/>
      <c r="I70" s="442"/>
      <c r="J70" s="76"/>
      <c r="K70" s="136"/>
      <c r="L70" s="77" t="s">
        <v>129</v>
      </c>
      <c r="M70" s="78">
        <f t="shared" si="12"/>
        <v>0</v>
      </c>
      <c r="N70" s="140"/>
      <c r="O70" s="78"/>
      <c r="P70" s="80" t="s">
        <v>63</v>
      </c>
      <c r="Q70" s="444"/>
      <c r="R70" s="78"/>
      <c r="S70" s="80" t="s">
        <v>63</v>
      </c>
      <c r="T70" s="81">
        <f t="shared" si="3"/>
        <v>0</v>
      </c>
      <c r="U70" s="82"/>
      <c r="V70" s="137"/>
      <c r="W70" s="78"/>
      <c r="X70" s="78"/>
      <c r="Y70" s="446"/>
      <c r="Z70" s="141"/>
      <c r="AA70" s="135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431" t="s">
        <v>141</v>
      </c>
      <c r="B71" s="182">
        <f t="shared" ref="B71" si="21">$I$5</f>
        <v>812</v>
      </c>
      <c r="C71" s="368" t="str">
        <f t="shared" ref="C71" si="22">$A$5</f>
        <v>BK</v>
      </c>
      <c r="D71" s="369"/>
      <c r="E71" s="370"/>
      <c r="F71" s="428"/>
      <c r="G71" s="429"/>
      <c r="H71" s="430"/>
      <c r="I71" s="441" t="s">
        <v>367</v>
      </c>
      <c r="J71" s="76"/>
      <c r="K71" s="136">
        <v>0.54</v>
      </c>
      <c r="L71" s="77" t="s">
        <v>129</v>
      </c>
      <c r="M71" s="78">
        <f t="shared" si="12"/>
        <v>438.48</v>
      </c>
      <c r="N71" s="79"/>
      <c r="O71" s="78"/>
      <c r="P71" s="80" t="s">
        <v>63</v>
      </c>
      <c r="Q71" s="443">
        <v>46207</v>
      </c>
      <c r="R71" s="78">
        <v>450</v>
      </c>
      <c r="S71" s="80" t="s">
        <v>63</v>
      </c>
      <c r="T71" s="84">
        <f t="shared" si="3"/>
        <v>11.519999999999982</v>
      </c>
      <c r="U71" s="82"/>
      <c r="V71" s="82"/>
      <c r="W71" s="83"/>
      <c r="X71" s="81"/>
      <c r="Y71" s="445" t="s">
        <v>130</v>
      </c>
      <c r="Z71" s="86"/>
      <c r="AA71" s="85"/>
      <c r="AB71" s="360" t="s">
        <v>475</v>
      </c>
    </row>
    <row r="72" spans="1:32" s="55" customFormat="1" ht="69.95" customHeight="1" x14ac:dyDescent="0.15">
      <c r="A72" s="559"/>
      <c r="B72" s="186">
        <f>$I$6</f>
        <v>0</v>
      </c>
      <c r="C72" s="368">
        <f>$A$6</f>
        <v>0</v>
      </c>
      <c r="D72" s="369"/>
      <c r="E72" s="370"/>
      <c r="F72" s="428"/>
      <c r="G72" s="429"/>
      <c r="H72" s="430"/>
      <c r="I72" s="563"/>
      <c r="J72" s="76"/>
      <c r="K72" s="136">
        <v>0.54</v>
      </c>
      <c r="L72" s="77" t="s">
        <v>129</v>
      </c>
      <c r="M72" s="78">
        <f t="shared" si="12"/>
        <v>0</v>
      </c>
      <c r="N72" s="140"/>
      <c r="O72" s="78"/>
      <c r="P72" s="80" t="s">
        <v>63</v>
      </c>
      <c r="Q72" s="447"/>
      <c r="R72" s="78"/>
      <c r="S72" s="80" t="s">
        <v>63</v>
      </c>
      <c r="T72" s="81">
        <f t="shared" si="3"/>
        <v>0</v>
      </c>
      <c r="U72" s="82"/>
      <c r="V72" s="137"/>
      <c r="W72" s="78"/>
      <c r="X72" s="78"/>
      <c r="Y72" s="557"/>
      <c r="Z72" s="141"/>
      <c r="AA72" s="135"/>
      <c r="AB72" s="361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82">
        <f>$I$7</f>
        <v>0</v>
      </c>
      <c r="C73" s="461">
        <f>$A$7</f>
        <v>0</v>
      </c>
      <c r="D73" s="461"/>
      <c r="E73" s="461"/>
      <c r="F73" s="428"/>
      <c r="G73" s="429"/>
      <c r="H73" s="430"/>
      <c r="I73" s="442"/>
      <c r="J73" s="76"/>
      <c r="K73" s="136">
        <v>0.54</v>
      </c>
      <c r="L73" s="77" t="s">
        <v>129</v>
      </c>
      <c r="M73" s="78">
        <f t="shared" si="12"/>
        <v>0</v>
      </c>
      <c r="N73" s="140"/>
      <c r="O73" s="78"/>
      <c r="P73" s="80" t="s">
        <v>63</v>
      </c>
      <c r="Q73" s="444"/>
      <c r="R73" s="78"/>
      <c r="S73" s="80" t="s">
        <v>63</v>
      </c>
      <c r="T73" s="81">
        <f t="shared" si="3"/>
        <v>0</v>
      </c>
      <c r="U73" s="82"/>
      <c r="V73" s="137"/>
      <c r="W73" s="78"/>
      <c r="X73" s="78"/>
      <c r="Y73" s="446"/>
      <c r="Z73" s="141"/>
      <c r="AA73" s="135"/>
      <c r="AB73" s="362"/>
      <c r="AC73" s="142"/>
      <c r="AD73" s="179"/>
      <c r="AE73" s="179"/>
      <c r="AF73" s="179"/>
    </row>
    <row r="74" spans="1:32" s="206" customFormat="1" ht="69.95" customHeight="1" x14ac:dyDescent="0.15">
      <c r="A74" s="431" t="s">
        <v>366</v>
      </c>
      <c r="B74" s="182">
        <f t="shared" ref="B74" si="23">$I$5</f>
        <v>812</v>
      </c>
      <c r="C74" s="368" t="str">
        <f t="shared" ref="C74" si="24">$A$5</f>
        <v>BK</v>
      </c>
      <c r="D74" s="369"/>
      <c r="E74" s="370"/>
      <c r="F74" s="428"/>
      <c r="G74" s="429"/>
      <c r="H74" s="430"/>
      <c r="I74" s="441" t="s">
        <v>368</v>
      </c>
      <c r="J74" s="76"/>
      <c r="K74" s="136">
        <v>0.54</v>
      </c>
      <c r="L74" s="77" t="s">
        <v>63</v>
      </c>
      <c r="M74" s="78">
        <f t="shared" si="4"/>
        <v>438.48</v>
      </c>
      <c r="N74" s="79"/>
      <c r="O74" s="78"/>
      <c r="P74" s="80" t="s">
        <v>63</v>
      </c>
      <c r="Q74" s="443">
        <v>46207</v>
      </c>
      <c r="R74" s="78">
        <v>450</v>
      </c>
      <c r="S74" s="80" t="s">
        <v>63</v>
      </c>
      <c r="T74" s="84">
        <f t="shared" si="3"/>
        <v>11.519999999999982</v>
      </c>
      <c r="U74" s="82"/>
      <c r="V74" s="82"/>
      <c r="W74" s="83"/>
      <c r="X74" s="81"/>
      <c r="Y74" s="445" t="s">
        <v>130</v>
      </c>
      <c r="Z74" s="86"/>
      <c r="AA74" s="85"/>
      <c r="AB74" s="360" t="s">
        <v>475</v>
      </c>
    </row>
    <row r="75" spans="1:32" s="206" customFormat="1" ht="69.95" customHeight="1" x14ac:dyDescent="0.15">
      <c r="A75" s="559"/>
      <c r="B75" s="186">
        <f>$I$6</f>
        <v>0</v>
      </c>
      <c r="C75" s="368">
        <f>$A$6</f>
        <v>0</v>
      </c>
      <c r="D75" s="369"/>
      <c r="E75" s="370"/>
      <c r="F75" s="428"/>
      <c r="G75" s="429"/>
      <c r="H75" s="430"/>
      <c r="I75" s="563"/>
      <c r="J75" s="76"/>
      <c r="K75" s="136">
        <v>0.54</v>
      </c>
      <c r="L75" s="77" t="s">
        <v>63</v>
      </c>
      <c r="M75" s="78">
        <f t="shared" si="4"/>
        <v>0</v>
      </c>
      <c r="N75" s="140"/>
      <c r="O75" s="78"/>
      <c r="P75" s="80" t="s">
        <v>63</v>
      </c>
      <c r="Q75" s="447"/>
      <c r="R75" s="78"/>
      <c r="S75" s="80" t="s">
        <v>63</v>
      </c>
      <c r="T75" s="81">
        <f t="shared" si="3"/>
        <v>0</v>
      </c>
      <c r="U75" s="82"/>
      <c r="V75" s="137"/>
      <c r="W75" s="78"/>
      <c r="X75" s="78"/>
      <c r="Y75" s="557"/>
      <c r="Z75" s="141"/>
      <c r="AA75" s="135"/>
      <c r="AB75" s="361"/>
      <c r="AC75" s="234"/>
      <c r="AD75" s="230"/>
      <c r="AE75" s="230"/>
      <c r="AF75" s="230"/>
    </row>
    <row r="76" spans="1:32" s="206" customFormat="1" ht="69.95" customHeight="1" x14ac:dyDescent="0.15">
      <c r="A76" s="432"/>
      <c r="B76" s="182">
        <f>$I$7</f>
        <v>0</v>
      </c>
      <c r="C76" s="461">
        <f>$A$7</f>
        <v>0</v>
      </c>
      <c r="D76" s="461"/>
      <c r="E76" s="461"/>
      <c r="F76" s="428"/>
      <c r="G76" s="429"/>
      <c r="H76" s="430"/>
      <c r="I76" s="442"/>
      <c r="J76" s="76"/>
      <c r="K76" s="139"/>
      <c r="L76" s="77" t="s">
        <v>63</v>
      </c>
      <c r="M76" s="78">
        <f t="shared" si="4"/>
        <v>0</v>
      </c>
      <c r="N76" s="140"/>
      <c r="O76" s="78"/>
      <c r="P76" s="80" t="s">
        <v>63</v>
      </c>
      <c r="Q76" s="444"/>
      <c r="R76" s="78"/>
      <c r="S76" s="80" t="s">
        <v>63</v>
      </c>
      <c r="T76" s="81">
        <f t="shared" si="3"/>
        <v>0</v>
      </c>
      <c r="U76" s="82"/>
      <c r="V76" s="137"/>
      <c r="W76" s="78"/>
      <c r="X76" s="78"/>
      <c r="Y76" s="446"/>
      <c r="Z76" s="141"/>
      <c r="AA76" s="135"/>
      <c r="AB76" s="362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320</v>
      </c>
      <c r="C77" s="407" t="e">
        <f>#REF!</f>
        <v>#REF!</v>
      </c>
      <c r="D77" s="408"/>
      <c r="E77" s="409"/>
      <c r="F77" s="371"/>
      <c r="G77" s="372"/>
      <c r="H77" s="373"/>
      <c r="I77" s="614" t="s">
        <v>358</v>
      </c>
      <c r="J77" s="255"/>
      <c r="K77" s="263">
        <v>1</v>
      </c>
      <c r="L77" s="168" t="s">
        <v>63</v>
      </c>
      <c r="M77" s="169">
        <f t="shared" si="4"/>
        <v>320</v>
      </c>
      <c r="N77" s="171"/>
      <c r="O77" s="277"/>
      <c r="P77" s="169" t="s">
        <v>63</v>
      </c>
      <c r="Q77" s="376">
        <v>46207</v>
      </c>
      <c r="R77" s="277">
        <v>320</v>
      </c>
      <c r="S77" s="169" t="s">
        <v>63</v>
      </c>
      <c r="T77" s="278">
        <f t="shared" si="3"/>
        <v>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475</v>
      </c>
    </row>
    <row r="78" spans="1:32" s="176" customFormat="1" ht="54.95" customHeight="1" x14ac:dyDescent="0.15">
      <c r="A78" s="387"/>
      <c r="B78" s="164">
        <f>D11</f>
        <v>360</v>
      </c>
      <c r="C78" s="410"/>
      <c r="D78" s="411"/>
      <c r="E78" s="412"/>
      <c r="F78" s="371"/>
      <c r="G78" s="372"/>
      <c r="H78" s="373"/>
      <c r="I78" s="615"/>
      <c r="J78" s="255"/>
      <c r="K78" s="167">
        <v>1</v>
      </c>
      <c r="L78" s="168" t="s">
        <v>63</v>
      </c>
      <c r="M78" s="169">
        <f t="shared" si="4"/>
        <v>360</v>
      </c>
      <c r="N78" s="171"/>
      <c r="O78" s="277"/>
      <c r="P78" s="169" t="s">
        <v>63</v>
      </c>
      <c r="Q78" s="377"/>
      <c r="R78" s="277">
        <v>360</v>
      </c>
      <c r="S78" s="169" t="s">
        <v>63</v>
      </c>
      <c r="T78" s="278">
        <f t="shared" si="3"/>
        <v>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132</v>
      </c>
      <c r="C79" s="410"/>
      <c r="D79" s="411"/>
      <c r="E79" s="412"/>
      <c r="F79" s="371"/>
      <c r="G79" s="372"/>
      <c r="H79" s="373"/>
      <c r="I79" s="615"/>
      <c r="J79" s="255"/>
      <c r="K79" s="167">
        <v>1</v>
      </c>
      <c r="L79" s="168" t="s">
        <v>63</v>
      </c>
      <c r="M79" s="169">
        <f t="shared" si="4"/>
        <v>132</v>
      </c>
      <c r="N79" s="171"/>
      <c r="O79" s="277"/>
      <c r="P79" s="169" t="s">
        <v>63</v>
      </c>
      <c r="Q79" s="377"/>
      <c r="R79" s="277">
        <v>132</v>
      </c>
      <c r="S79" s="169" t="s">
        <v>63</v>
      </c>
      <c r="T79" s="278">
        <f t="shared" si="3"/>
        <v>0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/>
      <c r="G80" s="372"/>
      <c r="H80" s="373"/>
      <c r="I80" s="615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/>
      <c r="G81" s="372"/>
      <c r="H81" s="373"/>
      <c r="I81" s="61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68</v>
      </c>
      <c r="B82" s="164">
        <f>C5+C8</f>
        <v>320</v>
      </c>
      <c r="C82" s="456" t="str">
        <f>A5</f>
        <v>BK</v>
      </c>
      <c r="D82" s="456"/>
      <c r="E82" s="456"/>
      <c r="F82" s="371"/>
      <c r="G82" s="372"/>
      <c r="H82" s="373"/>
      <c r="I82" s="614" t="s">
        <v>369</v>
      </c>
      <c r="J82" s="276"/>
      <c r="K82" s="167">
        <v>1</v>
      </c>
      <c r="L82" s="168" t="s">
        <v>63</v>
      </c>
      <c r="M82" s="169">
        <f t="shared" si="4"/>
        <v>320</v>
      </c>
      <c r="N82" s="171"/>
      <c r="O82" s="277"/>
      <c r="P82" s="169" t="s">
        <v>63</v>
      </c>
      <c r="Q82" s="376">
        <v>46207</v>
      </c>
      <c r="R82" s="277">
        <v>320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475</v>
      </c>
    </row>
    <row r="83" spans="1:28" s="176" customFormat="1" ht="54.95" customHeight="1" x14ac:dyDescent="0.15">
      <c r="A83" s="387"/>
      <c r="B83" s="164">
        <f>D5+D8</f>
        <v>360</v>
      </c>
      <c r="C83" s="456"/>
      <c r="D83" s="456"/>
      <c r="E83" s="456"/>
      <c r="F83" s="371"/>
      <c r="G83" s="372"/>
      <c r="H83" s="373"/>
      <c r="I83" s="615"/>
      <c r="J83" s="276"/>
      <c r="K83" s="167">
        <v>1</v>
      </c>
      <c r="L83" s="168" t="s">
        <v>63</v>
      </c>
      <c r="M83" s="169">
        <f t="shared" si="4"/>
        <v>360</v>
      </c>
      <c r="N83" s="171"/>
      <c r="O83" s="277"/>
      <c r="P83" s="169" t="s">
        <v>63</v>
      </c>
      <c r="Q83" s="377"/>
      <c r="R83" s="277">
        <v>360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132</v>
      </c>
      <c r="C84" s="456"/>
      <c r="D84" s="456"/>
      <c r="E84" s="456"/>
      <c r="F84" s="371"/>
      <c r="G84" s="372"/>
      <c r="H84" s="373"/>
      <c r="I84" s="615"/>
      <c r="J84" s="276"/>
      <c r="K84" s="167">
        <v>1</v>
      </c>
      <c r="L84" s="168" t="s">
        <v>63</v>
      </c>
      <c r="M84" s="169">
        <f t="shared" si="4"/>
        <v>132</v>
      </c>
      <c r="N84" s="171"/>
      <c r="O84" s="277"/>
      <c r="P84" s="169" t="s">
        <v>63</v>
      </c>
      <c r="Q84" s="377"/>
      <c r="R84" s="277">
        <v>132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0</v>
      </c>
      <c r="C85" s="456">
        <f>A6</f>
        <v>0</v>
      </c>
      <c r="D85" s="456"/>
      <c r="E85" s="456"/>
      <c r="F85" s="371"/>
      <c r="G85" s="372"/>
      <c r="H85" s="373"/>
      <c r="I85" s="615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7"/>
      <c r="R85" s="168"/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0</v>
      </c>
      <c r="C86" s="456"/>
      <c r="D86" s="456"/>
      <c r="E86" s="456"/>
      <c r="F86" s="371"/>
      <c r="G86" s="372"/>
      <c r="H86" s="373"/>
      <c r="I86" s="615"/>
      <c r="J86" s="276"/>
      <c r="K86" s="167">
        <v>1</v>
      </c>
      <c r="L86" s="168" t="s">
        <v>63</v>
      </c>
      <c r="M86" s="169">
        <f t="shared" ref="M86:M106" si="25">K86*B86</f>
        <v>0</v>
      </c>
      <c r="N86" s="171"/>
      <c r="O86" s="277"/>
      <c r="P86" s="169" t="s">
        <v>63</v>
      </c>
      <c r="Q86" s="377"/>
      <c r="R86" s="168"/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0</v>
      </c>
      <c r="C87" s="456"/>
      <c r="D87" s="456"/>
      <c r="E87" s="456"/>
      <c r="F87" s="371"/>
      <c r="G87" s="372"/>
      <c r="H87" s="373"/>
      <c r="I87" s="615"/>
      <c r="J87" s="276"/>
      <c r="K87" s="167">
        <v>1</v>
      </c>
      <c r="L87" s="168" t="s">
        <v>63</v>
      </c>
      <c r="M87" s="169">
        <f t="shared" si="25"/>
        <v>0</v>
      </c>
      <c r="N87" s="171"/>
      <c r="O87" s="277"/>
      <c r="P87" s="169" t="s">
        <v>63</v>
      </c>
      <c r="Q87" s="377"/>
      <c r="R87" s="277"/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0</v>
      </c>
      <c r="C88" s="456">
        <f>A7</f>
        <v>0</v>
      </c>
      <c r="D88" s="456"/>
      <c r="E88" s="456"/>
      <c r="F88" s="371"/>
      <c r="G88" s="372"/>
      <c r="H88" s="373"/>
      <c r="I88" s="615"/>
      <c r="J88" s="276"/>
      <c r="K88" s="167">
        <v>1</v>
      </c>
      <c r="L88" s="168" t="s">
        <v>63</v>
      </c>
      <c r="M88" s="169">
        <f t="shared" si="25"/>
        <v>0</v>
      </c>
      <c r="N88" s="171"/>
      <c r="O88" s="277"/>
      <c r="P88" s="169" t="s">
        <v>63</v>
      </c>
      <c r="Q88" s="377"/>
      <c r="R88" s="277"/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0</v>
      </c>
      <c r="C89" s="456"/>
      <c r="D89" s="456"/>
      <c r="E89" s="456"/>
      <c r="F89" s="371"/>
      <c r="G89" s="372"/>
      <c r="H89" s="373"/>
      <c r="I89" s="615"/>
      <c r="J89" s="276"/>
      <c r="K89" s="167">
        <v>1</v>
      </c>
      <c r="L89" s="168" t="s">
        <v>63</v>
      </c>
      <c r="M89" s="169">
        <f t="shared" si="25"/>
        <v>0</v>
      </c>
      <c r="N89" s="171"/>
      <c r="O89" s="277"/>
      <c r="P89" s="169" t="s">
        <v>63</v>
      </c>
      <c r="Q89" s="377"/>
      <c r="R89" s="277"/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0</v>
      </c>
      <c r="C90" s="456"/>
      <c r="D90" s="456"/>
      <c r="E90" s="456"/>
      <c r="F90" s="371"/>
      <c r="G90" s="372"/>
      <c r="H90" s="373"/>
      <c r="I90" s="616"/>
      <c r="J90" s="276"/>
      <c r="K90" s="167">
        <v>1</v>
      </c>
      <c r="L90" s="168" t="s">
        <v>63</v>
      </c>
      <c r="M90" s="169">
        <f t="shared" si="25"/>
        <v>0</v>
      </c>
      <c r="N90" s="171"/>
      <c r="O90" s="277"/>
      <c r="P90" s="169" t="s">
        <v>63</v>
      </c>
      <c r="Q90" s="378"/>
      <c r="R90" s="168"/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320</v>
      </c>
      <c r="C91" s="456" t="str">
        <f>A5</f>
        <v>BK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320</v>
      </c>
      <c r="N91" s="171"/>
      <c r="O91" s="277"/>
      <c r="P91" s="169" t="s">
        <v>63</v>
      </c>
      <c r="Q91" s="376"/>
      <c r="R91" s="277"/>
      <c r="S91" s="169" t="s">
        <v>63</v>
      </c>
      <c r="T91" s="278">
        <f t="shared" si="3"/>
        <v>-320</v>
      </c>
      <c r="U91" s="281"/>
      <c r="V91" s="282"/>
      <c r="W91" s="278"/>
      <c r="X91" s="278"/>
      <c r="Y91" s="374" t="s">
        <v>67</v>
      </c>
      <c r="Z91" s="374"/>
      <c r="AA91" s="374"/>
      <c r="AB91" s="404"/>
    </row>
    <row r="92" spans="1:28" s="176" customFormat="1" ht="54.95" customHeight="1" x14ac:dyDescent="0.15">
      <c r="A92" s="387"/>
      <c r="B92" s="164">
        <f>D5</f>
        <v>360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360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 t="shared" si="3"/>
        <v>-360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132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132</v>
      </c>
      <c r="N93" s="171"/>
      <c r="O93" s="277"/>
      <c r="P93" s="169" t="s">
        <v>63</v>
      </c>
      <c r="Q93" s="377"/>
      <c r="R93" s="277"/>
      <c r="S93" s="169" t="s">
        <v>63</v>
      </c>
      <c r="T93" s="278">
        <f t="shared" si="3"/>
        <v>-132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0</v>
      </c>
      <c r="C94" s="456">
        <f>A6</f>
        <v>0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0</v>
      </c>
      <c r="N94" s="171"/>
      <c r="O94" s="277"/>
      <c r="P94" s="169" t="s">
        <v>63</v>
      </c>
      <c r="Q94" s="377"/>
      <c r="R94" s="168"/>
      <c r="S94" s="169" t="s">
        <v>63</v>
      </c>
      <c r="T94" s="278">
        <f t="shared" si="3"/>
        <v>0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0</v>
      </c>
      <c r="N95" s="171"/>
      <c r="O95" s="277"/>
      <c r="P95" s="169" t="s">
        <v>63</v>
      </c>
      <c r="Q95" s="377"/>
      <c r="R95" s="168"/>
      <c r="S95" s="169" t="s">
        <v>63</v>
      </c>
      <c r="T95" s="278">
        <f t="shared" si="3"/>
        <v>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0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0</v>
      </c>
      <c r="N96" s="171"/>
      <c r="O96" s="277"/>
      <c r="P96" s="169" t="s">
        <v>63</v>
      </c>
      <c r="Q96" s="377"/>
      <c r="R96" s="277"/>
      <c r="S96" s="169" t="s">
        <v>63</v>
      </c>
      <c r="T96" s="278">
        <f t="shared" si="3"/>
        <v>0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0</v>
      </c>
      <c r="C97" s="456">
        <f>A7</f>
        <v>0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0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320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320</v>
      </c>
      <c r="N100" s="89"/>
      <c r="O100" s="153"/>
      <c r="P100" s="88" t="s">
        <v>63</v>
      </c>
      <c r="Q100" s="398">
        <v>46207</v>
      </c>
      <c r="R100" s="93">
        <v>320</v>
      </c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476</v>
      </c>
    </row>
    <row r="101" spans="1:28" s="55" customFormat="1" ht="54.95" customHeight="1" x14ac:dyDescent="0.15">
      <c r="A101" s="387"/>
      <c r="B101" s="87">
        <f>D11</f>
        <v>360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360</v>
      </c>
      <c r="N101" s="89"/>
      <c r="O101" s="153"/>
      <c r="P101" s="88" t="s">
        <v>63</v>
      </c>
      <c r="Q101" s="399"/>
      <c r="R101" s="93">
        <v>360</v>
      </c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132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132</v>
      </c>
      <c r="N102" s="89"/>
      <c r="O102" s="153"/>
      <c r="P102" s="88" t="s">
        <v>63</v>
      </c>
      <c r="Q102" s="399"/>
      <c r="R102" s="93">
        <v>132</v>
      </c>
      <c r="S102" s="88" t="s">
        <v>63</v>
      </c>
      <c r="T102" s="154">
        <f t="shared" si="3"/>
        <v>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812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812</v>
      </c>
      <c r="N104" s="170"/>
      <c r="O104" s="170"/>
      <c r="P104" s="169" t="s">
        <v>63</v>
      </c>
      <c r="Q104" s="350">
        <v>46207</v>
      </c>
      <c r="R104" s="165">
        <v>812</v>
      </c>
      <c r="S104" s="169" t="s">
        <v>63</v>
      </c>
      <c r="T104" s="154">
        <f t="shared" si="3"/>
        <v>0</v>
      </c>
      <c r="U104" s="170"/>
      <c r="V104" s="172"/>
      <c r="W104" s="172"/>
      <c r="X104" s="172"/>
      <c r="Y104" s="374" t="s">
        <v>72</v>
      </c>
      <c r="Z104" s="380"/>
      <c r="AA104" s="383"/>
      <c r="AB104" s="351" t="s">
        <v>475</v>
      </c>
    </row>
    <row r="105" spans="1:28" s="55" customFormat="1" ht="54.95" customHeight="1" x14ac:dyDescent="0.15">
      <c r="A105" s="163" t="s">
        <v>81</v>
      </c>
      <c r="B105" s="87">
        <f>I11</f>
        <v>812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812</v>
      </c>
      <c r="N105" s="91"/>
      <c r="O105" s="91"/>
      <c r="P105" s="169" t="s">
        <v>63</v>
      </c>
      <c r="Q105" s="348"/>
      <c r="R105" s="165">
        <v>812</v>
      </c>
      <c r="S105" s="169" t="s">
        <v>63</v>
      </c>
      <c r="T105" s="154">
        <f t="shared" si="3"/>
        <v>0</v>
      </c>
      <c r="U105" s="91"/>
      <c r="V105" s="91"/>
      <c r="W105" s="91"/>
      <c r="X105" s="91"/>
      <c r="Y105" s="375"/>
      <c r="Z105" s="381"/>
      <c r="AA105" s="384"/>
      <c r="AB105" s="349" t="s">
        <v>475</v>
      </c>
    </row>
    <row r="106" spans="1:28" s="55" customFormat="1" ht="54.95" customHeight="1" x14ac:dyDescent="0.15">
      <c r="A106" s="284" t="s">
        <v>160</v>
      </c>
      <c r="B106" s="87">
        <f>I11</f>
        <v>812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812</v>
      </c>
      <c r="N106" s="91"/>
      <c r="O106" s="91"/>
      <c r="P106" s="89" t="s">
        <v>63</v>
      </c>
      <c r="Q106" s="332">
        <v>46207</v>
      </c>
      <c r="R106" s="93">
        <v>812</v>
      </c>
      <c r="S106" s="89" t="s">
        <v>63</v>
      </c>
      <c r="T106" s="154">
        <f t="shared" si="3"/>
        <v>0</v>
      </c>
      <c r="U106" s="91"/>
      <c r="V106" s="91"/>
      <c r="W106" s="91"/>
      <c r="X106" s="91"/>
      <c r="Y106" s="379"/>
      <c r="Z106" s="382"/>
      <c r="AA106" s="385"/>
      <c r="AB106" s="331" t="s">
        <v>476</v>
      </c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5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5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11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"/>
      <c r="AC118" s="1"/>
    </row>
  </sheetData>
  <mergeCells count="369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I15:I17"/>
    <mergeCell ref="Q15:Q17"/>
    <mergeCell ref="Y15:Y17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B15:AB17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F51:H51"/>
    <mergeCell ref="AC51:AF51"/>
    <mergeCell ref="C52:E52"/>
    <mergeCell ref="F52:H52"/>
    <mergeCell ref="AC52:AF52"/>
    <mergeCell ref="AC48:AF48"/>
    <mergeCell ref="AC49:AF49"/>
    <mergeCell ref="C44:E44"/>
    <mergeCell ref="F44:H44"/>
    <mergeCell ref="I44:I46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C49:E49"/>
    <mergeCell ref="F49:H49"/>
    <mergeCell ref="A50:A52"/>
    <mergeCell ref="C50:E50"/>
    <mergeCell ref="F50:H50"/>
    <mergeCell ref="I50:I52"/>
    <mergeCell ref="Y50:Y52"/>
    <mergeCell ref="C51:E51"/>
    <mergeCell ref="A44:A46"/>
    <mergeCell ref="AB56:AB61"/>
    <mergeCell ref="C57:E57"/>
    <mergeCell ref="F57:H57"/>
    <mergeCell ref="C58:E58"/>
    <mergeCell ref="F58:H58"/>
    <mergeCell ref="AB53:AB55"/>
    <mergeCell ref="C54:E54"/>
    <mergeCell ref="F54:H54"/>
    <mergeCell ref="C55:E55"/>
    <mergeCell ref="F55:H55"/>
    <mergeCell ref="C56:E56"/>
    <mergeCell ref="F56:H56"/>
    <mergeCell ref="I56:I58"/>
    <mergeCell ref="Q56:Q61"/>
    <mergeCell ref="A59:A61"/>
    <mergeCell ref="C59:E59"/>
    <mergeCell ref="F59:H59"/>
    <mergeCell ref="Y59:Y61"/>
    <mergeCell ref="C60:E60"/>
    <mergeCell ref="F60:H60"/>
    <mergeCell ref="C61:E61"/>
    <mergeCell ref="F61:H61"/>
    <mergeCell ref="Y56:Y58"/>
    <mergeCell ref="A56:A58"/>
    <mergeCell ref="A62:A64"/>
    <mergeCell ref="C62:E62"/>
    <mergeCell ref="F62:H62"/>
    <mergeCell ref="Q62:Q64"/>
    <mergeCell ref="Y62:Y64"/>
    <mergeCell ref="AB62:AB64"/>
    <mergeCell ref="C63:E63"/>
    <mergeCell ref="F63:H63"/>
    <mergeCell ref="C64:E64"/>
    <mergeCell ref="F64:H64"/>
    <mergeCell ref="A68:A70"/>
    <mergeCell ref="C68:E68"/>
    <mergeCell ref="F68:H68"/>
    <mergeCell ref="I68:I70"/>
    <mergeCell ref="Q68:Q70"/>
    <mergeCell ref="A65:A67"/>
    <mergeCell ref="C65:E65"/>
    <mergeCell ref="F65:H65"/>
    <mergeCell ref="I65:I67"/>
    <mergeCell ref="Q65:Q67"/>
    <mergeCell ref="Y68:Y70"/>
    <mergeCell ref="AB68:AB70"/>
    <mergeCell ref="C69:E69"/>
    <mergeCell ref="F69:H69"/>
    <mergeCell ref="C70:E70"/>
    <mergeCell ref="F70:H70"/>
    <mergeCell ref="AB65:AB67"/>
    <mergeCell ref="C66:E66"/>
    <mergeCell ref="F66:H66"/>
    <mergeCell ref="C67:E67"/>
    <mergeCell ref="F67:H67"/>
    <mergeCell ref="Y65:Y67"/>
    <mergeCell ref="A74:A76"/>
    <mergeCell ref="C74:E74"/>
    <mergeCell ref="F74:H74"/>
    <mergeCell ref="I74:I76"/>
    <mergeCell ref="Q74:Q76"/>
    <mergeCell ref="A71:A73"/>
    <mergeCell ref="C71:E71"/>
    <mergeCell ref="F71:H71"/>
    <mergeCell ref="I71:I73"/>
    <mergeCell ref="Q71:Q73"/>
    <mergeCell ref="Y74:Y76"/>
    <mergeCell ref="AB74:AB76"/>
    <mergeCell ref="C75:E75"/>
    <mergeCell ref="F75:H75"/>
    <mergeCell ref="C76:E76"/>
    <mergeCell ref="F76:H76"/>
    <mergeCell ref="AB71:AB73"/>
    <mergeCell ref="C72:E72"/>
    <mergeCell ref="F72:H72"/>
    <mergeCell ref="C73:E73"/>
    <mergeCell ref="F73:H73"/>
    <mergeCell ref="Y71:Y73"/>
    <mergeCell ref="AA77:AA81"/>
    <mergeCell ref="AB77:AB81"/>
    <mergeCell ref="F78:H78"/>
    <mergeCell ref="F79:H79"/>
    <mergeCell ref="F80:H80"/>
    <mergeCell ref="F81:H81"/>
    <mergeCell ref="A77:A81"/>
    <mergeCell ref="C77:E81"/>
    <mergeCell ref="F77:H77"/>
    <mergeCell ref="I77:I81"/>
    <mergeCell ref="Q77:Q81"/>
    <mergeCell ref="Y77:Y81"/>
    <mergeCell ref="A82:A90"/>
    <mergeCell ref="C82:E84"/>
    <mergeCell ref="F82:H82"/>
    <mergeCell ref="Q82:Q90"/>
    <mergeCell ref="Y82:Y90"/>
    <mergeCell ref="Z82:Z90"/>
    <mergeCell ref="F89:H89"/>
    <mergeCell ref="F90:H90"/>
    <mergeCell ref="Z77:Z81"/>
    <mergeCell ref="AA82:AA90"/>
    <mergeCell ref="AB82:AB90"/>
    <mergeCell ref="F83:H83"/>
    <mergeCell ref="F84:H84"/>
    <mergeCell ref="C85:E87"/>
    <mergeCell ref="F85:H85"/>
    <mergeCell ref="F86:H86"/>
    <mergeCell ref="F87:H87"/>
    <mergeCell ref="C88:E90"/>
    <mergeCell ref="F88:H88"/>
    <mergeCell ref="A100:A103"/>
    <mergeCell ref="C100:E103"/>
    <mergeCell ref="F100:H100"/>
    <mergeCell ref="Q100:Q103"/>
    <mergeCell ref="Y100:Y103"/>
    <mergeCell ref="AA91:AA95"/>
    <mergeCell ref="AB91:AB99"/>
    <mergeCell ref="F92:H92"/>
    <mergeCell ref="F93:H93"/>
    <mergeCell ref="C94:E96"/>
    <mergeCell ref="F94:H94"/>
    <mergeCell ref="F95:H95"/>
    <mergeCell ref="F96:H96"/>
    <mergeCell ref="Y96:Y99"/>
    <mergeCell ref="Z96:Z99"/>
    <mergeCell ref="A91:A99"/>
    <mergeCell ref="C91:E93"/>
    <mergeCell ref="F91:H91"/>
    <mergeCell ref="Q91:Q99"/>
    <mergeCell ref="Y91:Y95"/>
    <mergeCell ref="Z91:Z95"/>
    <mergeCell ref="AA96:AA99"/>
    <mergeCell ref="B108:C108"/>
    <mergeCell ref="F108:H108"/>
    <mergeCell ref="I82:I90"/>
    <mergeCell ref="C105:E105"/>
    <mergeCell ref="F105:H105"/>
    <mergeCell ref="C106:E106"/>
    <mergeCell ref="F106:H106"/>
    <mergeCell ref="B107:C107"/>
    <mergeCell ref="C104:E104"/>
    <mergeCell ref="F104:H104"/>
    <mergeCell ref="C97:E99"/>
    <mergeCell ref="F97:H97"/>
    <mergeCell ref="F98:H98"/>
    <mergeCell ref="F99:H99"/>
    <mergeCell ref="Y104:Y106"/>
    <mergeCell ref="Z104:Z106"/>
    <mergeCell ref="AA104:AA106"/>
    <mergeCell ref="Z100:Z103"/>
    <mergeCell ref="AA100:AA103"/>
    <mergeCell ref="AB100:AB103"/>
    <mergeCell ref="F101:H101"/>
    <mergeCell ref="F102:H102"/>
    <mergeCell ref="F103:H10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AD71-044E-476D-87FC-A668A33D1852}">
  <sheetPr>
    <tabColor rgb="FFFF0000"/>
  </sheetPr>
  <dimension ref="B8:J27"/>
  <sheetViews>
    <sheetView workbookViewId="0">
      <selection activeCell="B27" sqref="B27"/>
    </sheetView>
  </sheetViews>
  <sheetFormatPr defaultRowHeight="13.5" x14ac:dyDescent="0.15"/>
  <cols>
    <col min="2" max="2" width="15" customWidth="1"/>
  </cols>
  <sheetData>
    <row r="8" spans="2:2" x14ac:dyDescent="0.15">
      <c r="B8" t="s">
        <v>451</v>
      </c>
    </row>
    <row r="9" spans="2:2" x14ac:dyDescent="0.15">
      <c r="B9" t="s">
        <v>452</v>
      </c>
    </row>
    <row r="10" spans="2:2" x14ac:dyDescent="0.15">
      <c r="B10" t="s">
        <v>453</v>
      </c>
    </row>
    <row r="11" spans="2:2" x14ac:dyDescent="0.15">
      <c r="B11" t="s">
        <v>454</v>
      </c>
    </row>
    <row r="18" spans="2:10" x14ac:dyDescent="0.15">
      <c r="C18" t="s">
        <v>455</v>
      </c>
      <c r="D18" t="s">
        <v>456</v>
      </c>
      <c r="E18" t="s">
        <v>457</v>
      </c>
      <c r="F18" t="s">
        <v>458</v>
      </c>
      <c r="G18" t="s">
        <v>459</v>
      </c>
      <c r="H18" t="s">
        <v>460</v>
      </c>
      <c r="I18" t="s">
        <v>461</v>
      </c>
      <c r="J18" t="s">
        <v>462</v>
      </c>
    </row>
    <row r="19" spans="2:10" x14ac:dyDescent="0.15">
      <c r="B19" t="s">
        <v>442</v>
      </c>
    </row>
    <row r="20" spans="2:10" x14ac:dyDescent="0.15">
      <c r="B20" t="s">
        <v>443</v>
      </c>
    </row>
    <row r="21" spans="2:10" x14ac:dyDescent="0.15">
      <c r="B21" t="s">
        <v>444</v>
      </c>
    </row>
    <row r="22" spans="2:10" x14ac:dyDescent="0.15">
      <c r="B22" t="s">
        <v>445</v>
      </c>
    </row>
    <row r="23" spans="2:10" x14ac:dyDescent="0.15">
      <c r="B23" t="s">
        <v>446</v>
      </c>
    </row>
    <row r="24" spans="2:10" x14ac:dyDescent="0.15">
      <c r="B24" t="s">
        <v>447</v>
      </c>
    </row>
    <row r="25" spans="2:10" x14ac:dyDescent="0.15">
      <c r="B25" t="s">
        <v>448</v>
      </c>
    </row>
    <row r="26" spans="2:10" x14ac:dyDescent="0.15">
      <c r="B26" t="s">
        <v>449</v>
      </c>
    </row>
    <row r="27" spans="2:10" x14ac:dyDescent="0.15">
      <c r="B27" t="s">
        <v>450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B542-0CFE-45B5-9009-05F3785C8C2E}">
  <sheetPr>
    <pageSetUpPr fitToPage="1"/>
  </sheetPr>
  <dimension ref="A1:AF118"/>
  <sheetViews>
    <sheetView view="pageBreakPreview" topLeftCell="A70" zoomScale="75" zoomScaleNormal="100" zoomScaleSheetLayoutView="75" workbookViewId="0">
      <selection activeCell="AB107" sqref="AB107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370</v>
      </c>
      <c r="C2" s="548"/>
      <c r="D2" s="548"/>
      <c r="E2" s="548"/>
      <c r="F2" s="548"/>
      <c r="G2" s="549"/>
      <c r="H2" s="180" t="s">
        <v>1</v>
      </c>
      <c r="I2" s="550">
        <f>I11</f>
        <v>2288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301</v>
      </c>
      <c r="B5" s="480"/>
      <c r="C5" s="182">
        <v>311</v>
      </c>
      <c r="D5" s="182">
        <v>360</v>
      </c>
      <c r="E5" s="182">
        <v>120</v>
      </c>
      <c r="F5" s="182"/>
      <c r="G5" s="182"/>
      <c r="H5" s="542" t="s">
        <v>24</v>
      </c>
      <c r="I5" s="524">
        <f t="shared" ref="I5:I11" si="0">SUM(C5:G5)</f>
        <v>791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153</v>
      </c>
      <c r="B6" s="523"/>
      <c r="C6" s="182">
        <v>287</v>
      </c>
      <c r="D6" s="182">
        <v>310</v>
      </c>
      <c r="E6" s="182">
        <v>100</v>
      </c>
      <c r="F6" s="182"/>
      <c r="G6" s="182"/>
      <c r="H6" s="537"/>
      <c r="I6" s="524">
        <f t="shared" si="0"/>
        <v>697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 t="s">
        <v>98</v>
      </c>
      <c r="B7" s="531"/>
      <c r="C7" s="183">
        <v>320</v>
      </c>
      <c r="D7" s="183">
        <v>360</v>
      </c>
      <c r="E7" s="183">
        <v>120</v>
      </c>
      <c r="F7" s="183"/>
      <c r="G7" s="183"/>
      <c r="H7" s="532"/>
      <c r="I7" s="532">
        <f t="shared" si="0"/>
        <v>800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46190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918</v>
      </c>
      <c r="D11" s="181">
        <f>SUM(D5:D10)</f>
        <v>1030</v>
      </c>
      <c r="E11" s="181">
        <f>SUM(E5:E10)</f>
        <v>340</v>
      </c>
      <c r="F11" s="181">
        <f>SUM(F5:F10)</f>
        <v>0</v>
      </c>
      <c r="G11" s="181">
        <f>SUM(G5:G10)</f>
        <v>0</v>
      </c>
      <c r="H11" s="182"/>
      <c r="I11" s="481">
        <f t="shared" si="0"/>
        <v>2288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46296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936.36</v>
      </c>
      <c r="D12" s="43">
        <f>D11*1.02</f>
        <v>1050.5999999999999</v>
      </c>
      <c r="E12" s="43">
        <f>E11*1.02</f>
        <v>346.8</v>
      </c>
      <c r="F12" s="43">
        <f>F11*1.02</f>
        <v>0</v>
      </c>
      <c r="G12" s="43">
        <f>G11*1.02</f>
        <v>0</v>
      </c>
      <c r="H12" s="44"/>
      <c r="I12" s="486">
        <f>I11*1.02</f>
        <v>2333.7600000000002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791</v>
      </c>
      <c r="C15" s="474" t="str">
        <f t="shared" ref="C15:C29" si="2">$A$5</f>
        <v>BR</v>
      </c>
      <c r="D15" s="475"/>
      <c r="E15" s="476"/>
      <c r="F15" s="474"/>
      <c r="G15" s="475"/>
      <c r="H15" s="476"/>
      <c r="I15" s="477" t="s">
        <v>371</v>
      </c>
      <c r="J15" s="65" t="s">
        <v>6</v>
      </c>
      <c r="K15" s="66">
        <v>1.31</v>
      </c>
      <c r="L15" s="67" t="s">
        <v>7</v>
      </c>
      <c r="M15" s="68">
        <f>K15*B15</f>
        <v>1036.21</v>
      </c>
      <c r="N15" s="69"/>
      <c r="O15" s="70"/>
      <c r="P15" s="67" t="s">
        <v>7</v>
      </c>
      <c r="Q15" s="478">
        <v>46200</v>
      </c>
      <c r="R15" s="293">
        <v>1038</v>
      </c>
      <c r="S15" s="71" t="s">
        <v>7</v>
      </c>
      <c r="T15" s="123">
        <f t="shared" ref="T15:T106" si="3">R15-M15</f>
        <v>1.7899999999999636</v>
      </c>
      <c r="U15" s="72"/>
      <c r="V15" s="72"/>
      <c r="W15" s="73"/>
      <c r="X15" s="74"/>
      <c r="Y15" s="479" t="s">
        <v>412</v>
      </c>
      <c r="Z15" s="63"/>
      <c r="AA15" s="64"/>
      <c r="AB15" s="566" t="s">
        <v>467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697</v>
      </c>
      <c r="C16" s="368" t="str">
        <f>$A$6</f>
        <v>GR</v>
      </c>
      <c r="D16" s="369"/>
      <c r="E16" s="370"/>
      <c r="F16" s="368"/>
      <c r="G16" s="369"/>
      <c r="H16" s="370"/>
      <c r="I16" s="563"/>
      <c r="J16" s="76" t="s">
        <v>6</v>
      </c>
      <c r="K16" s="83">
        <v>1.31</v>
      </c>
      <c r="L16" s="77" t="s">
        <v>7</v>
      </c>
      <c r="M16" s="78">
        <f t="shared" ref="M16:M85" si="4">K16*B16</f>
        <v>913.07</v>
      </c>
      <c r="N16" s="79"/>
      <c r="O16" s="128"/>
      <c r="P16" s="77" t="s">
        <v>7</v>
      </c>
      <c r="Q16" s="447"/>
      <c r="R16" s="137">
        <v>914</v>
      </c>
      <c r="S16" s="75" t="s">
        <v>7</v>
      </c>
      <c r="T16" s="81">
        <f t="shared" si="3"/>
        <v>0.92999999999994998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800</v>
      </c>
      <c r="C17" s="368" t="str">
        <f>$A$7</f>
        <v>BK</v>
      </c>
      <c r="D17" s="369"/>
      <c r="E17" s="370"/>
      <c r="F17" s="368"/>
      <c r="G17" s="369"/>
      <c r="H17" s="370"/>
      <c r="I17" s="148" t="s">
        <v>99</v>
      </c>
      <c r="J17" s="76" t="s">
        <v>6</v>
      </c>
      <c r="K17" s="83">
        <v>1.35</v>
      </c>
      <c r="L17" s="77" t="s">
        <v>7</v>
      </c>
      <c r="M17" s="78">
        <f t="shared" si="4"/>
        <v>1080</v>
      </c>
      <c r="N17" s="79"/>
      <c r="O17" s="128"/>
      <c r="P17" s="77" t="s">
        <v>7</v>
      </c>
      <c r="Q17" s="444"/>
      <c r="R17" s="137">
        <v>1081</v>
      </c>
      <c r="S17" s="75" t="s">
        <v>7</v>
      </c>
      <c r="T17" s="81">
        <f t="shared" si="3"/>
        <v>1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791</v>
      </c>
      <c r="C18" s="461" t="str">
        <f t="shared" si="2"/>
        <v>BR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697</v>
      </c>
      <c r="C19" s="461" t="str">
        <f>$A$6</f>
        <v>GR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791</v>
      </c>
      <c r="C20" s="465" t="str">
        <f t="shared" ref="C20" si="6">$A$5</f>
        <v>BR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>
        <v>0.1</v>
      </c>
      <c r="L20" s="194" t="s">
        <v>7</v>
      </c>
      <c r="M20" s="195">
        <f t="shared" si="4"/>
        <v>79.100000000000009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-79.100000000000009</v>
      </c>
      <c r="U20" s="199"/>
      <c r="V20" s="200"/>
      <c r="W20" s="195"/>
      <c r="X20" s="195"/>
      <c r="Y20" s="437" t="s">
        <v>93</v>
      </c>
      <c r="Z20" s="235"/>
      <c r="AA20" s="202"/>
      <c r="AB20" s="617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697</v>
      </c>
      <c r="C21" s="465" t="str">
        <f>$A$6</f>
        <v>GR</v>
      </c>
      <c r="D21" s="465"/>
      <c r="E21" s="465"/>
      <c r="F21" s="465"/>
      <c r="G21" s="465"/>
      <c r="H21" s="465"/>
      <c r="I21" s="560"/>
      <c r="J21" s="192" t="s">
        <v>6</v>
      </c>
      <c r="K21" s="209">
        <v>0.1</v>
      </c>
      <c r="L21" s="194" t="s">
        <v>7</v>
      </c>
      <c r="M21" s="195">
        <f t="shared" si="4"/>
        <v>69.7</v>
      </c>
      <c r="N21" s="196"/>
      <c r="O21" s="210"/>
      <c r="P21" s="194" t="s">
        <v>7</v>
      </c>
      <c r="Q21" s="561"/>
      <c r="R21" s="200"/>
      <c r="S21" s="207" t="s">
        <v>7</v>
      </c>
      <c r="T21" s="198">
        <f t="shared" si="3"/>
        <v>-69.7</v>
      </c>
      <c r="U21" s="211"/>
      <c r="V21" s="211"/>
      <c r="W21" s="212"/>
      <c r="X21" s="213"/>
      <c r="Y21" s="562"/>
      <c r="Z21" s="214"/>
      <c r="AA21" s="202"/>
      <c r="AB21" s="61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800</v>
      </c>
      <c r="C22" s="465" t="str">
        <f>$A$7</f>
        <v>BK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619"/>
      <c r="AC22" s="229"/>
      <c r="AD22" s="230"/>
      <c r="AE22" s="230"/>
      <c r="AF22" s="230"/>
    </row>
    <row r="23" spans="1:32" s="55" customFormat="1" ht="69.95" customHeight="1" x14ac:dyDescent="0.15">
      <c r="A23" s="431" t="s">
        <v>361</v>
      </c>
      <c r="B23" s="182">
        <f t="shared" si="1"/>
        <v>791</v>
      </c>
      <c r="C23" s="461" t="str">
        <f t="shared" si="2"/>
        <v>BR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205.66</v>
      </c>
      <c r="N23" s="79"/>
      <c r="O23" s="78"/>
      <c r="P23" s="80" t="s">
        <v>7</v>
      </c>
      <c r="Q23" s="443">
        <v>46207</v>
      </c>
      <c r="R23" s="78">
        <v>206</v>
      </c>
      <c r="S23" s="80" t="s">
        <v>7</v>
      </c>
      <c r="T23" s="81">
        <f t="shared" si="3"/>
        <v>0.34000000000000341</v>
      </c>
      <c r="U23" s="82"/>
      <c r="V23" s="137"/>
      <c r="W23" s="78"/>
      <c r="X23" s="78"/>
      <c r="Y23" s="445" t="s">
        <v>93</v>
      </c>
      <c r="Z23" s="138"/>
      <c r="AA23" s="135"/>
      <c r="AB23" s="586" t="s">
        <v>476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697</v>
      </c>
      <c r="C24" s="461" t="str">
        <f>$A$6</f>
        <v>GR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181.22</v>
      </c>
      <c r="N24" s="79"/>
      <c r="O24" s="128"/>
      <c r="P24" s="77" t="s">
        <v>7</v>
      </c>
      <c r="Q24" s="447"/>
      <c r="R24" s="137">
        <v>181</v>
      </c>
      <c r="S24" s="75" t="s">
        <v>7</v>
      </c>
      <c r="T24" s="81">
        <f t="shared" si="3"/>
        <v>-0.21999999999999886</v>
      </c>
      <c r="U24" s="131"/>
      <c r="V24" s="131"/>
      <c r="W24" s="132"/>
      <c r="X24" s="133"/>
      <c r="Y24" s="557"/>
      <c r="Z24" s="228"/>
      <c r="AA24" s="228"/>
      <c r="AB24" s="587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800</v>
      </c>
      <c r="C25" s="461" t="str">
        <f>$A$7</f>
        <v>BK</v>
      </c>
      <c r="D25" s="461"/>
      <c r="E25" s="461"/>
      <c r="F25" s="461"/>
      <c r="G25" s="461"/>
      <c r="H25" s="461"/>
      <c r="I25" s="442"/>
      <c r="J25" s="76" t="s">
        <v>6</v>
      </c>
      <c r="K25" s="136">
        <v>0.26</v>
      </c>
      <c r="L25" s="77" t="s">
        <v>7</v>
      </c>
      <c r="M25" s="78">
        <f t="shared" si="4"/>
        <v>208</v>
      </c>
      <c r="N25" s="79"/>
      <c r="O25" s="128"/>
      <c r="P25" s="77" t="s">
        <v>7</v>
      </c>
      <c r="Q25" s="444"/>
      <c r="R25" s="130">
        <v>208</v>
      </c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588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791</v>
      </c>
      <c r="C26" s="465" t="str">
        <f t="shared" si="2"/>
        <v>BR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697</v>
      </c>
      <c r="C27" s="465" t="str">
        <f>$A$6</f>
        <v>GR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800</v>
      </c>
      <c r="C28" s="465" t="str">
        <f>$A$7</f>
        <v>BK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353</v>
      </c>
      <c r="B29" s="239">
        <f t="shared" si="1"/>
        <v>791</v>
      </c>
      <c r="C29" s="456" t="str">
        <f t="shared" si="2"/>
        <v>BR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0.09</v>
      </c>
      <c r="L29" s="168" t="s">
        <v>7</v>
      </c>
      <c r="M29" s="242">
        <f t="shared" si="4"/>
        <v>71.19</v>
      </c>
      <c r="N29" s="243"/>
      <c r="O29" s="242"/>
      <c r="P29" s="244" t="s">
        <v>7</v>
      </c>
      <c r="Q29" s="376">
        <v>46207</v>
      </c>
      <c r="R29" s="242">
        <v>71</v>
      </c>
      <c r="S29" s="244" t="s">
        <v>7</v>
      </c>
      <c r="T29" s="245">
        <f t="shared" si="3"/>
        <v>-0.18999999999999773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476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697</v>
      </c>
      <c r="C30" s="456" t="str">
        <f>$A$6</f>
        <v>GR</v>
      </c>
      <c r="D30" s="456"/>
      <c r="E30" s="456"/>
      <c r="F30" s="456"/>
      <c r="G30" s="456"/>
      <c r="H30" s="456"/>
      <c r="I30" s="564"/>
      <c r="J30" s="240" t="s">
        <v>6</v>
      </c>
      <c r="K30" s="241">
        <v>0.09</v>
      </c>
      <c r="L30" s="168" t="s">
        <v>7</v>
      </c>
      <c r="M30" s="242">
        <f t="shared" si="4"/>
        <v>62.73</v>
      </c>
      <c r="N30" s="243"/>
      <c r="O30" s="253"/>
      <c r="P30" s="168" t="s">
        <v>7</v>
      </c>
      <c r="Q30" s="377"/>
      <c r="R30" s="247">
        <v>63</v>
      </c>
      <c r="S30" s="255" t="s">
        <v>7</v>
      </c>
      <c r="T30" s="245">
        <f t="shared" si="3"/>
        <v>0.27000000000000313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800</v>
      </c>
      <c r="C31" s="456" t="str">
        <f>$A$7</f>
        <v>BK</v>
      </c>
      <c r="D31" s="456"/>
      <c r="E31" s="456"/>
      <c r="F31" s="456"/>
      <c r="G31" s="456"/>
      <c r="H31" s="456"/>
      <c r="I31" s="458"/>
      <c r="J31" s="240" t="s">
        <v>6</v>
      </c>
      <c r="K31" s="241">
        <v>0.09</v>
      </c>
      <c r="L31" s="168" t="s">
        <v>7</v>
      </c>
      <c r="M31" s="242">
        <f t="shared" si="4"/>
        <v>72</v>
      </c>
      <c r="N31" s="243"/>
      <c r="O31" s="253"/>
      <c r="P31" s="168" t="s">
        <v>7</v>
      </c>
      <c r="Q31" s="378"/>
      <c r="R31" s="247">
        <v>72</v>
      </c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354</v>
      </c>
      <c r="B32" s="239">
        <f>$I$5</f>
        <v>791</v>
      </c>
      <c r="C32" s="456" t="str">
        <f>$A$5</f>
        <v>BR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0.09</v>
      </c>
      <c r="L32" s="168" t="s">
        <v>7</v>
      </c>
      <c r="M32" s="242">
        <f>K32*B32</f>
        <v>71.19</v>
      </c>
      <c r="N32" s="243"/>
      <c r="O32" s="242"/>
      <c r="P32" s="244" t="s">
        <v>7</v>
      </c>
      <c r="Q32" s="376">
        <v>46207</v>
      </c>
      <c r="R32" s="242">
        <v>71</v>
      </c>
      <c r="S32" s="244" t="s">
        <v>9</v>
      </c>
      <c r="T32" s="245">
        <f t="shared" si="3"/>
        <v>-0.18999999999999773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697</v>
      </c>
      <c r="C33" s="456" t="str">
        <f>$A$6</f>
        <v>GR</v>
      </c>
      <c r="D33" s="456"/>
      <c r="E33" s="456"/>
      <c r="F33" s="456"/>
      <c r="G33" s="456"/>
      <c r="H33" s="456"/>
      <c r="I33" s="564"/>
      <c r="J33" s="240" t="s">
        <v>6</v>
      </c>
      <c r="K33" s="241">
        <v>0.09</v>
      </c>
      <c r="L33" s="168" t="s">
        <v>7</v>
      </c>
      <c r="M33" s="242">
        <f>K33*B33</f>
        <v>62.73</v>
      </c>
      <c r="N33" s="243"/>
      <c r="O33" s="253"/>
      <c r="P33" s="168" t="s">
        <v>7</v>
      </c>
      <c r="Q33" s="377"/>
      <c r="R33" s="247">
        <v>63</v>
      </c>
      <c r="S33" s="255" t="s">
        <v>9</v>
      </c>
      <c r="T33" s="245">
        <f t="shared" si="3"/>
        <v>0.27000000000000313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800</v>
      </c>
      <c r="C34" s="456" t="str">
        <f>$A$7</f>
        <v>BK</v>
      </c>
      <c r="D34" s="456"/>
      <c r="E34" s="456"/>
      <c r="F34" s="456"/>
      <c r="G34" s="456"/>
      <c r="H34" s="456"/>
      <c r="I34" s="458"/>
      <c r="J34" s="240" t="s">
        <v>6</v>
      </c>
      <c r="K34" s="241">
        <v>0.09</v>
      </c>
      <c r="L34" s="168" t="s">
        <v>7</v>
      </c>
      <c r="M34" s="242">
        <f>K34*B34</f>
        <v>72</v>
      </c>
      <c r="N34" s="243"/>
      <c r="O34" s="253"/>
      <c r="P34" s="168" t="s">
        <v>7</v>
      </c>
      <c r="Q34" s="378"/>
      <c r="R34" s="247">
        <v>72</v>
      </c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791</v>
      </c>
      <c r="C35" s="465" t="str">
        <f>$A$5</f>
        <v>BR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697</v>
      </c>
      <c r="C36" s="465" t="str">
        <f>$A$6</f>
        <v>GR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800</v>
      </c>
      <c r="C37" s="465" t="str">
        <f>$A$7</f>
        <v>BK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362</v>
      </c>
      <c r="B38" s="239">
        <f>$I$5</f>
        <v>791</v>
      </c>
      <c r="C38" s="456" t="str">
        <f>$A$5</f>
        <v>BR</v>
      </c>
      <c r="D38" s="456"/>
      <c r="E38" s="456"/>
      <c r="F38" s="456"/>
      <c r="G38" s="456"/>
      <c r="H38" s="456"/>
      <c r="I38" s="457" t="s">
        <v>76</v>
      </c>
      <c r="J38" s="240"/>
      <c r="K38" s="308">
        <v>2.2000000000000002</v>
      </c>
      <c r="L38" s="168" t="s">
        <v>7</v>
      </c>
      <c r="M38" s="242">
        <f t="shared" ref="M38:M43" si="7">K38*B38/50</f>
        <v>34.804000000000002</v>
      </c>
      <c r="N38" s="243"/>
      <c r="O38" s="242"/>
      <c r="P38" s="244" t="s">
        <v>7</v>
      </c>
      <c r="Q38" s="376"/>
      <c r="R38" s="78">
        <v>35</v>
      </c>
      <c r="S38" s="244" t="s">
        <v>9</v>
      </c>
      <c r="T38" s="245">
        <f t="shared" si="3"/>
        <v>0.19599999999999795</v>
      </c>
      <c r="U38" s="246"/>
      <c r="V38" s="247"/>
      <c r="W38" s="242"/>
      <c r="X38" s="242"/>
      <c r="Y38" s="459" t="s">
        <v>94</v>
      </c>
      <c r="Z38" s="260"/>
      <c r="AA38" s="249"/>
      <c r="AB38" s="586" t="s">
        <v>476</v>
      </c>
    </row>
    <row r="39" spans="1:32" s="261" customFormat="1" ht="69.95" customHeight="1" x14ac:dyDescent="0.15">
      <c r="A39" s="464"/>
      <c r="B39" s="239">
        <f>$I$6</f>
        <v>697</v>
      </c>
      <c r="C39" s="456" t="str">
        <f>$A$6</f>
        <v>GR</v>
      </c>
      <c r="D39" s="456"/>
      <c r="E39" s="456"/>
      <c r="F39" s="456"/>
      <c r="G39" s="456"/>
      <c r="H39" s="456"/>
      <c r="I39" s="564"/>
      <c r="J39" s="240"/>
      <c r="K39" s="308">
        <v>2.2000000000000002</v>
      </c>
      <c r="L39" s="168" t="s">
        <v>7</v>
      </c>
      <c r="M39" s="242">
        <f t="shared" si="7"/>
        <v>30.668000000000003</v>
      </c>
      <c r="N39" s="243"/>
      <c r="O39" s="253"/>
      <c r="P39" s="168" t="s">
        <v>7</v>
      </c>
      <c r="Q39" s="377"/>
      <c r="R39" s="137">
        <v>31</v>
      </c>
      <c r="S39" s="255" t="s">
        <v>9</v>
      </c>
      <c r="T39" s="245">
        <f t="shared" si="3"/>
        <v>0.33199999999999719</v>
      </c>
      <c r="U39" s="256"/>
      <c r="V39" s="256"/>
      <c r="W39" s="257"/>
      <c r="X39" s="258"/>
      <c r="Y39" s="565"/>
      <c r="Z39" s="259"/>
      <c r="AA39" s="249"/>
      <c r="AB39" s="587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800</v>
      </c>
      <c r="C40" s="456" t="str">
        <f>$A$7</f>
        <v>BK</v>
      </c>
      <c r="D40" s="456"/>
      <c r="E40" s="456"/>
      <c r="F40" s="456"/>
      <c r="G40" s="456"/>
      <c r="H40" s="456"/>
      <c r="I40" s="458"/>
      <c r="J40" s="240"/>
      <c r="K40" s="344">
        <v>2.2000000000000002</v>
      </c>
      <c r="L40" s="168" t="s">
        <v>7</v>
      </c>
      <c r="M40" s="242">
        <f t="shared" si="7"/>
        <v>35.200000000000003</v>
      </c>
      <c r="N40" s="243"/>
      <c r="O40" s="253"/>
      <c r="P40" s="168" t="s">
        <v>7</v>
      </c>
      <c r="Q40" s="378"/>
      <c r="R40" s="247">
        <v>36</v>
      </c>
      <c r="S40" s="255" t="s">
        <v>9</v>
      </c>
      <c r="T40" s="245">
        <f t="shared" si="3"/>
        <v>0.79999999999999716</v>
      </c>
      <c r="U40" s="256"/>
      <c r="V40" s="256"/>
      <c r="W40" s="257"/>
      <c r="X40" s="258"/>
      <c r="Y40" s="460"/>
      <c r="Z40" s="259"/>
      <c r="AA40" s="249"/>
      <c r="AB40" s="588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791</v>
      </c>
      <c r="C41" s="465" t="str">
        <f>$A$5</f>
        <v>BR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697</v>
      </c>
      <c r="C42" s="465" t="str">
        <f>$A$6</f>
        <v>GR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800</v>
      </c>
      <c r="C43" s="465" t="str">
        <f>$A$7</f>
        <v>BK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791</v>
      </c>
      <c r="C44" s="456" t="str">
        <f>$A$5</f>
        <v>BR</v>
      </c>
      <c r="D44" s="456"/>
      <c r="E44" s="456"/>
      <c r="F44" s="456" t="str">
        <f>$A$5</f>
        <v>BR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41.131999999999998</v>
      </c>
      <c r="N44" s="243"/>
      <c r="O44" s="242"/>
      <c r="P44" s="244" t="s">
        <v>10</v>
      </c>
      <c r="Q44" s="443">
        <v>46207</v>
      </c>
      <c r="R44" s="242">
        <v>41</v>
      </c>
      <c r="S44" s="244" t="s">
        <v>10</v>
      </c>
      <c r="T44" s="245">
        <f t="shared" si="3"/>
        <v>-0.1319999999999979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476</v>
      </c>
    </row>
    <row r="45" spans="1:32" s="176" customFormat="1" ht="69.95" customHeight="1" x14ac:dyDescent="0.15">
      <c r="A45" s="559"/>
      <c r="B45" s="264">
        <f>$I$6</f>
        <v>697</v>
      </c>
      <c r="C45" s="413" t="str">
        <f>$A$6</f>
        <v>GR</v>
      </c>
      <c r="D45" s="414"/>
      <c r="E45" s="415"/>
      <c r="F45" s="413" t="str">
        <f>$A$6</f>
        <v>GR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36.244</v>
      </c>
      <c r="N45" s="267"/>
      <c r="O45" s="268"/>
      <c r="P45" s="266" t="s">
        <v>10</v>
      </c>
      <c r="Q45" s="447"/>
      <c r="R45" s="269">
        <v>36</v>
      </c>
      <c r="S45" s="252" t="s">
        <v>10</v>
      </c>
      <c r="T45" s="270">
        <f t="shared" si="3"/>
        <v>-0.24399999999999977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800</v>
      </c>
      <c r="C46" s="456" t="str">
        <f>$A$7</f>
        <v>BK</v>
      </c>
      <c r="D46" s="456"/>
      <c r="E46" s="456"/>
      <c r="F46" s="413" t="str">
        <f>$A$7</f>
        <v>BK</v>
      </c>
      <c r="G46" s="414"/>
      <c r="H46" s="415"/>
      <c r="I46" s="458"/>
      <c r="J46" s="265"/>
      <c r="K46" s="263">
        <v>130</v>
      </c>
      <c r="L46" s="266" t="s">
        <v>61</v>
      </c>
      <c r="M46" s="242">
        <f t="shared" si="8"/>
        <v>41.6</v>
      </c>
      <c r="N46" s="267"/>
      <c r="O46" s="268"/>
      <c r="P46" s="266" t="s">
        <v>10</v>
      </c>
      <c r="Q46" s="447"/>
      <c r="R46" s="269">
        <v>42</v>
      </c>
      <c r="S46" s="252" t="s">
        <v>10</v>
      </c>
      <c r="T46" s="270">
        <f t="shared" si="3"/>
        <v>0.39999999999999858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791</v>
      </c>
      <c r="C47" s="456" t="str">
        <f>$A$5</f>
        <v>BR</v>
      </c>
      <c r="D47" s="456"/>
      <c r="E47" s="456"/>
      <c r="F47" s="456" t="str">
        <f>$A$5</f>
        <v>BR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43.505000000000003</v>
      </c>
      <c r="N47" s="243"/>
      <c r="O47" s="242"/>
      <c r="P47" s="244" t="s">
        <v>10</v>
      </c>
      <c r="Q47" s="447"/>
      <c r="R47" s="242">
        <v>44</v>
      </c>
      <c r="S47" s="244" t="s">
        <v>10</v>
      </c>
      <c r="T47" s="245">
        <f t="shared" si="3"/>
        <v>0.49499999999999744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697</v>
      </c>
      <c r="C48" s="413" t="str">
        <f>$A$6</f>
        <v>GR</v>
      </c>
      <c r="D48" s="414"/>
      <c r="E48" s="415"/>
      <c r="F48" s="413" t="str">
        <f>$A$6</f>
        <v>GR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38.335000000000001</v>
      </c>
      <c r="N48" s="267"/>
      <c r="O48" s="268"/>
      <c r="P48" s="266" t="s">
        <v>10</v>
      </c>
      <c r="Q48" s="447"/>
      <c r="R48" s="269">
        <v>39</v>
      </c>
      <c r="S48" s="252" t="s">
        <v>10</v>
      </c>
      <c r="T48" s="270">
        <f t="shared" si="3"/>
        <v>0.66499999999999915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800</v>
      </c>
      <c r="C49" s="456" t="str">
        <f>$A$7</f>
        <v>BK</v>
      </c>
      <c r="D49" s="456"/>
      <c r="E49" s="456"/>
      <c r="F49" s="413" t="str">
        <f>$A$7</f>
        <v>BK</v>
      </c>
      <c r="G49" s="414"/>
      <c r="H49" s="415"/>
      <c r="I49" s="458"/>
      <c r="J49" s="265"/>
      <c r="K49" s="263">
        <v>220</v>
      </c>
      <c r="L49" s="266" t="s">
        <v>61</v>
      </c>
      <c r="M49" s="242">
        <f t="shared" si="9"/>
        <v>44</v>
      </c>
      <c r="N49" s="267"/>
      <c r="O49" s="268"/>
      <c r="P49" s="266" t="s">
        <v>10</v>
      </c>
      <c r="Q49" s="447"/>
      <c r="R49" s="269">
        <v>44</v>
      </c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363</v>
      </c>
      <c r="B50" s="182">
        <f>$I$5</f>
        <v>791</v>
      </c>
      <c r="C50" s="461" t="str">
        <f>$A$5</f>
        <v>BR</v>
      </c>
      <c r="D50" s="461"/>
      <c r="E50" s="461"/>
      <c r="F50" s="461" t="str">
        <f>$A$5</f>
        <v>BR</v>
      </c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9"/>
        <v>1.9775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si="3"/>
        <v>2.2499999999999964E-2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697</v>
      </c>
      <c r="C51" s="395" t="str">
        <f>$A$6</f>
        <v>GR</v>
      </c>
      <c r="D51" s="396"/>
      <c r="E51" s="397"/>
      <c r="F51" s="395" t="str">
        <f>$A$6</f>
        <v>GR</v>
      </c>
      <c r="G51" s="396"/>
      <c r="H51" s="397"/>
      <c r="I51" s="563"/>
      <c r="J51" s="144"/>
      <c r="K51" s="139">
        <v>10</v>
      </c>
      <c r="L51" s="145" t="s">
        <v>61</v>
      </c>
      <c r="M51" s="78">
        <f t="shared" si="9"/>
        <v>1.7424999999999999</v>
      </c>
      <c r="N51" s="146"/>
      <c r="O51" s="147"/>
      <c r="P51" s="145" t="s">
        <v>10</v>
      </c>
      <c r="Q51" s="447"/>
      <c r="R51" s="161">
        <v>2</v>
      </c>
      <c r="S51" s="148" t="s">
        <v>10</v>
      </c>
      <c r="T51" s="84">
        <f t="shared" si="3"/>
        <v>0.25750000000000006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800</v>
      </c>
      <c r="C52" s="461" t="str">
        <f>$A$7</f>
        <v>BK</v>
      </c>
      <c r="D52" s="461"/>
      <c r="E52" s="461"/>
      <c r="F52" s="395" t="str">
        <f>$A$6</f>
        <v>GR</v>
      </c>
      <c r="G52" s="396"/>
      <c r="H52" s="397"/>
      <c r="I52" s="442"/>
      <c r="J52" s="144"/>
      <c r="K52" s="139">
        <v>10</v>
      </c>
      <c r="L52" s="145" t="s">
        <v>61</v>
      </c>
      <c r="M52" s="78">
        <f t="shared" si="9"/>
        <v>2</v>
      </c>
      <c r="N52" s="146"/>
      <c r="O52" s="147"/>
      <c r="P52" s="145" t="s">
        <v>10</v>
      </c>
      <c r="Q52" s="444"/>
      <c r="R52" s="161">
        <v>2</v>
      </c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139</v>
      </c>
      <c r="B53" s="191">
        <f t="shared" ref="B53" si="10">$I$5</f>
        <v>791</v>
      </c>
      <c r="C53" s="422" t="str">
        <f t="shared" ref="C53" si="11">$A$5</f>
        <v>BR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ref="M53:M73" si="12">K53*B53</f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140</v>
      </c>
      <c r="Z53" s="231"/>
      <c r="AA53" s="232"/>
      <c r="AB53" s="439"/>
    </row>
    <row r="54" spans="1:32" s="206" customFormat="1" ht="69.95" customHeight="1" x14ac:dyDescent="0.15">
      <c r="A54" s="559"/>
      <c r="B54" s="204">
        <f>$I$6</f>
        <v>697</v>
      </c>
      <c r="C54" s="453" t="str">
        <f>$A$6</f>
        <v>GR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2"/>
        <v>0</v>
      </c>
      <c r="N54" s="233"/>
      <c r="O54" s="195"/>
      <c r="P54" s="194" t="s">
        <v>65</v>
      </c>
      <c r="Q54" s="561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562"/>
      <c r="Z54" s="201"/>
      <c r="AA54" s="202"/>
      <c r="AB54" s="558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91">
        <f>$I$7</f>
        <v>800</v>
      </c>
      <c r="C55" s="465" t="str">
        <f>$A$7</f>
        <v>BK</v>
      </c>
      <c r="D55" s="465"/>
      <c r="E55" s="465"/>
      <c r="F55" s="425"/>
      <c r="G55" s="423"/>
      <c r="H55" s="424"/>
      <c r="I55" s="207"/>
      <c r="J55" s="192"/>
      <c r="K55" s="193"/>
      <c r="L55" s="194" t="s">
        <v>65</v>
      </c>
      <c r="M55" s="195">
        <f t="shared" si="12"/>
        <v>0</v>
      </c>
      <c r="N55" s="233"/>
      <c r="O55" s="195"/>
      <c r="P55" s="194" t="s">
        <v>65</v>
      </c>
      <c r="Q55" s="436"/>
      <c r="R55" s="195"/>
      <c r="S55" s="194" t="s">
        <v>65</v>
      </c>
      <c r="T55" s="198">
        <f t="shared" si="3"/>
        <v>0</v>
      </c>
      <c r="U55" s="199"/>
      <c r="V55" s="200"/>
      <c r="W55" s="195"/>
      <c r="X55" s="195"/>
      <c r="Y55" s="438"/>
      <c r="Z55" s="201"/>
      <c r="AA55" s="202"/>
      <c r="AB55" s="440"/>
      <c r="AC55" s="234"/>
      <c r="AD55" s="230"/>
      <c r="AE55" s="230"/>
      <c r="AF55" s="230"/>
    </row>
    <row r="56" spans="1:32" s="55" customFormat="1" ht="69.95" customHeight="1" x14ac:dyDescent="0.15">
      <c r="A56" s="431" t="s">
        <v>100</v>
      </c>
      <c r="B56" s="182">
        <f t="shared" ref="B56:B62" si="13">$I$5</f>
        <v>791</v>
      </c>
      <c r="C56" s="368" t="str">
        <f t="shared" ref="C56:C62" si="14">$A$5</f>
        <v>BR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791</v>
      </c>
      <c r="N56" s="79"/>
      <c r="O56" s="78"/>
      <c r="P56" s="80" t="s">
        <v>63</v>
      </c>
      <c r="Q56" s="443">
        <v>46207</v>
      </c>
      <c r="R56" s="78">
        <v>791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476</v>
      </c>
    </row>
    <row r="57" spans="1:32" s="55" customFormat="1" ht="69.95" customHeight="1" x14ac:dyDescent="0.15">
      <c r="A57" s="559"/>
      <c r="B57" s="186">
        <f>$I$6</f>
        <v>697</v>
      </c>
      <c r="C57" s="395" t="str">
        <f>$A$6</f>
        <v>GR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697</v>
      </c>
      <c r="N57" s="140"/>
      <c r="O57" s="78"/>
      <c r="P57" s="80" t="s">
        <v>63</v>
      </c>
      <c r="Q57" s="447"/>
      <c r="R57" s="78">
        <v>697</v>
      </c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800</v>
      </c>
      <c r="C58" s="461" t="str">
        <f>$A$7</f>
        <v>BK</v>
      </c>
      <c r="D58" s="461"/>
      <c r="E58" s="461"/>
      <c r="F58" s="428"/>
      <c r="G58" s="369"/>
      <c r="H58" s="370"/>
      <c r="I58" s="442"/>
      <c r="J58" s="76"/>
      <c r="K58" s="139">
        <v>1</v>
      </c>
      <c r="L58" s="77" t="s">
        <v>63</v>
      </c>
      <c r="M58" s="78">
        <f t="shared" si="12"/>
        <v>800</v>
      </c>
      <c r="N58" s="140"/>
      <c r="O58" s="78"/>
      <c r="P58" s="80" t="s">
        <v>63</v>
      </c>
      <c r="Q58" s="447"/>
      <c r="R58" s="78">
        <v>800</v>
      </c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103</v>
      </c>
      <c r="B59" s="182">
        <f t="shared" ref="B59" si="15">$I$5</f>
        <v>791</v>
      </c>
      <c r="C59" s="368" t="str">
        <f t="shared" ref="C59" si="16">$A$5</f>
        <v>BR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791</v>
      </c>
      <c r="N59" s="79"/>
      <c r="O59" s="78"/>
      <c r="P59" s="80" t="s">
        <v>65</v>
      </c>
      <c r="Q59" s="447"/>
      <c r="R59" s="78">
        <v>791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697</v>
      </c>
      <c r="C60" s="368" t="str">
        <f>$A$6</f>
        <v>GR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697</v>
      </c>
      <c r="N60" s="140"/>
      <c r="O60" s="78"/>
      <c r="P60" s="80" t="s">
        <v>65</v>
      </c>
      <c r="Q60" s="447"/>
      <c r="R60" s="78">
        <v>697</v>
      </c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800</v>
      </c>
      <c r="C61" s="368" t="str">
        <f>$A$7</f>
        <v>BK</v>
      </c>
      <c r="D61" s="369"/>
      <c r="E61" s="370"/>
      <c r="F61" s="428"/>
      <c r="G61" s="429"/>
      <c r="H61" s="430"/>
      <c r="I61" s="75"/>
      <c r="J61" s="76"/>
      <c r="K61" s="139">
        <v>1</v>
      </c>
      <c r="L61" s="77" t="s">
        <v>65</v>
      </c>
      <c r="M61" s="78">
        <f t="shared" si="12"/>
        <v>800</v>
      </c>
      <c r="N61" s="140"/>
      <c r="O61" s="78"/>
      <c r="P61" s="80" t="s">
        <v>65</v>
      </c>
      <c r="Q61" s="444"/>
      <c r="R61" s="78">
        <v>800</v>
      </c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90</v>
      </c>
      <c r="B62" s="191">
        <f t="shared" si="13"/>
        <v>791</v>
      </c>
      <c r="C62" s="422" t="str">
        <f t="shared" si="14"/>
        <v>BR</v>
      </c>
      <c r="D62" s="423"/>
      <c r="E62" s="424"/>
      <c r="F62" s="425"/>
      <c r="G62" s="426"/>
      <c r="H62" s="427"/>
      <c r="I62" s="207" t="s">
        <v>79</v>
      </c>
      <c r="J62" s="192"/>
      <c r="K62" s="193"/>
      <c r="L62" s="194" t="s">
        <v>63</v>
      </c>
      <c r="M62" s="195">
        <f t="shared" si="12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</row>
    <row r="63" spans="1:32" s="55" customFormat="1" ht="69.95" customHeight="1" x14ac:dyDescent="0.15">
      <c r="A63" s="559"/>
      <c r="B63" s="204">
        <f>$I$6</f>
        <v>697</v>
      </c>
      <c r="C63" s="422" t="str">
        <f>$A$6</f>
        <v>GR</v>
      </c>
      <c r="D63" s="423"/>
      <c r="E63" s="424"/>
      <c r="F63" s="425"/>
      <c r="G63" s="426"/>
      <c r="H63" s="427"/>
      <c r="I63" s="207" t="s">
        <v>79</v>
      </c>
      <c r="J63" s="192"/>
      <c r="K63" s="193"/>
      <c r="L63" s="194" t="s">
        <v>63</v>
      </c>
      <c r="M63" s="195">
        <f t="shared" si="12"/>
        <v>0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0</v>
      </c>
      <c r="U63" s="199"/>
      <c r="V63" s="200"/>
      <c r="W63" s="195"/>
      <c r="X63" s="195"/>
      <c r="Y63" s="562"/>
      <c r="Z63" s="201"/>
      <c r="AA63" s="202"/>
      <c r="AB63" s="558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91">
        <f>$I$7</f>
        <v>800</v>
      </c>
      <c r="C64" s="465" t="str">
        <f>$A$7</f>
        <v>BK</v>
      </c>
      <c r="D64" s="465"/>
      <c r="E64" s="465"/>
      <c r="F64" s="425"/>
      <c r="G64" s="426"/>
      <c r="H64" s="427"/>
      <c r="I64" s="207" t="s">
        <v>79</v>
      </c>
      <c r="J64" s="192"/>
      <c r="K64" s="193"/>
      <c r="L64" s="194" t="s">
        <v>63</v>
      </c>
      <c r="M64" s="195">
        <f t="shared" si="12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142"/>
      <c r="AD64" s="179"/>
      <c r="AE64" s="179"/>
      <c r="AF64" s="179"/>
    </row>
    <row r="65" spans="1:32" s="55" customFormat="1" ht="69.95" customHeight="1" x14ac:dyDescent="0.15">
      <c r="A65" s="431" t="s">
        <v>364</v>
      </c>
      <c r="B65" s="182">
        <f t="shared" ref="B65" si="17">$I$5</f>
        <v>791</v>
      </c>
      <c r="C65" s="368" t="str">
        <f t="shared" ref="C65" si="18">$A$5</f>
        <v>BR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791</v>
      </c>
      <c r="N65" s="79"/>
      <c r="O65" s="78"/>
      <c r="P65" s="80" t="s">
        <v>63</v>
      </c>
      <c r="Q65" s="443"/>
      <c r="R65" s="78"/>
      <c r="S65" s="80" t="s">
        <v>63</v>
      </c>
      <c r="T65" s="84">
        <f t="shared" si="3"/>
        <v>-791</v>
      </c>
      <c r="U65" s="82"/>
      <c r="V65" s="82"/>
      <c r="W65" s="83"/>
      <c r="X65" s="81"/>
      <c r="Y65" s="445" t="s">
        <v>64</v>
      </c>
      <c r="Z65" s="86"/>
      <c r="AA65" s="85"/>
      <c r="AB65" s="586"/>
    </row>
    <row r="66" spans="1:32" s="55" customFormat="1" ht="69.95" customHeight="1" x14ac:dyDescent="0.15">
      <c r="A66" s="559"/>
      <c r="B66" s="186">
        <f>$I$6</f>
        <v>697</v>
      </c>
      <c r="C66" s="368" t="str">
        <f>$A$6</f>
        <v>GR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697</v>
      </c>
      <c r="N66" s="140"/>
      <c r="O66" s="78"/>
      <c r="P66" s="80" t="s">
        <v>63</v>
      </c>
      <c r="Q66" s="447"/>
      <c r="R66" s="78"/>
      <c r="S66" s="80" t="s">
        <v>63</v>
      </c>
      <c r="T66" s="81">
        <f t="shared" si="3"/>
        <v>-697</v>
      </c>
      <c r="U66" s="82"/>
      <c r="V66" s="137"/>
      <c r="W66" s="78"/>
      <c r="X66" s="78"/>
      <c r="Y66" s="557"/>
      <c r="Z66" s="141"/>
      <c r="AA66" s="135"/>
      <c r="AB66" s="587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800</v>
      </c>
      <c r="C67" s="456" t="str">
        <f>$A$7</f>
        <v>BK</v>
      </c>
      <c r="D67" s="456"/>
      <c r="E67" s="456"/>
      <c r="F67" s="428"/>
      <c r="G67" s="429"/>
      <c r="H67" s="430"/>
      <c r="I67" s="442"/>
      <c r="J67" s="76"/>
      <c r="K67" s="139">
        <v>1</v>
      </c>
      <c r="L67" s="77" t="s">
        <v>63</v>
      </c>
      <c r="M67" s="78">
        <f t="shared" si="12"/>
        <v>800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-800</v>
      </c>
      <c r="U67" s="82"/>
      <c r="V67" s="137"/>
      <c r="W67" s="78"/>
      <c r="X67" s="78"/>
      <c r="Y67" s="446"/>
      <c r="Z67" s="141"/>
      <c r="AA67" s="135"/>
      <c r="AB67" s="588"/>
      <c r="AC67" s="142"/>
      <c r="AD67" s="179"/>
      <c r="AE67" s="179"/>
      <c r="AF67" s="179"/>
    </row>
    <row r="68" spans="1:32" s="55" customFormat="1" ht="69.95" customHeight="1" x14ac:dyDescent="0.15">
      <c r="A68" s="431" t="s">
        <v>365</v>
      </c>
      <c r="B68" s="191">
        <f t="shared" ref="B68" si="19">$I$5</f>
        <v>791</v>
      </c>
      <c r="C68" s="422" t="str">
        <f t="shared" ref="C68" si="20">$A$5</f>
        <v>BR</v>
      </c>
      <c r="D68" s="423"/>
      <c r="E68" s="424"/>
      <c r="F68" s="425"/>
      <c r="G68" s="426"/>
      <c r="H68" s="427"/>
      <c r="I68" s="433" t="s">
        <v>102</v>
      </c>
      <c r="J68" s="192"/>
      <c r="K68" s="209">
        <v>0.56000000000000005</v>
      </c>
      <c r="L68" s="194" t="s">
        <v>129</v>
      </c>
      <c r="M68" s="195">
        <f t="shared" si="12"/>
        <v>442.96000000000004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3"/>
        <v>-442.96000000000004</v>
      </c>
      <c r="U68" s="199"/>
      <c r="V68" s="199"/>
      <c r="W68" s="208"/>
      <c r="X68" s="198"/>
      <c r="Y68" s="437" t="s">
        <v>130</v>
      </c>
      <c r="Z68" s="231"/>
      <c r="AA68" s="232"/>
      <c r="AB68" s="360"/>
    </row>
    <row r="69" spans="1:32" s="55" customFormat="1" ht="69.95" customHeight="1" x14ac:dyDescent="0.15">
      <c r="A69" s="559"/>
      <c r="B69" s="204">
        <f>$I$6</f>
        <v>697</v>
      </c>
      <c r="C69" s="422" t="str">
        <f>$A$6</f>
        <v>GR</v>
      </c>
      <c r="D69" s="423"/>
      <c r="E69" s="424"/>
      <c r="F69" s="425"/>
      <c r="G69" s="426"/>
      <c r="H69" s="427"/>
      <c r="I69" s="560"/>
      <c r="J69" s="192"/>
      <c r="K69" s="209">
        <v>0.56000000000000005</v>
      </c>
      <c r="L69" s="194" t="s">
        <v>129</v>
      </c>
      <c r="M69" s="195">
        <f t="shared" si="12"/>
        <v>390.32000000000005</v>
      </c>
      <c r="N69" s="233"/>
      <c r="O69" s="195"/>
      <c r="P69" s="197" t="s">
        <v>63</v>
      </c>
      <c r="Q69" s="561"/>
      <c r="R69" s="195"/>
      <c r="S69" s="197" t="s">
        <v>63</v>
      </c>
      <c r="T69" s="198">
        <f t="shared" si="3"/>
        <v>-390.32000000000005</v>
      </c>
      <c r="U69" s="199"/>
      <c r="V69" s="200"/>
      <c r="W69" s="195"/>
      <c r="X69" s="195"/>
      <c r="Y69" s="562"/>
      <c r="Z69" s="201"/>
      <c r="AA69" s="202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432"/>
      <c r="B70" s="191">
        <f>$I$7</f>
        <v>800</v>
      </c>
      <c r="C70" s="465" t="str">
        <f>$A$7</f>
        <v>BK</v>
      </c>
      <c r="D70" s="465"/>
      <c r="E70" s="465"/>
      <c r="F70" s="425"/>
      <c r="G70" s="426"/>
      <c r="H70" s="427"/>
      <c r="I70" s="434"/>
      <c r="J70" s="192"/>
      <c r="K70" s="209"/>
      <c r="L70" s="194" t="s">
        <v>129</v>
      </c>
      <c r="M70" s="195">
        <f t="shared" si="12"/>
        <v>0</v>
      </c>
      <c r="N70" s="233"/>
      <c r="O70" s="195"/>
      <c r="P70" s="197" t="s">
        <v>63</v>
      </c>
      <c r="Q70" s="436"/>
      <c r="R70" s="195"/>
      <c r="S70" s="197" t="s">
        <v>63</v>
      </c>
      <c r="T70" s="198">
        <f t="shared" si="3"/>
        <v>0</v>
      </c>
      <c r="U70" s="199"/>
      <c r="V70" s="200"/>
      <c r="W70" s="195"/>
      <c r="X70" s="195"/>
      <c r="Y70" s="438"/>
      <c r="Z70" s="201"/>
      <c r="AA70" s="202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431" t="s">
        <v>164</v>
      </c>
      <c r="B71" s="182">
        <f t="shared" ref="B71" si="21">$I$5</f>
        <v>791</v>
      </c>
      <c r="C71" s="368" t="str">
        <f t="shared" ref="C71" si="22">$A$5</f>
        <v>BR</v>
      </c>
      <c r="D71" s="369"/>
      <c r="E71" s="370"/>
      <c r="F71" s="428"/>
      <c r="G71" s="429"/>
      <c r="H71" s="430"/>
      <c r="I71" s="441" t="s">
        <v>372</v>
      </c>
      <c r="J71" s="76"/>
      <c r="K71" s="136">
        <v>0.52</v>
      </c>
      <c r="L71" s="77" t="s">
        <v>129</v>
      </c>
      <c r="M71" s="78">
        <f t="shared" si="12"/>
        <v>411.32</v>
      </c>
      <c r="N71" s="79"/>
      <c r="O71" s="78"/>
      <c r="P71" s="80" t="s">
        <v>63</v>
      </c>
      <c r="Q71" s="443">
        <v>46207</v>
      </c>
      <c r="R71" s="78">
        <v>450</v>
      </c>
      <c r="S71" s="80" t="s">
        <v>63</v>
      </c>
      <c r="T71" s="84">
        <f t="shared" si="3"/>
        <v>38.680000000000007</v>
      </c>
      <c r="U71" s="82"/>
      <c r="V71" s="82"/>
      <c r="W71" s="83"/>
      <c r="X71" s="81"/>
      <c r="Y71" s="445" t="s">
        <v>130</v>
      </c>
      <c r="Z71" s="86"/>
      <c r="AA71" s="85"/>
      <c r="AB71" s="360" t="s">
        <v>475</v>
      </c>
    </row>
    <row r="72" spans="1:32" s="55" customFormat="1" ht="69.95" customHeight="1" x14ac:dyDescent="0.15">
      <c r="A72" s="559"/>
      <c r="B72" s="186">
        <f>$I$6</f>
        <v>697</v>
      </c>
      <c r="C72" s="368" t="str">
        <f>$A$6</f>
        <v>GR</v>
      </c>
      <c r="D72" s="369"/>
      <c r="E72" s="370"/>
      <c r="F72" s="428"/>
      <c r="G72" s="429"/>
      <c r="H72" s="430"/>
      <c r="I72" s="563"/>
      <c r="J72" s="76"/>
      <c r="K72" s="136">
        <v>0.52</v>
      </c>
      <c r="L72" s="77" t="s">
        <v>129</v>
      </c>
      <c r="M72" s="78">
        <f t="shared" si="12"/>
        <v>362.44</v>
      </c>
      <c r="N72" s="140"/>
      <c r="O72" s="78"/>
      <c r="P72" s="80" t="s">
        <v>63</v>
      </c>
      <c r="Q72" s="447"/>
      <c r="R72" s="78">
        <v>450</v>
      </c>
      <c r="S72" s="80" t="s">
        <v>63</v>
      </c>
      <c r="T72" s="81">
        <f t="shared" si="3"/>
        <v>87.56</v>
      </c>
      <c r="U72" s="82"/>
      <c r="V72" s="137"/>
      <c r="W72" s="78"/>
      <c r="X72" s="78"/>
      <c r="Y72" s="557"/>
      <c r="Z72" s="141"/>
      <c r="AA72" s="135"/>
      <c r="AB72" s="361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82">
        <f>$I$7</f>
        <v>800</v>
      </c>
      <c r="C73" s="461" t="str">
        <f>$A$7</f>
        <v>BK</v>
      </c>
      <c r="D73" s="461"/>
      <c r="E73" s="461"/>
      <c r="F73" s="428"/>
      <c r="G73" s="429"/>
      <c r="H73" s="430"/>
      <c r="I73" s="442"/>
      <c r="J73" s="76"/>
      <c r="K73" s="136">
        <v>0.52</v>
      </c>
      <c r="L73" s="77" t="s">
        <v>129</v>
      </c>
      <c r="M73" s="78">
        <f t="shared" si="12"/>
        <v>416</v>
      </c>
      <c r="N73" s="140"/>
      <c r="O73" s="78"/>
      <c r="P73" s="80" t="s">
        <v>63</v>
      </c>
      <c r="Q73" s="444"/>
      <c r="R73" s="78">
        <v>450</v>
      </c>
      <c r="S73" s="80" t="s">
        <v>63</v>
      </c>
      <c r="T73" s="81">
        <f t="shared" si="3"/>
        <v>34</v>
      </c>
      <c r="U73" s="82"/>
      <c r="V73" s="137"/>
      <c r="W73" s="78"/>
      <c r="X73" s="78"/>
      <c r="Y73" s="446"/>
      <c r="Z73" s="141"/>
      <c r="AA73" s="135"/>
      <c r="AB73" s="362"/>
      <c r="AC73" s="142"/>
      <c r="AD73" s="179"/>
      <c r="AE73" s="179"/>
      <c r="AF73" s="179"/>
    </row>
    <row r="74" spans="1:32" s="206" customFormat="1" ht="69.95" customHeight="1" x14ac:dyDescent="0.15">
      <c r="A74" s="431" t="s">
        <v>373</v>
      </c>
      <c r="B74" s="182">
        <f t="shared" ref="B74" si="23">$I$5</f>
        <v>791</v>
      </c>
      <c r="C74" s="368" t="str">
        <f t="shared" ref="C74" si="24">$A$5</f>
        <v>BR</v>
      </c>
      <c r="D74" s="369"/>
      <c r="E74" s="370"/>
      <c r="F74" s="428"/>
      <c r="G74" s="429"/>
      <c r="H74" s="430"/>
      <c r="I74" s="441" t="s">
        <v>374</v>
      </c>
      <c r="J74" s="76"/>
      <c r="K74" s="136">
        <v>0.52</v>
      </c>
      <c r="L74" s="77" t="s">
        <v>63</v>
      </c>
      <c r="M74" s="78">
        <f t="shared" si="4"/>
        <v>411.32</v>
      </c>
      <c r="N74" s="79"/>
      <c r="O74" s="78"/>
      <c r="P74" s="80" t="s">
        <v>63</v>
      </c>
      <c r="Q74" s="443">
        <v>46207</v>
      </c>
      <c r="R74" s="78">
        <v>450</v>
      </c>
      <c r="S74" s="80" t="s">
        <v>63</v>
      </c>
      <c r="T74" s="84">
        <f t="shared" si="3"/>
        <v>38.680000000000007</v>
      </c>
      <c r="U74" s="82"/>
      <c r="V74" s="82"/>
      <c r="W74" s="83"/>
      <c r="X74" s="81"/>
      <c r="Y74" s="445" t="s">
        <v>130</v>
      </c>
      <c r="Z74" s="86"/>
      <c r="AA74" s="85"/>
      <c r="AB74" s="360" t="s">
        <v>475</v>
      </c>
    </row>
    <row r="75" spans="1:32" s="206" customFormat="1" ht="69.95" customHeight="1" x14ac:dyDescent="0.15">
      <c r="A75" s="559"/>
      <c r="B75" s="186">
        <f>$I$6</f>
        <v>697</v>
      </c>
      <c r="C75" s="368" t="str">
        <f>$A$6</f>
        <v>GR</v>
      </c>
      <c r="D75" s="369"/>
      <c r="E75" s="370"/>
      <c r="F75" s="428"/>
      <c r="G75" s="429"/>
      <c r="H75" s="430"/>
      <c r="I75" s="563"/>
      <c r="J75" s="76"/>
      <c r="K75" s="136">
        <v>0.52</v>
      </c>
      <c r="L75" s="77" t="s">
        <v>63</v>
      </c>
      <c r="M75" s="78">
        <f t="shared" si="4"/>
        <v>362.44</v>
      </c>
      <c r="N75" s="140"/>
      <c r="O75" s="78"/>
      <c r="P75" s="80" t="s">
        <v>63</v>
      </c>
      <c r="Q75" s="447"/>
      <c r="R75" s="78">
        <v>450</v>
      </c>
      <c r="S75" s="80" t="s">
        <v>63</v>
      </c>
      <c r="T75" s="81">
        <f t="shared" si="3"/>
        <v>87.56</v>
      </c>
      <c r="U75" s="82"/>
      <c r="V75" s="137"/>
      <c r="W75" s="78"/>
      <c r="X75" s="78"/>
      <c r="Y75" s="557"/>
      <c r="Z75" s="141"/>
      <c r="AA75" s="135"/>
      <c r="AB75" s="361"/>
      <c r="AC75" s="234"/>
      <c r="AD75" s="230"/>
      <c r="AE75" s="230"/>
      <c r="AF75" s="230"/>
    </row>
    <row r="76" spans="1:32" s="206" customFormat="1" ht="69.95" customHeight="1" x14ac:dyDescent="0.15">
      <c r="A76" s="432"/>
      <c r="B76" s="182">
        <f>$I$7</f>
        <v>800</v>
      </c>
      <c r="C76" s="461" t="str">
        <f>$A$7</f>
        <v>BK</v>
      </c>
      <c r="D76" s="461"/>
      <c r="E76" s="461"/>
      <c r="F76" s="428"/>
      <c r="G76" s="429"/>
      <c r="H76" s="430"/>
      <c r="I76" s="442"/>
      <c r="J76" s="76"/>
      <c r="K76" s="136">
        <v>0.52</v>
      </c>
      <c r="L76" s="77" t="s">
        <v>63</v>
      </c>
      <c r="M76" s="78">
        <f t="shared" si="4"/>
        <v>416</v>
      </c>
      <c r="N76" s="140"/>
      <c r="O76" s="78"/>
      <c r="P76" s="80" t="s">
        <v>63</v>
      </c>
      <c r="Q76" s="444"/>
      <c r="R76" s="78">
        <v>450</v>
      </c>
      <c r="S76" s="80" t="s">
        <v>63</v>
      </c>
      <c r="T76" s="81">
        <f t="shared" si="3"/>
        <v>34</v>
      </c>
      <c r="U76" s="82"/>
      <c r="V76" s="137"/>
      <c r="W76" s="78"/>
      <c r="X76" s="78"/>
      <c r="Y76" s="446"/>
      <c r="Z76" s="141"/>
      <c r="AA76" s="135"/>
      <c r="AB76" s="362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918</v>
      </c>
      <c r="C77" s="407" t="e">
        <f>#REF!</f>
        <v>#REF!</v>
      </c>
      <c r="D77" s="408"/>
      <c r="E77" s="409"/>
      <c r="F77" s="371"/>
      <c r="G77" s="372"/>
      <c r="H77" s="373"/>
      <c r="I77" s="614" t="s">
        <v>358</v>
      </c>
      <c r="J77" s="255"/>
      <c r="K77" s="263">
        <v>1</v>
      </c>
      <c r="L77" s="168" t="s">
        <v>63</v>
      </c>
      <c r="M77" s="169">
        <f t="shared" si="4"/>
        <v>918</v>
      </c>
      <c r="N77" s="171"/>
      <c r="O77" s="277"/>
      <c r="P77" s="169" t="s">
        <v>63</v>
      </c>
      <c r="Q77" s="376">
        <v>46221</v>
      </c>
      <c r="R77" s="277">
        <v>918</v>
      </c>
      <c r="S77" s="169" t="s">
        <v>63</v>
      </c>
      <c r="T77" s="278">
        <f t="shared" si="3"/>
        <v>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485</v>
      </c>
    </row>
    <row r="78" spans="1:32" s="176" customFormat="1" ht="54.95" customHeight="1" x14ac:dyDescent="0.15">
      <c r="A78" s="387"/>
      <c r="B78" s="164">
        <f>D11</f>
        <v>1030</v>
      </c>
      <c r="C78" s="410"/>
      <c r="D78" s="411"/>
      <c r="E78" s="412"/>
      <c r="F78" s="371"/>
      <c r="G78" s="372"/>
      <c r="H78" s="373"/>
      <c r="I78" s="615"/>
      <c r="J78" s="255"/>
      <c r="K78" s="167">
        <v>1</v>
      </c>
      <c r="L78" s="168" t="s">
        <v>63</v>
      </c>
      <c r="M78" s="169">
        <f t="shared" si="4"/>
        <v>1030</v>
      </c>
      <c r="N78" s="171"/>
      <c r="O78" s="277"/>
      <c r="P78" s="169" t="s">
        <v>63</v>
      </c>
      <c r="Q78" s="377"/>
      <c r="R78" s="277">
        <v>1030</v>
      </c>
      <c r="S78" s="169" t="s">
        <v>63</v>
      </c>
      <c r="T78" s="278">
        <f t="shared" si="3"/>
        <v>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340</v>
      </c>
      <c r="C79" s="410"/>
      <c r="D79" s="411"/>
      <c r="E79" s="412"/>
      <c r="F79" s="371"/>
      <c r="G79" s="372"/>
      <c r="H79" s="373"/>
      <c r="I79" s="615"/>
      <c r="J79" s="255"/>
      <c r="K79" s="167">
        <v>1</v>
      </c>
      <c r="L79" s="168" t="s">
        <v>63</v>
      </c>
      <c r="M79" s="169">
        <f t="shared" si="4"/>
        <v>340</v>
      </c>
      <c r="N79" s="171"/>
      <c r="O79" s="277"/>
      <c r="P79" s="169" t="s">
        <v>63</v>
      </c>
      <c r="Q79" s="377"/>
      <c r="R79" s="277">
        <v>340</v>
      </c>
      <c r="S79" s="169" t="s">
        <v>63</v>
      </c>
      <c r="T79" s="278">
        <f t="shared" si="3"/>
        <v>0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/>
      <c r="G80" s="372"/>
      <c r="H80" s="373"/>
      <c r="I80" s="615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/>
      <c r="G81" s="372"/>
      <c r="H81" s="373"/>
      <c r="I81" s="61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68</v>
      </c>
      <c r="B82" s="164">
        <f>C5+C8</f>
        <v>311</v>
      </c>
      <c r="C82" s="456" t="str">
        <f>A5</f>
        <v>BR</v>
      </c>
      <c r="D82" s="456"/>
      <c r="E82" s="456"/>
      <c r="F82" s="371"/>
      <c r="G82" s="372"/>
      <c r="H82" s="373"/>
      <c r="I82" s="614" t="s">
        <v>369</v>
      </c>
      <c r="J82" s="276"/>
      <c r="K82" s="167">
        <v>1</v>
      </c>
      <c r="L82" s="168" t="s">
        <v>63</v>
      </c>
      <c r="M82" s="169">
        <f t="shared" si="4"/>
        <v>311</v>
      </c>
      <c r="N82" s="171"/>
      <c r="O82" s="277"/>
      <c r="P82" s="169" t="s">
        <v>63</v>
      </c>
      <c r="Q82" s="376">
        <v>46221</v>
      </c>
      <c r="R82" s="277">
        <v>311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485</v>
      </c>
    </row>
    <row r="83" spans="1:28" s="176" customFormat="1" ht="54.95" customHeight="1" x14ac:dyDescent="0.15">
      <c r="A83" s="387"/>
      <c r="B83" s="164">
        <f>D5+D8</f>
        <v>360</v>
      </c>
      <c r="C83" s="456"/>
      <c r="D83" s="456"/>
      <c r="E83" s="456"/>
      <c r="F83" s="371"/>
      <c r="G83" s="372"/>
      <c r="H83" s="373"/>
      <c r="I83" s="615"/>
      <c r="J83" s="276"/>
      <c r="K83" s="167">
        <v>1</v>
      </c>
      <c r="L83" s="168" t="s">
        <v>63</v>
      </c>
      <c r="M83" s="169">
        <f t="shared" si="4"/>
        <v>360</v>
      </c>
      <c r="N83" s="171"/>
      <c r="O83" s="277"/>
      <c r="P83" s="169" t="s">
        <v>63</v>
      </c>
      <c r="Q83" s="377"/>
      <c r="R83" s="277">
        <v>360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120</v>
      </c>
      <c r="C84" s="456"/>
      <c r="D84" s="456"/>
      <c r="E84" s="456"/>
      <c r="F84" s="371"/>
      <c r="G84" s="372"/>
      <c r="H84" s="373"/>
      <c r="I84" s="615"/>
      <c r="J84" s="276"/>
      <c r="K84" s="167">
        <v>1</v>
      </c>
      <c r="L84" s="168" t="s">
        <v>63</v>
      </c>
      <c r="M84" s="169">
        <f t="shared" si="4"/>
        <v>120</v>
      </c>
      <c r="N84" s="171"/>
      <c r="O84" s="277"/>
      <c r="P84" s="169" t="s">
        <v>63</v>
      </c>
      <c r="Q84" s="377"/>
      <c r="R84" s="277">
        <v>120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287</v>
      </c>
      <c r="C85" s="456" t="str">
        <f>A6</f>
        <v>GR</v>
      </c>
      <c r="D85" s="456"/>
      <c r="E85" s="456"/>
      <c r="F85" s="371"/>
      <c r="G85" s="372"/>
      <c r="H85" s="373"/>
      <c r="I85" s="615"/>
      <c r="J85" s="276"/>
      <c r="K85" s="167">
        <v>1</v>
      </c>
      <c r="L85" s="168" t="s">
        <v>63</v>
      </c>
      <c r="M85" s="169">
        <f t="shared" si="4"/>
        <v>287</v>
      </c>
      <c r="N85" s="171"/>
      <c r="O85" s="277"/>
      <c r="P85" s="169" t="s">
        <v>63</v>
      </c>
      <c r="Q85" s="377"/>
      <c r="R85" s="168">
        <v>287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310</v>
      </c>
      <c r="C86" s="456"/>
      <c r="D86" s="456"/>
      <c r="E86" s="456"/>
      <c r="F86" s="371"/>
      <c r="G86" s="372"/>
      <c r="H86" s="373"/>
      <c r="I86" s="615"/>
      <c r="J86" s="276"/>
      <c r="K86" s="167">
        <v>1</v>
      </c>
      <c r="L86" s="168" t="s">
        <v>63</v>
      </c>
      <c r="M86" s="169">
        <f t="shared" ref="M86:M106" si="25">K86*B86</f>
        <v>310</v>
      </c>
      <c r="N86" s="171"/>
      <c r="O86" s="277"/>
      <c r="P86" s="169" t="s">
        <v>63</v>
      </c>
      <c r="Q86" s="377"/>
      <c r="R86" s="168">
        <v>310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100</v>
      </c>
      <c r="C87" s="456"/>
      <c r="D87" s="456"/>
      <c r="E87" s="456"/>
      <c r="F87" s="371"/>
      <c r="G87" s="372"/>
      <c r="H87" s="373"/>
      <c r="I87" s="615"/>
      <c r="J87" s="276"/>
      <c r="K87" s="167">
        <v>1</v>
      </c>
      <c r="L87" s="168" t="s">
        <v>63</v>
      </c>
      <c r="M87" s="169">
        <f t="shared" si="25"/>
        <v>100</v>
      </c>
      <c r="N87" s="171"/>
      <c r="O87" s="277"/>
      <c r="P87" s="169" t="s">
        <v>63</v>
      </c>
      <c r="Q87" s="377"/>
      <c r="R87" s="277">
        <v>100</v>
      </c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320</v>
      </c>
      <c r="C88" s="456" t="str">
        <f>A7</f>
        <v>BK</v>
      </c>
      <c r="D88" s="456"/>
      <c r="E88" s="456"/>
      <c r="F88" s="371"/>
      <c r="G88" s="372"/>
      <c r="H88" s="373"/>
      <c r="I88" s="615"/>
      <c r="J88" s="276"/>
      <c r="K88" s="167">
        <v>1</v>
      </c>
      <c r="L88" s="168" t="s">
        <v>63</v>
      </c>
      <c r="M88" s="169">
        <f t="shared" si="25"/>
        <v>320</v>
      </c>
      <c r="N88" s="171"/>
      <c r="O88" s="277"/>
      <c r="P88" s="169" t="s">
        <v>63</v>
      </c>
      <c r="Q88" s="377"/>
      <c r="R88" s="277">
        <v>320</v>
      </c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360</v>
      </c>
      <c r="C89" s="456"/>
      <c r="D89" s="456"/>
      <c r="E89" s="456"/>
      <c r="F89" s="371"/>
      <c r="G89" s="372"/>
      <c r="H89" s="373"/>
      <c r="I89" s="615"/>
      <c r="J89" s="276"/>
      <c r="K89" s="167">
        <v>1</v>
      </c>
      <c r="L89" s="168" t="s">
        <v>63</v>
      </c>
      <c r="M89" s="169">
        <f t="shared" si="25"/>
        <v>360</v>
      </c>
      <c r="N89" s="171"/>
      <c r="O89" s="277"/>
      <c r="P89" s="169" t="s">
        <v>63</v>
      </c>
      <c r="Q89" s="377"/>
      <c r="R89" s="277">
        <v>360</v>
      </c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120</v>
      </c>
      <c r="C90" s="456"/>
      <c r="D90" s="456"/>
      <c r="E90" s="456"/>
      <c r="F90" s="371"/>
      <c r="G90" s="372"/>
      <c r="H90" s="373"/>
      <c r="I90" s="616"/>
      <c r="J90" s="276"/>
      <c r="K90" s="167">
        <v>1</v>
      </c>
      <c r="L90" s="168" t="s">
        <v>63</v>
      </c>
      <c r="M90" s="169">
        <f t="shared" si="25"/>
        <v>120</v>
      </c>
      <c r="N90" s="171"/>
      <c r="O90" s="277"/>
      <c r="P90" s="169" t="s">
        <v>63</v>
      </c>
      <c r="Q90" s="378"/>
      <c r="R90" s="168">
        <v>120</v>
      </c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311</v>
      </c>
      <c r="C91" s="456" t="str">
        <f>A5</f>
        <v>BR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311</v>
      </c>
      <c r="N91" s="171"/>
      <c r="O91" s="277"/>
      <c r="P91" s="169" t="s">
        <v>63</v>
      </c>
      <c r="Q91" s="376"/>
      <c r="R91" s="277"/>
      <c r="S91" s="169" t="s">
        <v>63</v>
      </c>
      <c r="T91" s="278">
        <f t="shared" si="3"/>
        <v>-311</v>
      </c>
      <c r="U91" s="281"/>
      <c r="V91" s="282"/>
      <c r="W91" s="278"/>
      <c r="X91" s="278"/>
      <c r="Y91" s="374" t="s">
        <v>67</v>
      </c>
      <c r="Z91" s="374"/>
      <c r="AA91" s="374"/>
      <c r="AB91" s="404"/>
    </row>
    <row r="92" spans="1:28" s="176" customFormat="1" ht="54.95" customHeight="1" x14ac:dyDescent="0.15">
      <c r="A92" s="387"/>
      <c r="B92" s="164">
        <f>D5</f>
        <v>360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360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 t="shared" si="3"/>
        <v>-360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120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120</v>
      </c>
      <c r="N93" s="171"/>
      <c r="O93" s="277"/>
      <c r="P93" s="169" t="s">
        <v>63</v>
      </c>
      <c r="Q93" s="377"/>
      <c r="R93" s="277"/>
      <c r="S93" s="169" t="s">
        <v>63</v>
      </c>
      <c r="T93" s="278">
        <f t="shared" si="3"/>
        <v>-120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287</v>
      </c>
      <c r="C94" s="456" t="str">
        <f>A6</f>
        <v>GR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287</v>
      </c>
      <c r="N94" s="171"/>
      <c r="O94" s="277"/>
      <c r="P94" s="169" t="s">
        <v>63</v>
      </c>
      <c r="Q94" s="377"/>
      <c r="R94" s="168"/>
      <c r="S94" s="169" t="s">
        <v>63</v>
      </c>
      <c r="T94" s="278">
        <f t="shared" si="3"/>
        <v>-287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310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310</v>
      </c>
      <c r="N95" s="171"/>
      <c r="O95" s="277"/>
      <c r="P95" s="169" t="s">
        <v>63</v>
      </c>
      <c r="Q95" s="377"/>
      <c r="R95" s="168"/>
      <c r="S95" s="169" t="s">
        <v>63</v>
      </c>
      <c r="T95" s="278">
        <f t="shared" si="3"/>
        <v>-310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100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100</v>
      </c>
      <c r="N96" s="171"/>
      <c r="O96" s="277"/>
      <c r="P96" s="169" t="s">
        <v>63</v>
      </c>
      <c r="Q96" s="377"/>
      <c r="R96" s="277"/>
      <c r="S96" s="169" t="s">
        <v>63</v>
      </c>
      <c r="T96" s="278">
        <f t="shared" si="3"/>
        <v>-100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320</v>
      </c>
      <c r="C97" s="456" t="str">
        <f>A7</f>
        <v>BK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320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-320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360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360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-360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120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120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-120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918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918</v>
      </c>
      <c r="N100" s="89"/>
      <c r="O100" s="153"/>
      <c r="P100" s="88" t="s">
        <v>63</v>
      </c>
      <c r="Q100" s="398">
        <v>46221</v>
      </c>
      <c r="R100" s="93">
        <v>918</v>
      </c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485</v>
      </c>
    </row>
    <row r="101" spans="1:28" s="55" customFormat="1" ht="54.95" customHeight="1" x14ac:dyDescent="0.15">
      <c r="A101" s="387"/>
      <c r="B101" s="87">
        <f>D11</f>
        <v>1030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1030</v>
      </c>
      <c r="N101" s="89"/>
      <c r="O101" s="153"/>
      <c r="P101" s="88" t="s">
        <v>63</v>
      </c>
      <c r="Q101" s="399"/>
      <c r="R101" s="93">
        <v>1030</v>
      </c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340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340</v>
      </c>
      <c r="N102" s="89"/>
      <c r="O102" s="153"/>
      <c r="P102" s="88" t="s">
        <v>63</v>
      </c>
      <c r="Q102" s="399"/>
      <c r="R102" s="93">
        <v>340</v>
      </c>
      <c r="S102" s="88" t="s">
        <v>63</v>
      </c>
      <c r="T102" s="154">
        <f t="shared" si="3"/>
        <v>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2288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2288</v>
      </c>
      <c r="N104" s="170"/>
      <c r="O104" s="170"/>
      <c r="P104" s="169" t="s">
        <v>63</v>
      </c>
      <c r="Q104" s="363">
        <v>46221</v>
      </c>
      <c r="R104" s="165">
        <v>2288</v>
      </c>
      <c r="S104" s="169" t="s">
        <v>63</v>
      </c>
      <c r="T104" s="154">
        <f t="shared" si="3"/>
        <v>0</v>
      </c>
      <c r="U104" s="170"/>
      <c r="V104" s="172"/>
      <c r="W104" s="172"/>
      <c r="X104" s="172"/>
      <c r="Y104" s="374" t="s">
        <v>72</v>
      </c>
      <c r="Z104" s="380"/>
      <c r="AA104" s="383"/>
      <c r="AB104" s="586" t="s">
        <v>485</v>
      </c>
    </row>
    <row r="105" spans="1:28" s="55" customFormat="1" ht="54.95" customHeight="1" x14ac:dyDescent="0.15">
      <c r="A105" s="163" t="s">
        <v>81</v>
      </c>
      <c r="B105" s="87">
        <f>I11</f>
        <v>2288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2288</v>
      </c>
      <c r="N105" s="91"/>
      <c r="O105" s="91"/>
      <c r="P105" s="169" t="s">
        <v>63</v>
      </c>
      <c r="Q105" s="364"/>
      <c r="R105" s="165">
        <v>2288</v>
      </c>
      <c r="S105" s="169" t="s">
        <v>63</v>
      </c>
      <c r="T105" s="154">
        <f t="shared" si="3"/>
        <v>0</v>
      </c>
      <c r="U105" s="91"/>
      <c r="V105" s="91"/>
      <c r="W105" s="91"/>
      <c r="X105" s="91"/>
      <c r="Y105" s="375"/>
      <c r="Z105" s="381"/>
      <c r="AA105" s="384"/>
      <c r="AB105" s="587"/>
    </row>
    <row r="106" spans="1:28" s="55" customFormat="1" ht="54.95" customHeight="1" x14ac:dyDescent="0.15">
      <c r="A106" s="284" t="s">
        <v>160</v>
      </c>
      <c r="B106" s="87">
        <f>I11</f>
        <v>2288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2288</v>
      </c>
      <c r="N106" s="91"/>
      <c r="O106" s="91"/>
      <c r="P106" s="89" t="s">
        <v>63</v>
      </c>
      <c r="Q106" s="365"/>
      <c r="R106" s="93">
        <v>2288</v>
      </c>
      <c r="S106" s="89" t="s">
        <v>63</v>
      </c>
      <c r="T106" s="154">
        <f t="shared" si="3"/>
        <v>0</v>
      </c>
      <c r="U106" s="91"/>
      <c r="V106" s="91"/>
      <c r="W106" s="91"/>
      <c r="X106" s="91"/>
      <c r="Y106" s="379"/>
      <c r="Z106" s="382"/>
      <c r="AA106" s="385"/>
      <c r="AB106" s="588"/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5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5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11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"/>
      <c r="AC118" s="1"/>
    </row>
  </sheetData>
  <mergeCells count="371">
    <mergeCell ref="B108:C108"/>
    <mergeCell ref="F108:H108"/>
    <mergeCell ref="I15:I16"/>
    <mergeCell ref="AB104:AB106"/>
    <mergeCell ref="C105:E105"/>
    <mergeCell ref="F105:H105"/>
    <mergeCell ref="C106:E106"/>
    <mergeCell ref="F106:H106"/>
    <mergeCell ref="B107:C107"/>
    <mergeCell ref="C104:E104"/>
    <mergeCell ref="F104:H104"/>
    <mergeCell ref="Q104:Q106"/>
    <mergeCell ref="Y104:Y106"/>
    <mergeCell ref="Z104:Z106"/>
    <mergeCell ref="AA104:AA106"/>
    <mergeCell ref="Z100:Z103"/>
    <mergeCell ref="AA100:AA103"/>
    <mergeCell ref="AB100:AB103"/>
    <mergeCell ref="F101:H101"/>
    <mergeCell ref="F102:H102"/>
    <mergeCell ref="F103:H103"/>
    <mergeCell ref="AA96:AA99"/>
    <mergeCell ref="C97:E99"/>
    <mergeCell ref="F97:H97"/>
    <mergeCell ref="F98:H98"/>
    <mergeCell ref="F99:H99"/>
    <mergeCell ref="A100:A103"/>
    <mergeCell ref="C100:E103"/>
    <mergeCell ref="F100:H100"/>
    <mergeCell ref="Q100:Q103"/>
    <mergeCell ref="Y100:Y103"/>
    <mergeCell ref="AA91:AA95"/>
    <mergeCell ref="AB91:AB99"/>
    <mergeCell ref="F92:H92"/>
    <mergeCell ref="F93:H93"/>
    <mergeCell ref="C94:E96"/>
    <mergeCell ref="F94:H94"/>
    <mergeCell ref="F95:H95"/>
    <mergeCell ref="F96:H96"/>
    <mergeCell ref="Y96:Y99"/>
    <mergeCell ref="Z96:Z99"/>
    <mergeCell ref="A91:A99"/>
    <mergeCell ref="C91:E93"/>
    <mergeCell ref="F91:H91"/>
    <mergeCell ref="Q91:Q99"/>
    <mergeCell ref="Y91:Y95"/>
    <mergeCell ref="Z91:Z95"/>
    <mergeCell ref="Z82:Z90"/>
    <mergeCell ref="AA82:AA90"/>
    <mergeCell ref="AB82:AB90"/>
    <mergeCell ref="F83:H83"/>
    <mergeCell ref="F84:H84"/>
    <mergeCell ref="C85:E87"/>
    <mergeCell ref="F85:H85"/>
    <mergeCell ref="F86:H86"/>
    <mergeCell ref="F87:H87"/>
    <mergeCell ref="C88:E90"/>
    <mergeCell ref="A82:A90"/>
    <mergeCell ref="C82:E84"/>
    <mergeCell ref="F82:H82"/>
    <mergeCell ref="I82:I90"/>
    <mergeCell ref="Q82:Q90"/>
    <mergeCell ref="Y82:Y90"/>
    <mergeCell ref="F88:H88"/>
    <mergeCell ref="F89:H89"/>
    <mergeCell ref="F90:H90"/>
    <mergeCell ref="Z77:Z81"/>
    <mergeCell ref="AA77:AA81"/>
    <mergeCell ref="AB77:AB81"/>
    <mergeCell ref="F78:H78"/>
    <mergeCell ref="F79:H79"/>
    <mergeCell ref="F80:H80"/>
    <mergeCell ref="F81:H81"/>
    <mergeCell ref="A77:A81"/>
    <mergeCell ref="C77:E81"/>
    <mergeCell ref="F77:H77"/>
    <mergeCell ref="I77:I81"/>
    <mergeCell ref="Q77:Q81"/>
    <mergeCell ref="Y77:Y81"/>
    <mergeCell ref="Y74:Y76"/>
    <mergeCell ref="AB74:AB76"/>
    <mergeCell ref="C75:E75"/>
    <mergeCell ref="F75:H75"/>
    <mergeCell ref="C76:E76"/>
    <mergeCell ref="F76:H76"/>
    <mergeCell ref="AB71:AB73"/>
    <mergeCell ref="C72:E72"/>
    <mergeCell ref="F72:H72"/>
    <mergeCell ref="C73:E73"/>
    <mergeCell ref="F73:H73"/>
    <mergeCell ref="Y71:Y73"/>
    <mergeCell ref="A74:A76"/>
    <mergeCell ref="C74:E74"/>
    <mergeCell ref="F74:H74"/>
    <mergeCell ref="I74:I76"/>
    <mergeCell ref="Q74:Q76"/>
    <mergeCell ref="A71:A73"/>
    <mergeCell ref="C71:E71"/>
    <mergeCell ref="F71:H71"/>
    <mergeCell ref="I71:I73"/>
    <mergeCell ref="Q71:Q73"/>
    <mergeCell ref="Y68:Y70"/>
    <mergeCell ref="AB68:AB70"/>
    <mergeCell ref="C69:E69"/>
    <mergeCell ref="F69:H69"/>
    <mergeCell ref="C70:E70"/>
    <mergeCell ref="F70:H70"/>
    <mergeCell ref="AB65:AB67"/>
    <mergeCell ref="C66:E66"/>
    <mergeCell ref="F66:H66"/>
    <mergeCell ref="C67:E67"/>
    <mergeCell ref="F67:H67"/>
    <mergeCell ref="Y65:Y67"/>
    <mergeCell ref="A68:A70"/>
    <mergeCell ref="C68:E68"/>
    <mergeCell ref="F68:H68"/>
    <mergeCell ref="I68:I70"/>
    <mergeCell ref="Q68:Q70"/>
    <mergeCell ref="A65:A67"/>
    <mergeCell ref="C65:E65"/>
    <mergeCell ref="F65:H65"/>
    <mergeCell ref="I65:I67"/>
    <mergeCell ref="Q65:Q67"/>
    <mergeCell ref="A62:A64"/>
    <mergeCell ref="C62:E62"/>
    <mergeCell ref="F62:H62"/>
    <mergeCell ref="Q62:Q64"/>
    <mergeCell ref="Y62:Y64"/>
    <mergeCell ref="AB62:AB64"/>
    <mergeCell ref="C63:E63"/>
    <mergeCell ref="F63:H63"/>
    <mergeCell ref="C64:E64"/>
    <mergeCell ref="F64:H64"/>
    <mergeCell ref="A59:A61"/>
    <mergeCell ref="C59:E59"/>
    <mergeCell ref="F59:H59"/>
    <mergeCell ref="Y59:Y61"/>
    <mergeCell ref="C60:E60"/>
    <mergeCell ref="F60:H60"/>
    <mergeCell ref="C61:E61"/>
    <mergeCell ref="F61:H61"/>
    <mergeCell ref="Y56:Y58"/>
    <mergeCell ref="A56:A58"/>
    <mergeCell ref="AB56:AB61"/>
    <mergeCell ref="C57:E57"/>
    <mergeCell ref="F57:H57"/>
    <mergeCell ref="C58:E58"/>
    <mergeCell ref="F58:H58"/>
    <mergeCell ref="AB53:AB55"/>
    <mergeCell ref="C54:E54"/>
    <mergeCell ref="F54:H54"/>
    <mergeCell ref="C55:E55"/>
    <mergeCell ref="F55:H55"/>
    <mergeCell ref="C56:E56"/>
    <mergeCell ref="F56:H56"/>
    <mergeCell ref="I56:I58"/>
    <mergeCell ref="Q56:Q61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C49:E49"/>
    <mergeCell ref="F49:H49"/>
    <mergeCell ref="A50:A52"/>
    <mergeCell ref="C50:E50"/>
    <mergeCell ref="F50:H50"/>
    <mergeCell ref="I50:I52"/>
    <mergeCell ref="Y50:Y52"/>
    <mergeCell ref="C51:E51"/>
    <mergeCell ref="A44:A46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F51:H51"/>
    <mergeCell ref="AC51:AF51"/>
    <mergeCell ref="C52:E52"/>
    <mergeCell ref="F52:H52"/>
    <mergeCell ref="AC52:AF52"/>
    <mergeCell ref="AC48:AF48"/>
    <mergeCell ref="AC49:AF49"/>
    <mergeCell ref="C44:E44"/>
    <mergeCell ref="F44:H44"/>
    <mergeCell ref="I44:I46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Y15:Y17"/>
    <mergeCell ref="AB15:AB17"/>
    <mergeCell ref="Q15:Q17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F271-ECC8-4C6C-8E0A-DEBB886D8DB8}">
  <sheetPr>
    <pageSetUpPr fitToPage="1"/>
  </sheetPr>
  <dimension ref="A1:AF92"/>
  <sheetViews>
    <sheetView view="pageBreakPreview" topLeftCell="A31" zoomScale="75" zoomScaleNormal="100" zoomScaleSheetLayoutView="75" workbookViewId="0">
      <selection activeCell="P19" sqref="P19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375</v>
      </c>
      <c r="C2" s="548"/>
      <c r="D2" s="548"/>
      <c r="E2" s="548"/>
      <c r="F2" s="548"/>
      <c r="G2" s="549"/>
      <c r="H2" s="180" t="s">
        <v>1</v>
      </c>
      <c r="I2" s="550">
        <f>I11</f>
        <v>584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295</v>
      </c>
      <c r="B5" s="480"/>
      <c r="C5" s="182">
        <v>270</v>
      </c>
      <c r="D5" s="182">
        <v>250</v>
      </c>
      <c r="E5" s="182">
        <v>64</v>
      </c>
      <c r="F5" s="182"/>
      <c r="G5" s="182"/>
      <c r="H5" s="542" t="s">
        <v>24</v>
      </c>
      <c r="I5" s="524">
        <f t="shared" ref="I5:I11" si="0">SUM(C5:G5)</f>
        <v>584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46190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92"/>
      <c r="L9" s="291"/>
      <c r="M9" s="295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270</v>
      </c>
      <c r="D11" s="181">
        <f>SUM(D5:D10)</f>
        <v>250</v>
      </c>
      <c r="E11" s="181">
        <f>SUM(E5:E10)</f>
        <v>64</v>
      </c>
      <c r="F11" s="181">
        <f>SUM(F5:F10)</f>
        <v>0</v>
      </c>
      <c r="G11" s="181">
        <f>SUM(G5:G10)</f>
        <v>0</v>
      </c>
      <c r="H11" s="182"/>
      <c r="I11" s="481">
        <f t="shared" si="0"/>
        <v>584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46311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275.39999999999998</v>
      </c>
      <c r="D12" s="43">
        <f>D11*1.02</f>
        <v>255</v>
      </c>
      <c r="E12" s="43">
        <f>E11*1.02</f>
        <v>65.28</v>
      </c>
      <c r="F12" s="43">
        <f>F11*1.02</f>
        <v>0</v>
      </c>
      <c r="G12" s="43">
        <f>G11*1.02</f>
        <v>0</v>
      </c>
      <c r="H12" s="44"/>
      <c r="I12" s="486">
        <f>I11*1.02</f>
        <v>595.68000000000006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5" si="1">$I$5</f>
        <v>584</v>
      </c>
      <c r="C15" s="474" t="str">
        <f t="shared" ref="C15:C25" si="2">$A$5</f>
        <v>DE</v>
      </c>
      <c r="D15" s="475"/>
      <c r="E15" s="476"/>
      <c r="F15" s="474"/>
      <c r="G15" s="475"/>
      <c r="H15" s="476"/>
      <c r="I15" s="477" t="s">
        <v>128</v>
      </c>
      <c r="J15" s="65" t="s">
        <v>6</v>
      </c>
      <c r="K15" s="66">
        <v>1.79</v>
      </c>
      <c r="L15" s="67" t="s">
        <v>7</v>
      </c>
      <c r="M15" s="68">
        <f>K15*B15</f>
        <v>1045.3600000000001</v>
      </c>
      <c r="N15" s="69"/>
      <c r="O15" s="70"/>
      <c r="P15" s="67" t="s">
        <v>7</v>
      </c>
      <c r="Q15" s="478">
        <v>46200</v>
      </c>
      <c r="R15" s="122">
        <v>1046.8</v>
      </c>
      <c r="S15" s="71" t="s">
        <v>7</v>
      </c>
      <c r="T15" s="123">
        <f t="shared" ref="T15:T80" si="3">R15-M15</f>
        <v>1.4399999999998272</v>
      </c>
      <c r="U15" s="72"/>
      <c r="V15" s="72"/>
      <c r="W15" s="73"/>
      <c r="X15" s="74"/>
      <c r="Y15" s="479" t="s">
        <v>329</v>
      </c>
      <c r="Z15" s="63"/>
      <c r="AA15" s="64"/>
      <c r="AB15" s="566" t="s">
        <v>463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442"/>
      <c r="J16" s="76" t="s">
        <v>6</v>
      </c>
      <c r="K16" s="83">
        <v>1.79</v>
      </c>
      <c r="L16" s="77" t="s">
        <v>7</v>
      </c>
      <c r="M16" s="78">
        <f t="shared" ref="M16:M80" si="4">K16*B16</f>
        <v>0</v>
      </c>
      <c r="N16" s="79"/>
      <c r="O16" s="128"/>
      <c r="P16" s="77" t="s">
        <v>7</v>
      </c>
      <c r="Q16" s="444"/>
      <c r="R16" s="130"/>
      <c r="S16" s="75" t="s">
        <v>7</v>
      </c>
      <c r="T16" s="81">
        <f t="shared" si="3"/>
        <v>0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584</v>
      </c>
      <c r="C17" s="461" t="str">
        <f t="shared" si="2"/>
        <v>DE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206" customFormat="1" ht="69.95" customHeight="1" x14ac:dyDescent="0.15">
      <c r="A19" s="431" t="s">
        <v>473</v>
      </c>
      <c r="B19" s="182">
        <f t="shared" ref="B19" si="5">$I$5</f>
        <v>584</v>
      </c>
      <c r="C19" s="461" t="str">
        <f t="shared" ref="C19" si="6">$A$5</f>
        <v>DE</v>
      </c>
      <c r="D19" s="461"/>
      <c r="E19" s="461"/>
      <c r="F19" s="461"/>
      <c r="G19" s="461"/>
      <c r="H19" s="461"/>
      <c r="I19" s="441" t="s">
        <v>58</v>
      </c>
      <c r="J19" s="76" t="s">
        <v>6</v>
      </c>
      <c r="K19" s="136">
        <v>7.0000000000000007E-2</v>
      </c>
      <c r="L19" s="77" t="s">
        <v>7</v>
      </c>
      <c r="M19" s="78">
        <f t="shared" si="4"/>
        <v>40.880000000000003</v>
      </c>
      <c r="N19" s="79"/>
      <c r="O19" s="78"/>
      <c r="P19" s="80" t="s">
        <v>7</v>
      </c>
      <c r="Q19" s="443">
        <v>46207</v>
      </c>
      <c r="R19" s="78">
        <v>41</v>
      </c>
      <c r="S19" s="80" t="s">
        <v>7</v>
      </c>
      <c r="T19" s="81">
        <f t="shared" si="3"/>
        <v>0.11999999999999744</v>
      </c>
      <c r="U19" s="82"/>
      <c r="V19" s="137"/>
      <c r="W19" s="78"/>
      <c r="X19" s="78"/>
      <c r="Y19" s="445" t="s">
        <v>93</v>
      </c>
      <c r="Z19" s="138"/>
      <c r="AA19" s="135"/>
      <c r="AB19" s="360" t="s">
        <v>476</v>
      </c>
      <c r="AC19" s="229"/>
      <c r="AD19" s="230"/>
      <c r="AE19" s="230"/>
      <c r="AF19" s="230"/>
    </row>
    <row r="20" spans="1:32" s="206" customFormat="1" ht="69.95" customHeight="1" x14ac:dyDescent="0.15">
      <c r="A20" s="432"/>
      <c r="B20" s="182">
        <f>$I$6</f>
        <v>0</v>
      </c>
      <c r="C20" s="461">
        <f>$A$6</f>
        <v>0</v>
      </c>
      <c r="D20" s="461"/>
      <c r="E20" s="461"/>
      <c r="F20" s="461"/>
      <c r="G20" s="461"/>
      <c r="H20" s="461"/>
      <c r="I20" s="442"/>
      <c r="J20" s="76" t="s">
        <v>6</v>
      </c>
      <c r="K20" s="136">
        <v>0.17</v>
      </c>
      <c r="L20" s="77" t="s">
        <v>7</v>
      </c>
      <c r="M20" s="78">
        <f t="shared" si="4"/>
        <v>0</v>
      </c>
      <c r="N20" s="79"/>
      <c r="O20" s="128"/>
      <c r="P20" s="77" t="s">
        <v>7</v>
      </c>
      <c r="Q20" s="444"/>
      <c r="R20" s="130"/>
      <c r="S20" s="75" t="s">
        <v>7</v>
      </c>
      <c r="T20" s="81">
        <f t="shared" si="3"/>
        <v>0</v>
      </c>
      <c r="U20" s="131"/>
      <c r="V20" s="131"/>
      <c r="W20" s="132"/>
      <c r="X20" s="133"/>
      <c r="Y20" s="446"/>
      <c r="Z20" s="134"/>
      <c r="AA20" s="135"/>
      <c r="AB20" s="362"/>
      <c r="AC20" s="229"/>
      <c r="AD20" s="230"/>
      <c r="AE20" s="230"/>
      <c r="AF20" s="230"/>
    </row>
    <row r="21" spans="1:32" s="55" customFormat="1" ht="69.95" customHeight="1" x14ac:dyDescent="0.15">
      <c r="A21" s="431" t="s">
        <v>263</v>
      </c>
      <c r="B21" s="182">
        <f t="shared" si="1"/>
        <v>584</v>
      </c>
      <c r="C21" s="461" t="str">
        <f t="shared" si="2"/>
        <v>DE</v>
      </c>
      <c r="D21" s="461"/>
      <c r="E21" s="461"/>
      <c r="F21" s="461"/>
      <c r="G21" s="461"/>
      <c r="H21" s="461"/>
      <c r="I21" s="441" t="s">
        <v>8</v>
      </c>
      <c r="J21" s="76" t="s">
        <v>6</v>
      </c>
      <c r="K21" s="136">
        <v>1.07</v>
      </c>
      <c r="L21" s="77" t="s">
        <v>7</v>
      </c>
      <c r="M21" s="78">
        <f t="shared" si="4"/>
        <v>624.88</v>
      </c>
      <c r="N21" s="79"/>
      <c r="O21" s="78"/>
      <c r="P21" s="80" t="s">
        <v>7</v>
      </c>
      <c r="Q21" s="443">
        <v>46207</v>
      </c>
      <c r="R21" s="78">
        <v>625</v>
      </c>
      <c r="S21" s="80" t="s">
        <v>7</v>
      </c>
      <c r="T21" s="81">
        <f t="shared" si="3"/>
        <v>0.12000000000000455</v>
      </c>
      <c r="U21" s="82"/>
      <c r="V21" s="137"/>
      <c r="W21" s="78"/>
      <c r="X21" s="78"/>
      <c r="Y21" s="445" t="s">
        <v>93</v>
      </c>
      <c r="Z21" s="138"/>
      <c r="AA21" s="135"/>
      <c r="AB21" s="360" t="s">
        <v>476</v>
      </c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$I$6</f>
        <v>0</v>
      </c>
      <c r="C22" s="461">
        <f>$A$6</f>
        <v>0</v>
      </c>
      <c r="D22" s="461"/>
      <c r="E22" s="461"/>
      <c r="F22" s="461"/>
      <c r="G22" s="461"/>
      <c r="H22" s="461"/>
      <c r="I22" s="442"/>
      <c r="J22" s="76" t="s">
        <v>6</v>
      </c>
      <c r="K22" s="136"/>
      <c r="L22" s="77" t="s">
        <v>7</v>
      </c>
      <c r="M22" s="78">
        <f t="shared" si="4"/>
        <v>0</v>
      </c>
      <c r="N22" s="79"/>
      <c r="O22" s="128"/>
      <c r="P22" s="77" t="s">
        <v>7</v>
      </c>
      <c r="Q22" s="447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228"/>
      <c r="AA22" s="228"/>
      <c r="AB22" s="361"/>
      <c r="AC22" s="178"/>
      <c r="AD22" s="179"/>
      <c r="AE22" s="179"/>
      <c r="AF22" s="179"/>
    </row>
    <row r="23" spans="1:32" s="55" customFormat="1" ht="69.95" customHeight="1" x14ac:dyDescent="0.15">
      <c r="A23" s="431" t="s">
        <v>96</v>
      </c>
      <c r="B23" s="182">
        <f t="shared" si="1"/>
        <v>584</v>
      </c>
      <c r="C23" s="461" t="str">
        <f t="shared" si="2"/>
        <v>DE</v>
      </c>
      <c r="D23" s="461"/>
      <c r="E23" s="461"/>
      <c r="F23" s="461"/>
      <c r="G23" s="461"/>
      <c r="H23" s="461"/>
      <c r="I23" s="441" t="s">
        <v>144</v>
      </c>
      <c r="J23" s="76" t="s">
        <v>6</v>
      </c>
      <c r="K23" s="136">
        <v>0.4</v>
      </c>
      <c r="L23" s="77" t="s">
        <v>7</v>
      </c>
      <c r="M23" s="78">
        <f t="shared" si="4"/>
        <v>233.60000000000002</v>
      </c>
      <c r="N23" s="79"/>
      <c r="O23" s="78"/>
      <c r="P23" s="80" t="s">
        <v>7</v>
      </c>
      <c r="Q23" s="447"/>
      <c r="R23" s="78">
        <v>234</v>
      </c>
      <c r="S23" s="80" t="s">
        <v>7</v>
      </c>
      <c r="T23" s="81">
        <f t="shared" si="3"/>
        <v>0.39999999999997726</v>
      </c>
      <c r="U23" s="82"/>
      <c r="V23" s="137"/>
      <c r="W23" s="78"/>
      <c r="X23" s="78"/>
      <c r="Y23" s="445" t="s">
        <v>93</v>
      </c>
      <c r="Z23" s="138"/>
      <c r="AA23" s="135"/>
      <c r="AB23" s="361"/>
      <c r="AC23" s="178"/>
      <c r="AD23" s="179"/>
      <c r="AE23" s="179"/>
      <c r="AF23" s="179"/>
    </row>
    <row r="24" spans="1:32" s="55" customFormat="1" ht="69.95" customHeight="1" x14ac:dyDescent="0.15">
      <c r="A24" s="432"/>
      <c r="B24" s="182">
        <f>$I$6</f>
        <v>0</v>
      </c>
      <c r="C24" s="461">
        <f>$A$6</f>
        <v>0</v>
      </c>
      <c r="D24" s="461"/>
      <c r="E24" s="461"/>
      <c r="F24" s="461"/>
      <c r="G24" s="461"/>
      <c r="H24" s="461"/>
      <c r="I24" s="442"/>
      <c r="J24" s="76" t="s">
        <v>6</v>
      </c>
      <c r="K24" s="136"/>
      <c r="L24" s="77" t="s">
        <v>7</v>
      </c>
      <c r="M24" s="78">
        <f t="shared" si="4"/>
        <v>0</v>
      </c>
      <c r="N24" s="79"/>
      <c r="O24" s="128"/>
      <c r="P24" s="77" t="s">
        <v>7</v>
      </c>
      <c r="Q24" s="444"/>
      <c r="R24" s="130"/>
      <c r="S24" s="75" t="s">
        <v>7</v>
      </c>
      <c r="T24" s="81">
        <f t="shared" si="3"/>
        <v>0</v>
      </c>
      <c r="U24" s="131"/>
      <c r="V24" s="131"/>
      <c r="W24" s="132"/>
      <c r="X24" s="133"/>
      <c r="Y24" s="446"/>
      <c r="Z24" s="228"/>
      <c r="AA24" s="228"/>
      <c r="AB24" s="362"/>
      <c r="AC24" s="178"/>
      <c r="AD24" s="179"/>
      <c r="AE24" s="179"/>
      <c r="AF24" s="179"/>
    </row>
    <row r="25" spans="1:32" s="55" customFormat="1" ht="69.95" customHeight="1" x14ac:dyDescent="0.15">
      <c r="A25" s="431" t="s">
        <v>353</v>
      </c>
      <c r="B25" s="182">
        <f t="shared" si="1"/>
        <v>584</v>
      </c>
      <c r="C25" s="461" t="str">
        <f t="shared" si="2"/>
        <v>DE</v>
      </c>
      <c r="D25" s="461"/>
      <c r="E25" s="461"/>
      <c r="F25" s="461"/>
      <c r="G25" s="461"/>
      <c r="H25" s="461"/>
      <c r="I25" s="441" t="s">
        <v>58</v>
      </c>
      <c r="J25" s="76" t="s">
        <v>6</v>
      </c>
      <c r="K25" s="136">
        <v>1.35</v>
      </c>
      <c r="L25" s="77" t="s">
        <v>7</v>
      </c>
      <c r="M25" s="78">
        <f t="shared" si="4"/>
        <v>788.40000000000009</v>
      </c>
      <c r="N25" s="79"/>
      <c r="O25" s="78"/>
      <c r="P25" s="80" t="s">
        <v>7</v>
      </c>
      <c r="Q25" s="443">
        <v>46207</v>
      </c>
      <c r="R25" s="81">
        <v>788</v>
      </c>
      <c r="S25" s="80" t="s">
        <v>7</v>
      </c>
      <c r="T25" s="81">
        <f t="shared" si="3"/>
        <v>-0.40000000000009095</v>
      </c>
      <c r="U25" s="82"/>
      <c r="V25" s="137"/>
      <c r="W25" s="78"/>
      <c r="X25" s="78"/>
      <c r="Y25" s="445" t="s">
        <v>59</v>
      </c>
      <c r="Z25" s="138"/>
      <c r="AA25" s="135"/>
      <c r="AB25" s="360" t="s">
        <v>475</v>
      </c>
      <c r="AC25" s="178"/>
      <c r="AD25" s="179"/>
      <c r="AE25" s="179"/>
      <c r="AF25" s="179"/>
    </row>
    <row r="26" spans="1:32" s="55" customFormat="1" ht="69.95" customHeight="1" x14ac:dyDescent="0.15">
      <c r="A26" s="432"/>
      <c r="B26" s="182">
        <f>$I$6</f>
        <v>0</v>
      </c>
      <c r="C26" s="461">
        <f>$A$6</f>
        <v>0</v>
      </c>
      <c r="D26" s="461"/>
      <c r="E26" s="461"/>
      <c r="F26" s="461"/>
      <c r="G26" s="461"/>
      <c r="H26" s="461"/>
      <c r="I26" s="442"/>
      <c r="J26" s="76" t="s">
        <v>6</v>
      </c>
      <c r="K26" s="136"/>
      <c r="L26" s="77" t="s">
        <v>7</v>
      </c>
      <c r="M26" s="78">
        <f t="shared" si="4"/>
        <v>0</v>
      </c>
      <c r="N26" s="79"/>
      <c r="O26" s="128"/>
      <c r="P26" s="77" t="s">
        <v>7</v>
      </c>
      <c r="Q26" s="444"/>
      <c r="R26" s="294"/>
      <c r="S26" s="75" t="s">
        <v>7</v>
      </c>
      <c r="T26" s="81">
        <f t="shared" si="3"/>
        <v>0</v>
      </c>
      <c r="U26" s="131"/>
      <c r="V26" s="131"/>
      <c r="W26" s="132"/>
      <c r="X26" s="133"/>
      <c r="Y26" s="446"/>
      <c r="Z26" s="134"/>
      <c r="AA26" s="135"/>
      <c r="AB26" s="362"/>
      <c r="AC26" s="178"/>
      <c r="AD26" s="179"/>
      <c r="AE26" s="179"/>
      <c r="AF26" s="179"/>
    </row>
    <row r="27" spans="1:32" s="203" customFormat="1" ht="69.95" customHeight="1" x14ac:dyDescent="0.15">
      <c r="A27" s="431" t="s">
        <v>376</v>
      </c>
      <c r="B27" s="182">
        <f>$I$5</f>
        <v>584</v>
      </c>
      <c r="C27" s="461" t="str">
        <f>$A$5</f>
        <v>DE</v>
      </c>
      <c r="D27" s="461"/>
      <c r="E27" s="461"/>
      <c r="F27" s="461"/>
      <c r="G27" s="461"/>
      <c r="H27" s="461"/>
      <c r="I27" s="441" t="s">
        <v>58</v>
      </c>
      <c r="J27" s="76" t="s">
        <v>6</v>
      </c>
      <c r="K27" s="136">
        <v>7.0000000000000007E-2</v>
      </c>
      <c r="L27" s="77" t="s">
        <v>7</v>
      </c>
      <c r="M27" s="78">
        <f>K27*B27</f>
        <v>40.880000000000003</v>
      </c>
      <c r="N27" s="79"/>
      <c r="O27" s="78"/>
      <c r="P27" s="80" t="s">
        <v>7</v>
      </c>
      <c r="Q27" s="443">
        <v>46207</v>
      </c>
      <c r="R27" s="78">
        <v>41</v>
      </c>
      <c r="S27" s="80" t="s">
        <v>9</v>
      </c>
      <c r="T27" s="81">
        <f t="shared" si="3"/>
        <v>0.11999999999999744</v>
      </c>
      <c r="U27" s="82"/>
      <c r="V27" s="137"/>
      <c r="W27" s="78"/>
      <c r="X27" s="78"/>
      <c r="Y27" s="445" t="s">
        <v>59</v>
      </c>
      <c r="Z27" s="141"/>
      <c r="AA27" s="135"/>
      <c r="AB27" s="360" t="s">
        <v>475</v>
      </c>
    </row>
    <row r="28" spans="1:32" s="203" customFormat="1" ht="69.95" customHeight="1" x14ac:dyDescent="0.15">
      <c r="A28" s="432"/>
      <c r="B28" s="182">
        <f>$I$6</f>
        <v>0</v>
      </c>
      <c r="C28" s="461">
        <f>$A$6</f>
        <v>0</v>
      </c>
      <c r="D28" s="461"/>
      <c r="E28" s="461"/>
      <c r="F28" s="461"/>
      <c r="G28" s="461"/>
      <c r="H28" s="461"/>
      <c r="I28" s="442"/>
      <c r="J28" s="76" t="s">
        <v>6</v>
      </c>
      <c r="K28" s="83"/>
      <c r="L28" s="77" t="s">
        <v>7</v>
      </c>
      <c r="M28" s="78">
        <f>K28*B28</f>
        <v>0</v>
      </c>
      <c r="N28" s="79"/>
      <c r="O28" s="128"/>
      <c r="P28" s="77" t="s">
        <v>7</v>
      </c>
      <c r="Q28" s="444"/>
      <c r="R28" s="137"/>
      <c r="S28" s="75" t="s">
        <v>9</v>
      </c>
      <c r="T28" s="81">
        <f t="shared" si="3"/>
        <v>0</v>
      </c>
      <c r="U28" s="131"/>
      <c r="V28" s="131"/>
      <c r="W28" s="132"/>
      <c r="X28" s="133"/>
      <c r="Y28" s="446"/>
      <c r="Z28" s="134"/>
      <c r="AA28" s="135"/>
      <c r="AB28" s="362"/>
      <c r="AC28" s="466"/>
      <c r="AD28" s="467"/>
      <c r="AE28" s="467"/>
      <c r="AF28" s="467"/>
    </row>
    <row r="29" spans="1:32" s="143" customFormat="1" ht="69.95" customHeight="1" x14ac:dyDescent="0.15">
      <c r="A29" s="464" t="s">
        <v>378</v>
      </c>
      <c r="B29" s="182">
        <f>$I$5</f>
        <v>584</v>
      </c>
      <c r="C29" s="461" t="str">
        <f>$A$5</f>
        <v>DE</v>
      </c>
      <c r="D29" s="461"/>
      <c r="E29" s="461"/>
      <c r="F29" s="461"/>
      <c r="G29" s="461"/>
      <c r="H29" s="461"/>
      <c r="I29" s="441" t="s">
        <v>76</v>
      </c>
      <c r="J29" s="76"/>
      <c r="K29" s="136">
        <v>1.7</v>
      </c>
      <c r="L29" s="77" t="s">
        <v>7</v>
      </c>
      <c r="M29" s="78">
        <f>K29*B29/100</f>
        <v>9.927999999999999</v>
      </c>
      <c r="N29" s="79"/>
      <c r="O29" s="78"/>
      <c r="P29" s="80" t="s">
        <v>7</v>
      </c>
      <c r="Q29" s="443">
        <v>46207</v>
      </c>
      <c r="R29" s="78">
        <v>10</v>
      </c>
      <c r="S29" s="80" t="s">
        <v>9</v>
      </c>
      <c r="T29" s="81">
        <f t="shared" si="3"/>
        <v>7.2000000000000952E-2</v>
      </c>
      <c r="U29" s="82"/>
      <c r="V29" s="137"/>
      <c r="W29" s="78"/>
      <c r="X29" s="78"/>
      <c r="Y29" s="445" t="s">
        <v>94</v>
      </c>
      <c r="Z29" s="141"/>
      <c r="AA29" s="135"/>
      <c r="AB29" s="360" t="s">
        <v>476</v>
      </c>
    </row>
    <row r="30" spans="1:32" s="143" customFormat="1" ht="69.95" customHeight="1" x14ac:dyDescent="0.15">
      <c r="A30" s="464"/>
      <c r="B30" s="182">
        <f>$I$6</f>
        <v>0</v>
      </c>
      <c r="C30" s="461">
        <f>$A$6</f>
        <v>0</v>
      </c>
      <c r="D30" s="461"/>
      <c r="E30" s="461"/>
      <c r="F30" s="461"/>
      <c r="G30" s="461"/>
      <c r="H30" s="461"/>
      <c r="I30" s="442"/>
      <c r="J30" s="76"/>
      <c r="K30" s="136">
        <v>1.7</v>
      </c>
      <c r="L30" s="77" t="s">
        <v>7</v>
      </c>
      <c r="M30" s="78">
        <f>K30*B30/100</f>
        <v>0</v>
      </c>
      <c r="N30" s="79"/>
      <c r="O30" s="128"/>
      <c r="P30" s="77" t="s">
        <v>7</v>
      </c>
      <c r="Q30" s="447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1"/>
      <c r="AC30" s="577"/>
      <c r="AD30" s="578"/>
      <c r="AE30" s="578"/>
      <c r="AF30" s="578"/>
    </row>
    <row r="31" spans="1:32" s="143" customFormat="1" ht="69.95" customHeight="1" x14ac:dyDescent="0.15">
      <c r="A31" s="464" t="s">
        <v>377</v>
      </c>
      <c r="B31" s="182">
        <f>$I$5</f>
        <v>584</v>
      </c>
      <c r="C31" s="461" t="str">
        <f>$A$5</f>
        <v>DE</v>
      </c>
      <c r="D31" s="461"/>
      <c r="E31" s="461"/>
      <c r="F31" s="461"/>
      <c r="G31" s="461"/>
      <c r="H31" s="461"/>
      <c r="I31" s="441" t="s">
        <v>76</v>
      </c>
      <c r="J31" s="76"/>
      <c r="K31" s="136">
        <v>8.1999999999999993</v>
      </c>
      <c r="L31" s="77" t="s">
        <v>7</v>
      </c>
      <c r="M31" s="78">
        <f t="shared" ref="M31:M36" si="7">K31*B31/50</f>
        <v>95.775999999999982</v>
      </c>
      <c r="N31" s="79"/>
      <c r="O31" s="78"/>
      <c r="P31" s="80" t="s">
        <v>7</v>
      </c>
      <c r="Q31" s="447"/>
      <c r="R31" s="78">
        <v>96</v>
      </c>
      <c r="S31" s="80" t="s">
        <v>9</v>
      </c>
      <c r="T31" s="81">
        <f t="shared" si="3"/>
        <v>0.22400000000001796</v>
      </c>
      <c r="U31" s="82"/>
      <c r="V31" s="137"/>
      <c r="W31" s="78"/>
      <c r="X31" s="78"/>
      <c r="Y31" s="445" t="s">
        <v>94</v>
      </c>
      <c r="Z31" s="141"/>
      <c r="AA31" s="135"/>
      <c r="AB31" s="361"/>
    </row>
    <row r="32" spans="1:32" s="143" customFormat="1" ht="69.95" customHeight="1" x14ac:dyDescent="0.15">
      <c r="A32" s="464"/>
      <c r="B32" s="182">
        <f>$I$6</f>
        <v>0</v>
      </c>
      <c r="C32" s="461">
        <f>$A$6</f>
        <v>0</v>
      </c>
      <c r="D32" s="461"/>
      <c r="E32" s="461"/>
      <c r="F32" s="461"/>
      <c r="G32" s="461"/>
      <c r="H32" s="461"/>
      <c r="I32" s="442"/>
      <c r="J32" s="76"/>
      <c r="K32" s="136">
        <v>8.1999999999999993</v>
      </c>
      <c r="L32" s="77" t="s">
        <v>7</v>
      </c>
      <c r="M32" s="78">
        <f t="shared" si="7"/>
        <v>0</v>
      </c>
      <c r="N32" s="79"/>
      <c r="O32" s="128"/>
      <c r="P32" s="77" t="s">
        <v>7</v>
      </c>
      <c r="Q32" s="444"/>
      <c r="R32" s="137"/>
      <c r="S32" s="75" t="s">
        <v>9</v>
      </c>
      <c r="T32" s="81">
        <f t="shared" si="3"/>
        <v>0</v>
      </c>
      <c r="U32" s="131"/>
      <c r="V32" s="131"/>
      <c r="W32" s="132"/>
      <c r="X32" s="133"/>
      <c r="Y32" s="446"/>
      <c r="Z32" s="134"/>
      <c r="AA32" s="135"/>
      <c r="AB32" s="362"/>
      <c r="AC32" s="577"/>
      <c r="AD32" s="578"/>
      <c r="AE32" s="578"/>
      <c r="AF32" s="578"/>
    </row>
    <row r="33" spans="1:32" s="203" customFormat="1" ht="69.95" customHeight="1" x14ac:dyDescent="0.15">
      <c r="A33" s="464" t="s">
        <v>379</v>
      </c>
      <c r="B33" s="182">
        <f>$I$5</f>
        <v>584</v>
      </c>
      <c r="C33" s="461" t="str">
        <f>$A$5</f>
        <v>DE</v>
      </c>
      <c r="D33" s="461"/>
      <c r="E33" s="461"/>
      <c r="F33" s="461"/>
      <c r="G33" s="461"/>
      <c r="H33" s="461"/>
      <c r="I33" s="441" t="s">
        <v>80</v>
      </c>
      <c r="J33" s="76"/>
      <c r="K33" s="136">
        <v>1</v>
      </c>
      <c r="L33" s="77" t="s">
        <v>65</v>
      </c>
      <c r="M33" s="78">
        <f t="shared" si="7"/>
        <v>11.68</v>
      </c>
      <c r="N33" s="79"/>
      <c r="O33" s="78"/>
      <c r="P33" s="80" t="s">
        <v>7</v>
      </c>
      <c r="Q33" s="443">
        <v>46207</v>
      </c>
      <c r="R33" s="78">
        <v>584</v>
      </c>
      <c r="S33" s="80" t="s">
        <v>9</v>
      </c>
      <c r="T33" s="81">
        <f t="shared" si="3"/>
        <v>572.32000000000005</v>
      </c>
      <c r="U33" s="82"/>
      <c r="V33" s="137"/>
      <c r="W33" s="78"/>
      <c r="X33" s="78"/>
      <c r="Y33" s="445" t="s">
        <v>57</v>
      </c>
      <c r="Z33" s="141"/>
      <c r="AA33" s="135"/>
      <c r="AB33" s="360" t="s">
        <v>475</v>
      </c>
    </row>
    <row r="34" spans="1:32" s="203" customFormat="1" ht="69.95" customHeight="1" x14ac:dyDescent="0.15">
      <c r="A34" s="464"/>
      <c r="B34" s="182">
        <f>$I$6</f>
        <v>0</v>
      </c>
      <c r="C34" s="461">
        <f>$A$6</f>
        <v>0</v>
      </c>
      <c r="D34" s="461"/>
      <c r="E34" s="461"/>
      <c r="F34" s="461"/>
      <c r="G34" s="461"/>
      <c r="H34" s="461"/>
      <c r="I34" s="442"/>
      <c r="J34" s="76"/>
      <c r="K34" s="83">
        <v>1</v>
      </c>
      <c r="L34" s="77" t="s">
        <v>65</v>
      </c>
      <c r="M34" s="78">
        <f t="shared" si="7"/>
        <v>0</v>
      </c>
      <c r="N34" s="79"/>
      <c r="O34" s="128"/>
      <c r="P34" s="77" t="s">
        <v>7</v>
      </c>
      <c r="Q34" s="444"/>
      <c r="R34" s="137"/>
      <c r="S34" s="75" t="s">
        <v>9</v>
      </c>
      <c r="T34" s="81">
        <f t="shared" si="3"/>
        <v>0</v>
      </c>
      <c r="U34" s="131"/>
      <c r="V34" s="131"/>
      <c r="W34" s="132"/>
      <c r="X34" s="133"/>
      <c r="Y34" s="446"/>
      <c r="Z34" s="134"/>
      <c r="AA34" s="135"/>
      <c r="AB34" s="362"/>
      <c r="AC34" s="466"/>
      <c r="AD34" s="467"/>
      <c r="AE34" s="467"/>
      <c r="AF34" s="467"/>
    </row>
    <row r="35" spans="1:32" s="203" customFormat="1" ht="69.95" customHeight="1" x14ac:dyDescent="0.15">
      <c r="A35" s="431" t="s">
        <v>380</v>
      </c>
      <c r="B35" s="182">
        <f>$I$5</f>
        <v>584</v>
      </c>
      <c r="C35" s="461" t="str">
        <f>$A$5</f>
        <v>DE</v>
      </c>
      <c r="D35" s="461"/>
      <c r="E35" s="461"/>
      <c r="F35" s="368"/>
      <c r="G35" s="369"/>
      <c r="H35" s="370"/>
      <c r="I35" s="441"/>
      <c r="J35" s="76"/>
      <c r="K35" s="83">
        <v>1</v>
      </c>
      <c r="L35" s="77" t="s">
        <v>381</v>
      </c>
      <c r="M35" s="78">
        <f t="shared" si="7"/>
        <v>11.68</v>
      </c>
      <c r="N35" s="79"/>
      <c r="O35" s="128"/>
      <c r="P35" s="77"/>
      <c r="Q35" s="443">
        <v>46207</v>
      </c>
      <c r="R35" s="137">
        <v>584</v>
      </c>
      <c r="S35" s="75"/>
      <c r="T35" s="81">
        <f t="shared" si="3"/>
        <v>572.32000000000005</v>
      </c>
      <c r="U35" s="131"/>
      <c r="V35" s="131"/>
      <c r="W35" s="132"/>
      <c r="X35" s="133"/>
      <c r="Y35" s="445" t="s">
        <v>57</v>
      </c>
      <c r="Z35" s="134"/>
      <c r="AA35" s="135"/>
      <c r="AB35" s="360" t="s">
        <v>475</v>
      </c>
      <c r="AC35" s="334"/>
      <c r="AD35" s="335"/>
      <c r="AE35" s="335"/>
      <c r="AF35" s="335"/>
    </row>
    <row r="36" spans="1:32" s="203" customFormat="1" ht="69.95" customHeight="1" x14ac:dyDescent="0.15">
      <c r="A36" s="432"/>
      <c r="B36" s="182">
        <f>$I$6</f>
        <v>0</v>
      </c>
      <c r="C36" s="461">
        <f>$A$6</f>
        <v>0</v>
      </c>
      <c r="D36" s="461"/>
      <c r="E36" s="461"/>
      <c r="F36" s="368"/>
      <c r="G36" s="369"/>
      <c r="H36" s="370"/>
      <c r="I36" s="442"/>
      <c r="J36" s="76"/>
      <c r="K36" s="83">
        <v>1</v>
      </c>
      <c r="L36" s="77" t="s">
        <v>381</v>
      </c>
      <c r="M36" s="78">
        <f t="shared" si="7"/>
        <v>0</v>
      </c>
      <c r="N36" s="79"/>
      <c r="O36" s="128"/>
      <c r="P36" s="77"/>
      <c r="Q36" s="444"/>
      <c r="R36" s="137"/>
      <c r="S36" s="75"/>
      <c r="T36" s="81">
        <f t="shared" si="3"/>
        <v>0</v>
      </c>
      <c r="U36" s="131"/>
      <c r="V36" s="131"/>
      <c r="W36" s="132"/>
      <c r="X36" s="133"/>
      <c r="Y36" s="446"/>
      <c r="Z36" s="134"/>
      <c r="AA36" s="135"/>
      <c r="AB36" s="362"/>
      <c r="AC36" s="334"/>
      <c r="AD36" s="335"/>
      <c r="AE36" s="335"/>
      <c r="AF36" s="335"/>
    </row>
    <row r="37" spans="1:32" s="143" customFormat="1" ht="69.95" customHeight="1" x14ac:dyDescent="0.15">
      <c r="A37" s="431" t="s">
        <v>88</v>
      </c>
      <c r="B37" s="182">
        <f>$I$5</f>
        <v>584</v>
      </c>
      <c r="C37" s="461" t="str">
        <f>$A$5</f>
        <v>DE</v>
      </c>
      <c r="D37" s="461"/>
      <c r="E37" s="461"/>
      <c r="F37" s="461" t="str">
        <f>$A$5</f>
        <v>DE</v>
      </c>
      <c r="G37" s="461"/>
      <c r="H37" s="461"/>
      <c r="I37" s="441" t="s">
        <v>62</v>
      </c>
      <c r="J37" s="76"/>
      <c r="K37" s="139">
        <v>230</v>
      </c>
      <c r="L37" s="77" t="s">
        <v>61</v>
      </c>
      <c r="M37" s="78">
        <f t="shared" ref="M37:M38" si="8">K37*B37/2500</f>
        <v>53.728000000000002</v>
      </c>
      <c r="N37" s="79"/>
      <c r="O37" s="78"/>
      <c r="P37" s="80" t="s">
        <v>10</v>
      </c>
      <c r="Q37" s="443">
        <v>46207</v>
      </c>
      <c r="R37" s="78">
        <v>54</v>
      </c>
      <c r="S37" s="80" t="s">
        <v>10</v>
      </c>
      <c r="T37" s="81">
        <f>R37-M37</f>
        <v>0.27199999999999847</v>
      </c>
      <c r="U37" s="82"/>
      <c r="V37" s="137"/>
      <c r="W37" s="78"/>
      <c r="X37" s="78"/>
      <c r="Y37" s="445" t="s">
        <v>94</v>
      </c>
      <c r="Z37" s="141"/>
      <c r="AA37" s="135"/>
      <c r="AB37" s="360" t="s">
        <v>476</v>
      </c>
    </row>
    <row r="38" spans="1:32" s="55" customFormat="1" ht="69.95" customHeight="1" x14ac:dyDescent="0.15">
      <c r="A38" s="432"/>
      <c r="B38" s="186">
        <f>$I$6</f>
        <v>0</v>
      </c>
      <c r="C38" s="395">
        <f>$A$6</f>
        <v>0</v>
      </c>
      <c r="D38" s="396"/>
      <c r="E38" s="397"/>
      <c r="F38" s="395">
        <f>$A$6</f>
        <v>0</v>
      </c>
      <c r="G38" s="396"/>
      <c r="H38" s="397"/>
      <c r="I38" s="442"/>
      <c r="J38" s="144"/>
      <c r="K38" s="139">
        <v>230</v>
      </c>
      <c r="L38" s="145" t="s">
        <v>61</v>
      </c>
      <c r="M38" s="78">
        <f t="shared" si="8"/>
        <v>0</v>
      </c>
      <c r="N38" s="146"/>
      <c r="O38" s="147"/>
      <c r="P38" s="145" t="s">
        <v>10</v>
      </c>
      <c r="Q38" s="447"/>
      <c r="R38" s="161"/>
      <c r="S38" s="148" t="s">
        <v>10</v>
      </c>
      <c r="T38" s="84">
        <f>R38-M38</f>
        <v>0</v>
      </c>
      <c r="U38" s="149"/>
      <c r="V38" s="149"/>
      <c r="W38" s="150"/>
      <c r="X38" s="151"/>
      <c r="Y38" s="446"/>
      <c r="Z38" s="216"/>
      <c r="AA38" s="217"/>
      <c r="AB38" s="361"/>
      <c r="AC38" s="471"/>
      <c r="AD38" s="472"/>
      <c r="AE38" s="472"/>
      <c r="AF38" s="472"/>
    </row>
    <row r="39" spans="1:32" s="143" customFormat="1" ht="69.95" customHeight="1" x14ac:dyDescent="0.15">
      <c r="A39" s="431" t="s">
        <v>87</v>
      </c>
      <c r="B39" s="182">
        <f>$I$5</f>
        <v>584</v>
      </c>
      <c r="C39" s="461" t="str">
        <f>$A$5</f>
        <v>DE</v>
      </c>
      <c r="D39" s="461"/>
      <c r="E39" s="461"/>
      <c r="F39" s="461" t="str">
        <f>$A$5</f>
        <v>DE</v>
      </c>
      <c r="G39" s="461"/>
      <c r="H39" s="461"/>
      <c r="I39" s="441" t="s">
        <v>60</v>
      </c>
      <c r="J39" s="76"/>
      <c r="K39" s="139">
        <v>470</v>
      </c>
      <c r="L39" s="77" t="s">
        <v>61</v>
      </c>
      <c r="M39" s="78">
        <f>K39*B39/4000</f>
        <v>68.62</v>
      </c>
      <c r="N39" s="79"/>
      <c r="O39" s="78"/>
      <c r="P39" s="80" t="s">
        <v>10</v>
      </c>
      <c r="Q39" s="447"/>
      <c r="R39" s="78"/>
      <c r="S39" s="80" t="s">
        <v>10</v>
      </c>
      <c r="T39" s="81">
        <f t="shared" si="3"/>
        <v>-68.62</v>
      </c>
      <c r="U39" s="82"/>
      <c r="V39" s="137"/>
      <c r="W39" s="78"/>
      <c r="X39" s="78"/>
      <c r="Y39" s="445" t="s">
        <v>94</v>
      </c>
      <c r="Z39" s="141"/>
      <c r="AA39" s="135"/>
      <c r="AB39" s="361"/>
    </row>
    <row r="40" spans="1:32" s="55" customFormat="1" ht="69.95" customHeight="1" x14ac:dyDescent="0.15">
      <c r="A40" s="432"/>
      <c r="B40" s="186">
        <f>$I$6</f>
        <v>0</v>
      </c>
      <c r="C40" s="395">
        <f>$A$6</f>
        <v>0</v>
      </c>
      <c r="D40" s="396"/>
      <c r="E40" s="397"/>
      <c r="F40" s="395">
        <f>$A$6</f>
        <v>0</v>
      </c>
      <c r="G40" s="396"/>
      <c r="H40" s="397"/>
      <c r="I40" s="442"/>
      <c r="J40" s="144"/>
      <c r="K40" s="139">
        <v>470</v>
      </c>
      <c r="L40" s="145" t="s">
        <v>61</v>
      </c>
      <c r="M40" s="78">
        <f>K40*B40/4000</f>
        <v>0</v>
      </c>
      <c r="N40" s="146"/>
      <c r="O40" s="147"/>
      <c r="P40" s="145" t="s">
        <v>10</v>
      </c>
      <c r="Q40" s="447"/>
      <c r="R40" s="161"/>
      <c r="S40" s="148" t="s">
        <v>10</v>
      </c>
      <c r="T40" s="84">
        <f t="shared" si="3"/>
        <v>0</v>
      </c>
      <c r="U40" s="149"/>
      <c r="V40" s="149"/>
      <c r="W40" s="150"/>
      <c r="X40" s="151"/>
      <c r="Y40" s="446"/>
      <c r="Z40" s="216"/>
      <c r="AA40" s="217"/>
      <c r="AB40" s="361"/>
      <c r="AC40" s="471"/>
      <c r="AD40" s="472"/>
      <c r="AE40" s="472"/>
      <c r="AF40" s="472"/>
    </row>
    <row r="41" spans="1:32" s="143" customFormat="1" ht="69.95" customHeight="1" x14ac:dyDescent="0.15">
      <c r="A41" s="431" t="s">
        <v>177</v>
      </c>
      <c r="B41" s="182">
        <f>$I$5</f>
        <v>584</v>
      </c>
      <c r="C41" s="461" t="str">
        <f>$A$5</f>
        <v>DE</v>
      </c>
      <c r="D41" s="461"/>
      <c r="E41" s="461"/>
      <c r="F41" s="461" t="str">
        <f>$A$5</f>
        <v>DE</v>
      </c>
      <c r="G41" s="461"/>
      <c r="H41" s="461"/>
      <c r="I41" s="441" t="s">
        <v>60</v>
      </c>
      <c r="J41" s="76"/>
      <c r="K41" s="139">
        <v>5</v>
      </c>
      <c r="L41" s="77" t="s">
        <v>61</v>
      </c>
      <c r="M41" s="78">
        <f>K41*B41/4000</f>
        <v>0.73</v>
      </c>
      <c r="N41" s="79"/>
      <c r="O41" s="78"/>
      <c r="P41" s="80" t="s">
        <v>10</v>
      </c>
      <c r="Q41" s="447"/>
      <c r="R41" s="78">
        <v>2</v>
      </c>
      <c r="S41" s="80" t="s">
        <v>10</v>
      </c>
      <c r="T41" s="81">
        <f t="shared" si="3"/>
        <v>1.27</v>
      </c>
      <c r="U41" s="82"/>
      <c r="V41" s="137"/>
      <c r="W41" s="78"/>
      <c r="X41" s="78"/>
      <c r="Y41" s="445" t="s">
        <v>94</v>
      </c>
      <c r="Z41" s="141"/>
      <c r="AA41" s="135"/>
      <c r="AB41" s="361"/>
    </row>
    <row r="42" spans="1:32" s="55" customFormat="1" ht="69.95" customHeight="1" x14ac:dyDescent="0.15">
      <c r="A42" s="432"/>
      <c r="B42" s="186">
        <f>$I$6</f>
        <v>0</v>
      </c>
      <c r="C42" s="395">
        <f>$A$6</f>
        <v>0</v>
      </c>
      <c r="D42" s="396"/>
      <c r="E42" s="397"/>
      <c r="F42" s="395">
        <f>$A$6</f>
        <v>0</v>
      </c>
      <c r="G42" s="396"/>
      <c r="H42" s="397"/>
      <c r="I42" s="442"/>
      <c r="J42" s="144"/>
      <c r="K42" s="139">
        <v>5</v>
      </c>
      <c r="L42" s="145" t="s">
        <v>61</v>
      </c>
      <c r="M42" s="78">
        <f>K42*B42/4000</f>
        <v>0</v>
      </c>
      <c r="N42" s="146"/>
      <c r="O42" s="147"/>
      <c r="P42" s="145" t="s">
        <v>10</v>
      </c>
      <c r="Q42" s="444"/>
      <c r="R42" s="161"/>
      <c r="S42" s="148" t="s">
        <v>10</v>
      </c>
      <c r="T42" s="84">
        <f t="shared" si="3"/>
        <v>0</v>
      </c>
      <c r="U42" s="149"/>
      <c r="V42" s="149"/>
      <c r="W42" s="150"/>
      <c r="X42" s="151"/>
      <c r="Y42" s="446"/>
      <c r="Z42" s="216"/>
      <c r="AA42" s="217"/>
      <c r="AB42" s="362"/>
      <c r="AC42" s="471"/>
      <c r="AD42" s="472"/>
      <c r="AE42" s="472"/>
      <c r="AF42" s="472"/>
    </row>
    <row r="43" spans="1:32" s="203" customFormat="1" ht="69.95" customHeight="1" x14ac:dyDescent="0.15">
      <c r="A43" s="431" t="s">
        <v>382</v>
      </c>
      <c r="B43" s="182">
        <f>$I$5</f>
        <v>584</v>
      </c>
      <c r="C43" s="461" t="str">
        <f>$A$5</f>
        <v>DE</v>
      </c>
      <c r="D43" s="461"/>
      <c r="E43" s="461"/>
      <c r="F43" s="461" t="str">
        <f>$A$5</f>
        <v>DE</v>
      </c>
      <c r="G43" s="461"/>
      <c r="H43" s="461"/>
      <c r="I43" s="441" t="s">
        <v>118</v>
      </c>
      <c r="J43" s="76"/>
      <c r="K43" s="139">
        <v>15</v>
      </c>
      <c r="L43" s="77" t="s">
        <v>61</v>
      </c>
      <c r="M43" s="78">
        <f>K43*B43/500</f>
        <v>17.52</v>
      </c>
      <c r="N43" s="79"/>
      <c r="O43" s="78"/>
      <c r="P43" s="80" t="s">
        <v>10</v>
      </c>
      <c r="Q43" s="443">
        <v>46207</v>
      </c>
      <c r="R43" s="78">
        <v>4</v>
      </c>
      <c r="S43" s="80" t="s">
        <v>10</v>
      </c>
      <c r="T43" s="81">
        <f t="shared" si="3"/>
        <v>-13.52</v>
      </c>
      <c r="U43" s="82"/>
      <c r="V43" s="137"/>
      <c r="W43" s="78"/>
      <c r="X43" s="78"/>
      <c r="Y43" s="445" t="s">
        <v>94</v>
      </c>
      <c r="Z43" s="141"/>
      <c r="AA43" s="135"/>
      <c r="AB43" s="360" t="s">
        <v>476</v>
      </c>
    </row>
    <row r="44" spans="1:32" s="206" customFormat="1" ht="69.95" customHeight="1" x14ac:dyDescent="0.15">
      <c r="A44" s="432"/>
      <c r="B44" s="186">
        <f>$I$6</f>
        <v>0</v>
      </c>
      <c r="C44" s="395">
        <f>$A$6</f>
        <v>0</v>
      </c>
      <c r="D44" s="396"/>
      <c r="E44" s="397"/>
      <c r="F44" s="395">
        <f>$A$6</f>
        <v>0</v>
      </c>
      <c r="G44" s="396"/>
      <c r="H44" s="397"/>
      <c r="I44" s="442"/>
      <c r="J44" s="144"/>
      <c r="K44" s="139">
        <v>15</v>
      </c>
      <c r="L44" s="145" t="s">
        <v>61</v>
      </c>
      <c r="M44" s="78">
        <f>K44*B44/500</f>
        <v>0</v>
      </c>
      <c r="N44" s="146"/>
      <c r="O44" s="147"/>
      <c r="P44" s="145" t="s">
        <v>10</v>
      </c>
      <c r="Q44" s="444"/>
      <c r="R44" s="161"/>
      <c r="S44" s="148" t="s">
        <v>10</v>
      </c>
      <c r="T44" s="84">
        <f t="shared" si="3"/>
        <v>0</v>
      </c>
      <c r="U44" s="149"/>
      <c r="V44" s="149"/>
      <c r="W44" s="150"/>
      <c r="X44" s="151"/>
      <c r="Y44" s="446"/>
      <c r="Z44" s="216"/>
      <c r="AA44" s="217"/>
      <c r="AB44" s="362"/>
      <c r="AC44" s="567"/>
      <c r="AD44" s="568"/>
      <c r="AE44" s="568"/>
      <c r="AF44" s="568"/>
    </row>
    <row r="45" spans="1:32" s="55" customFormat="1" ht="69.95" customHeight="1" x14ac:dyDescent="0.15">
      <c r="A45" s="431" t="s">
        <v>173</v>
      </c>
      <c r="B45" s="191">
        <f t="shared" ref="B45" si="9">$I$5</f>
        <v>584</v>
      </c>
      <c r="C45" s="422" t="str">
        <f t="shared" ref="C45" si="10">$A$5</f>
        <v>DE</v>
      </c>
      <c r="D45" s="423"/>
      <c r="E45" s="424"/>
      <c r="F45" s="425"/>
      <c r="G45" s="423"/>
      <c r="H45" s="424"/>
      <c r="I45" s="433" t="s">
        <v>174</v>
      </c>
      <c r="J45" s="192"/>
      <c r="K45" s="193">
        <v>1</v>
      </c>
      <c r="L45" s="194" t="s">
        <v>65</v>
      </c>
      <c r="M45" s="195">
        <f t="shared" ref="M45:M46" si="11">K45*B45</f>
        <v>584</v>
      </c>
      <c r="N45" s="196"/>
      <c r="O45" s="195"/>
      <c r="P45" s="194" t="s">
        <v>65</v>
      </c>
      <c r="Q45" s="435"/>
      <c r="R45" s="195"/>
      <c r="S45" s="194" t="s">
        <v>65</v>
      </c>
      <c r="T45" s="205">
        <f t="shared" si="3"/>
        <v>-584</v>
      </c>
      <c r="U45" s="199"/>
      <c r="V45" s="199"/>
      <c r="W45" s="208"/>
      <c r="X45" s="198"/>
      <c r="Y45" s="437" t="s">
        <v>57</v>
      </c>
      <c r="Z45" s="231"/>
      <c r="AA45" s="232"/>
      <c r="AB45" s="360"/>
    </row>
    <row r="46" spans="1:32" s="55" customFormat="1" ht="69.95" customHeight="1" x14ac:dyDescent="0.15">
      <c r="A46" s="432"/>
      <c r="B46" s="204">
        <f>$I$6</f>
        <v>0</v>
      </c>
      <c r="C46" s="453">
        <f>$A$6</f>
        <v>0</v>
      </c>
      <c r="D46" s="454"/>
      <c r="E46" s="455"/>
      <c r="F46" s="425"/>
      <c r="G46" s="423"/>
      <c r="H46" s="424"/>
      <c r="I46" s="434"/>
      <c r="J46" s="192"/>
      <c r="K46" s="193">
        <v>1</v>
      </c>
      <c r="L46" s="194" t="s">
        <v>65</v>
      </c>
      <c r="M46" s="195">
        <f t="shared" si="11"/>
        <v>0</v>
      </c>
      <c r="N46" s="233"/>
      <c r="O46" s="195"/>
      <c r="P46" s="194" t="s">
        <v>65</v>
      </c>
      <c r="Q46" s="561"/>
      <c r="R46" s="195"/>
      <c r="S46" s="194" t="s">
        <v>65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361"/>
      <c r="AC46" s="142"/>
      <c r="AD46" s="179"/>
      <c r="AE46" s="179"/>
      <c r="AF46" s="179"/>
    </row>
    <row r="47" spans="1:32" s="55" customFormat="1" ht="69.95" customHeight="1" x14ac:dyDescent="0.15">
      <c r="A47" s="431" t="s">
        <v>383</v>
      </c>
      <c r="B47" s="182">
        <f t="shared" ref="B47:B49" si="12">$I$5</f>
        <v>584</v>
      </c>
      <c r="C47" s="368" t="str">
        <f t="shared" ref="C47:C49" si="13">$A$5</f>
        <v>DE</v>
      </c>
      <c r="D47" s="369"/>
      <c r="E47" s="370"/>
      <c r="F47" s="428"/>
      <c r="G47" s="429"/>
      <c r="H47" s="430"/>
      <c r="I47" s="441" t="s">
        <v>121</v>
      </c>
      <c r="J47" s="76"/>
      <c r="K47" s="139">
        <v>2</v>
      </c>
      <c r="L47" s="77" t="s">
        <v>63</v>
      </c>
      <c r="M47" s="78">
        <f t="shared" si="4"/>
        <v>1168</v>
      </c>
      <c r="N47" s="79"/>
      <c r="O47" s="78"/>
      <c r="P47" s="80" t="s">
        <v>63</v>
      </c>
      <c r="Q47" s="443"/>
      <c r="R47" s="78"/>
      <c r="S47" s="80" t="s">
        <v>63</v>
      </c>
      <c r="T47" s="84">
        <f t="shared" si="3"/>
        <v>-1168</v>
      </c>
      <c r="U47" s="82"/>
      <c r="V47" s="82"/>
      <c r="W47" s="83"/>
      <c r="X47" s="81"/>
      <c r="Y47" s="445" t="s">
        <v>64</v>
      </c>
      <c r="Z47" s="86"/>
      <c r="AA47" s="85"/>
      <c r="AB47" s="360"/>
    </row>
    <row r="48" spans="1:32" s="55" customFormat="1" ht="69.95" customHeight="1" x14ac:dyDescent="0.15">
      <c r="A48" s="432"/>
      <c r="B48" s="186">
        <f>$I$6</f>
        <v>0</v>
      </c>
      <c r="C48" s="368">
        <f>$A$6</f>
        <v>0</v>
      </c>
      <c r="D48" s="369"/>
      <c r="E48" s="370"/>
      <c r="F48" s="428"/>
      <c r="G48" s="429"/>
      <c r="H48" s="430"/>
      <c r="I48" s="442"/>
      <c r="J48" s="76"/>
      <c r="K48" s="139">
        <v>2</v>
      </c>
      <c r="L48" s="77" t="s">
        <v>63</v>
      </c>
      <c r="M48" s="78">
        <f t="shared" si="4"/>
        <v>0</v>
      </c>
      <c r="N48" s="140"/>
      <c r="O48" s="78"/>
      <c r="P48" s="80" t="s">
        <v>63</v>
      </c>
      <c r="Q48" s="444"/>
      <c r="R48" s="78"/>
      <c r="S48" s="80" t="s">
        <v>63</v>
      </c>
      <c r="T48" s="81">
        <f t="shared" si="3"/>
        <v>0</v>
      </c>
      <c r="U48" s="82"/>
      <c r="V48" s="137"/>
      <c r="W48" s="78"/>
      <c r="X48" s="78"/>
      <c r="Y48" s="446"/>
      <c r="Z48" s="141"/>
      <c r="AA48" s="135"/>
      <c r="AB48" s="361"/>
      <c r="AC48" s="142"/>
      <c r="AD48" s="179"/>
      <c r="AE48" s="179"/>
      <c r="AF48" s="179"/>
    </row>
    <row r="49" spans="1:32" s="55" customFormat="1" ht="69.95" customHeight="1" x14ac:dyDescent="0.15">
      <c r="A49" s="431" t="s">
        <v>385</v>
      </c>
      <c r="B49" s="182">
        <f t="shared" si="12"/>
        <v>584</v>
      </c>
      <c r="C49" s="368" t="str">
        <f t="shared" si="13"/>
        <v>DE</v>
      </c>
      <c r="D49" s="369"/>
      <c r="E49" s="370"/>
      <c r="F49" s="428"/>
      <c r="G49" s="429"/>
      <c r="H49" s="430"/>
      <c r="I49" s="441" t="s">
        <v>384</v>
      </c>
      <c r="J49" s="76"/>
      <c r="K49" s="298">
        <v>0.9</v>
      </c>
      <c r="L49" s="77" t="s">
        <v>63</v>
      </c>
      <c r="M49" s="78">
        <f t="shared" si="4"/>
        <v>525.6</v>
      </c>
      <c r="N49" s="79"/>
      <c r="O49" s="78"/>
      <c r="P49" s="80" t="s">
        <v>63</v>
      </c>
      <c r="Q49" s="447"/>
      <c r="R49" s="78"/>
      <c r="S49" s="80" t="s">
        <v>63</v>
      </c>
      <c r="T49" s="84">
        <f t="shared" si="3"/>
        <v>-525.6</v>
      </c>
      <c r="U49" s="82"/>
      <c r="V49" s="82"/>
      <c r="W49" s="83"/>
      <c r="X49" s="81"/>
      <c r="Y49" s="445" t="s">
        <v>64</v>
      </c>
      <c r="Z49" s="86"/>
      <c r="AA49" s="85"/>
      <c r="AB49" s="361"/>
    </row>
    <row r="50" spans="1:32" s="55" customFormat="1" ht="69.95" customHeight="1" x14ac:dyDescent="0.15">
      <c r="A50" s="432"/>
      <c r="B50" s="186">
        <f>$I$6</f>
        <v>0</v>
      </c>
      <c r="C50" s="368">
        <f>$A$6</f>
        <v>0</v>
      </c>
      <c r="D50" s="369"/>
      <c r="E50" s="370"/>
      <c r="F50" s="428"/>
      <c r="G50" s="429"/>
      <c r="H50" s="430"/>
      <c r="I50" s="442"/>
      <c r="J50" s="76"/>
      <c r="K50" s="298">
        <v>0.9</v>
      </c>
      <c r="L50" s="77" t="s">
        <v>63</v>
      </c>
      <c r="M50" s="78">
        <f t="shared" si="4"/>
        <v>0</v>
      </c>
      <c r="N50" s="140"/>
      <c r="O50" s="78"/>
      <c r="P50" s="80" t="s">
        <v>63</v>
      </c>
      <c r="Q50" s="444"/>
      <c r="R50" s="78"/>
      <c r="S50" s="80" t="s">
        <v>63</v>
      </c>
      <c r="T50" s="81">
        <f t="shared" si="3"/>
        <v>0</v>
      </c>
      <c r="U50" s="82"/>
      <c r="V50" s="137"/>
      <c r="W50" s="78"/>
      <c r="X50" s="78"/>
      <c r="Y50" s="446"/>
      <c r="Z50" s="141"/>
      <c r="AA50" s="135"/>
      <c r="AB50" s="362"/>
      <c r="AC50" s="142"/>
      <c r="AD50" s="179"/>
      <c r="AE50" s="179"/>
      <c r="AF50" s="179"/>
    </row>
    <row r="51" spans="1:32" s="55" customFormat="1" ht="54.95" customHeight="1" x14ac:dyDescent="0.15">
      <c r="A51" s="386" t="s">
        <v>66</v>
      </c>
      <c r="B51" s="87">
        <f>C11</f>
        <v>270</v>
      </c>
      <c r="C51" s="389" t="e">
        <f>#REF!</f>
        <v>#REF!</v>
      </c>
      <c r="D51" s="390"/>
      <c r="E51" s="391"/>
      <c r="F51" s="368"/>
      <c r="G51" s="369"/>
      <c r="H51" s="370"/>
      <c r="I51" s="152"/>
      <c r="J51" s="75"/>
      <c r="K51" s="139">
        <v>1</v>
      </c>
      <c r="L51" s="77" t="s">
        <v>63</v>
      </c>
      <c r="M51" s="88">
        <f t="shared" si="4"/>
        <v>270</v>
      </c>
      <c r="N51" s="89"/>
      <c r="O51" s="153"/>
      <c r="P51" s="88" t="s">
        <v>63</v>
      </c>
      <c r="Q51" s="443">
        <v>46221</v>
      </c>
      <c r="R51" s="153">
        <v>270</v>
      </c>
      <c r="S51" s="88" t="s">
        <v>63</v>
      </c>
      <c r="T51" s="154">
        <f t="shared" si="3"/>
        <v>0</v>
      </c>
      <c r="U51" s="129"/>
      <c r="V51" s="155"/>
      <c r="W51" s="154"/>
      <c r="X51" s="154"/>
      <c r="Y51" s="401" t="s">
        <v>72</v>
      </c>
      <c r="Z51" s="401"/>
      <c r="AA51" s="401"/>
      <c r="AB51" s="579" t="s">
        <v>485</v>
      </c>
    </row>
    <row r="52" spans="1:32" s="55" customFormat="1" ht="54.95" customHeight="1" x14ac:dyDescent="0.15">
      <c r="A52" s="387"/>
      <c r="B52" s="87">
        <f>D11</f>
        <v>250</v>
      </c>
      <c r="C52" s="392"/>
      <c r="D52" s="393"/>
      <c r="E52" s="394"/>
      <c r="F52" s="368"/>
      <c r="G52" s="369"/>
      <c r="H52" s="370"/>
      <c r="I52" s="152"/>
      <c r="J52" s="75"/>
      <c r="K52" s="156">
        <v>1</v>
      </c>
      <c r="L52" s="77" t="s">
        <v>63</v>
      </c>
      <c r="M52" s="88">
        <f t="shared" si="4"/>
        <v>250</v>
      </c>
      <c r="N52" s="89"/>
      <c r="O52" s="153"/>
      <c r="P52" s="88" t="s">
        <v>63</v>
      </c>
      <c r="Q52" s="447"/>
      <c r="R52" s="153">
        <v>250</v>
      </c>
      <c r="S52" s="88" t="s">
        <v>63</v>
      </c>
      <c r="T52" s="154">
        <f t="shared" si="3"/>
        <v>0</v>
      </c>
      <c r="U52" s="129"/>
      <c r="V52" s="155"/>
      <c r="W52" s="154"/>
      <c r="X52" s="154"/>
      <c r="Y52" s="402"/>
      <c r="Z52" s="402"/>
      <c r="AA52" s="402"/>
      <c r="AB52" s="580"/>
    </row>
    <row r="53" spans="1:32" s="55" customFormat="1" ht="54.95" customHeight="1" x14ac:dyDescent="0.15">
      <c r="A53" s="387"/>
      <c r="B53" s="87">
        <f>E11</f>
        <v>64</v>
      </c>
      <c r="C53" s="392"/>
      <c r="D53" s="393"/>
      <c r="E53" s="394"/>
      <c r="F53" s="368"/>
      <c r="G53" s="369"/>
      <c r="H53" s="370"/>
      <c r="I53" s="152"/>
      <c r="J53" s="75"/>
      <c r="K53" s="156">
        <v>1</v>
      </c>
      <c r="L53" s="77" t="s">
        <v>63</v>
      </c>
      <c r="M53" s="88">
        <f t="shared" si="4"/>
        <v>64</v>
      </c>
      <c r="N53" s="89"/>
      <c r="O53" s="153"/>
      <c r="P53" s="88" t="s">
        <v>63</v>
      </c>
      <c r="Q53" s="447"/>
      <c r="R53" s="153">
        <v>64</v>
      </c>
      <c r="S53" s="88" t="s">
        <v>63</v>
      </c>
      <c r="T53" s="154">
        <f t="shared" si="3"/>
        <v>0</v>
      </c>
      <c r="U53" s="129"/>
      <c r="V53" s="155"/>
      <c r="W53" s="154"/>
      <c r="X53" s="154"/>
      <c r="Y53" s="402"/>
      <c r="Z53" s="402"/>
      <c r="AA53" s="402"/>
      <c r="AB53" s="580"/>
    </row>
    <row r="54" spans="1:32" s="55" customFormat="1" ht="54.95" customHeight="1" x14ac:dyDescent="0.15">
      <c r="A54" s="387"/>
      <c r="B54" s="87">
        <f>F11</f>
        <v>0</v>
      </c>
      <c r="C54" s="392"/>
      <c r="D54" s="393"/>
      <c r="E54" s="394"/>
      <c r="F54" s="368"/>
      <c r="G54" s="369"/>
      <c r="H54" s="370"/>
      <c r="I54" s="152"/>
      <c r="J54" s="75"/>
      <c r="K54" s="156">
        <v>1</v>
      </c>
      <c r="L54" s="77" t="s">
        <v>63</v>
      </c>
      <c r="M54" s="88">
        <f t="shared" si="4"/>
        <v>0</v>
      </c>
      <c r="N54" s="89"/>
      <c r="O54" s="153"/>
      <c r="P54" s="88" t="s">
        <v>63</v>
      </c>
      <c r="Q54" s="447"/>
      <c r="R54" s="153"/>
      <c r="S54" s="88" t="s">
        <v>63</v>
      </c>
      <c r="T54" s="154">
        <f t="shared" si="3"/>
        <v>0</v>
      </c>
      <c r="U54" s="129"/>
      <c r="V54" s="155"/>
      <c r="W54" s="154"/>
      <c r="X54" s="154"/>
      <c r="Y54" s="402"/>
      <c r="Z54" s="402"/>
      <c r="AA54" s="402"/>
      <c r="AB54" s="580"/>
    </row>
    <row r="55" spans="1:32" s="55" customFormat="1" ht="54.95" customHeight="1" x14ac:dyDescent="0.15">
      <c r="A55" s="388"/>
      <c r="B55" s="87">
        <f>G11</f>
        <v>0</v>
      </c>
      <c r="C55" s="395"/>
      <c r="D55" s="396"/>
      <c r="E55" s="397"/>
      <c r="F55" s="368"/>
      <c r="G55" s="369"/>
      <c r="H55" s="370"/>
      <c r="I55" s="152"/>
      <c r="J55" s="75"/>
      <c r="K55" s="156">
        <v>1</v>
      </c>
      <c r="L55" s="77" t="s">
        <v>63</v>
      </c>
      <c r="M55" s="88">
        <f t="shared" si="4"/>
        <v>0</v>
      </c>
      <c r="N55" s="89"/>
      <c r="O55" s="153"/>
      <c r="P55" s="88" t="s">
        <v>63</v>
      </c>
      <c r="Q55" s="444"/>
      <c r="R55" s="153"/>
      <c r="S55" s="88" t="s">
        <v>63</v>
      </c>
      <c r="T55" s="154">
        <f t="shared" si="3"/>
        <v>0</v>
      </c>
      <c r="U55" s="129"/>
      <c r="V55" s="155"/>
      <c r="W55" s="154"/>
      <c r="X55" s="154"/>
      <c r="Y55" s="403"/>
      <c r="Z55" s="403"/>
      <c r="AA55" s="403"/>
      <c r="AB55" s="581"/>
    </row>
    <row r="56" spans="1:32" s="55" customFormat="1" ht="54.95" customHeight="1" x14ac:dyDescent="0.15">
      <c r="A56" s="386" t="s">
        <v>68</v>
      </c>
      <c r="B56" s="87">
        <f>C5</f>
        <v>270</v>
      </c>
      <c r="C56" s="461" t="str">
        <f>A5</f>
        <v>DE</v>
      </c>
      <c r="D56" s="461"/>
      <c r="E56" s="461"/>
      <c r="F56" s="368"/>
      <c r="G56" s="369"/>
      <c r="H56" s="370"/>
      <c r="I56" s="152"/>
      <c r="J56" s="152"/>
      <c r="K56" s="156">
        <v>1</v>
      </c>
      <c r="L56" s="77" t="s">
        <v>63</v>
      </c>
      <c r="M56" s="88">
        <f t="shared" si="4"/>
        <v>270</v>
      </c>
      <c r="N56" s="89"/>
      <c r="O56" s="153"/>
      <c r="P56" s="88" t="s">
        <v>63</v>
      </c>
      <c r="Q56" s="443">
        <v>46221</v>
      </c>
      <c r="R56" s="153">
        <v>270</v>
      </c>
      <c r="S56" s="88" t="s">
        <v>63</v>
      </c>
      <c r="T56" s="154">
        <f t="shared" si="3"/>
        <v>0</v>
      </c>
      <c r="U56" s="157"/>
      <c r="V56" s="158"/>
      <c r="W56" s="154"/>
      <c r="X56" s="154"/>
      <c r="Y56" s="582" t="s">
        <v>72</v>
      </c>
      <c r="Z56" s="582"/>
      <c r="AA56" s="582"/>
      <c r="AB56" s="579" t="s">
        <v>485</v>
      </c>
    </row>
    <row r="57" spans="1:32" s="55" customFormat="1" ht="54.95" customHeight="1" x14ac:dyDescent="0.15">
      <c r="A57" s="387"/>
      <c r="B57" s="87">
        <f>D5</f>
        <v>250</v>
      </c>
      <c r="C57" s="461"/>
      <c r="D57" s="461"/>
      <c r="E57" s="461"/>
      <c r="F57" s="368"/>
      <c r="G57" s="369"/>
      <c r="H57" s="370"/>
      <c r="I57" s="152"/>
      <c r="J57" s="152"/>
      <c r="K57" s="156">
        <v>1</v>
      </c>
      <c r="L57" s="77" t="s">
        <v>63</v>
      </c>
      <c r="M57" s="88">
        <f t="shared" si="4"/>
        <v>250</v>
      </c>
      <c r="N57" s="89"/>
      <c r="O57" s="153"/>
      <c r="P57" s="88" t="s">
        <v>63</v>
      </c>
      <c r="Q57" s="447"/>
      <c r="R57" s="153">
        <v>250</v>
      </c>
      <c r="S57" s="88" t="s">
        <v>63</v>
      </c>
      <c r="T57" s="154">
        <f t="shared" si="3"/>
        <v>0</v>
      </c>
      <c r="U57" s="157"/>
      <c r="V57" s="158"/>
      <c r="W57" s="154"/>
      <c r="X57" s="154"/>
      <c r="Y57" s="582"/>
      <c r="Z57" s="582"/>
      <c r="AA57" s="582"/>
      <c r="AB57" s="580"/>
    </row>
    <row r="58" spans="1:32" s="55" customFormat="1" ht="54.95" customHeight="1" x14ac:dyDescent="0.15">
      <c r="A58" s="387"/>
      <c r="B58" s="87">
        <f>E5</f>
        <v>64</v>
      </c>
      <c r="C58" s="461"/>
      <c r="D58" s="461"/>
      <c r="E58" s="461"/>
      <c r="F58" s="368"/>
      <c r="G58" s="369"/>
      <c r="H58" s="370"/>
      <c r="I58" s="152"/>
      <c r="J58" s="152"/>
      <c r="K58" s="156">
        <v>1</v>
      </c>
      <c r="L58" s="77" t="s">
        <v>63</v>
      </c>
      <c r="M58" s="88">
        <f t="shared" si="4"/>
        <v>64</v>
      </c>
      <c r="N58" s="89"/>
      <c r="O58" s="153"/>
      <c r="P58" s="88" t="s">
        <v>63</v>
      </c>
      <c r="Q58" s="447"/>
      <c r="R58" s="153">
        <v>64</v>
      </c>
      <c r="S58" s="88" t="s">
        <v>63</v>
      </c>
      <c r="T58" s="154">
        <f t="shared" si="3"/>
        <v>0</v>
      </c>
      <c r="U58" s="157"/>
      <c r="V58" s="158"/>
      <c r="W58" s="154"/>
      <c r="X58" s="154"/>
      <c r="Y58" s="582"/>
      <c r="Z58" s="582"/>
      <c r="AA58" s="582"/>
      <c r="AB58" s="580"/>
    </row>
    <row r="59" spans="1:32" s="55" customFormat="1" ht="54.95" customHeight="1" x14ac:dyDescent="0.15">
      <c r="A59" s="387"/>
      <c r="B59" s="87">
        <f>C6</f>
        <v>0</v>
      </c>
      <c r="C59" s="461">
        <f>A6</f>
        <v>0</v>
      </c>
      <c r="D59" s="461"/>
      <c r="E59" s="461"/>
      <c r="F59" s="368"/>
      <c r="G59" s="369"/>
      <c r="H59" s="370"/>
      <c r="I59" s="152"/>
      <c r="J59" s="152"/>
      <c r="K59" s="156">
        <v>1</v>
      </c>
      <c r="L59" s="77" t="s">
        <v>63</v>
      </c>
      <c r="M59" s="88">
        <f t="shared" si="4"/>
        <v>0</v>
      </c>
      <c r="N59" s="89"/>
      <c r="O59" s="153"/>
      <c r="P59" s="88" t="s">
        <v>63</v>
      </c>
      <c r="Q59" s="447"/>
      <c r="R59" s="77"/>
      <c r="S59" s="88" t="s">
        <v>63</v>
      </c>
      <c r="T59" s="154">
        <f t="shared" si="3"/>
        <v>0</v>
      </c>
      <c r="U59" s="157"/>
      <c r="V59" s="158"/>
      <c r="W59" s="154"/>
      <c r="X59" s="154"/>
      <c r="Y59" s="582" t="s">
        <v>72</v>
      </c>
      <c r="Z59" s="582"/>
      <c r="AA59" s="582"/>
      <c r="AB59" s="580"/>
    </row>
    <row r="60" spans="1:32" s="55" customFormat="1" ht="54.95" customHeight="1" x14ac:dyDescent="0.15">
      <c r="A60" s="387"/>
      <c r="B60" s="87">
        <f>D6</f>
        <v>0</v>
      </c>
      <c r="C60" s="461"/>
      <c r="D60" s="461"/>
      <c r="E60" s="461"/>
      <c r="F60" s="368"/>
      <c r="G60" s="369"/>
      <c r="H60" s="370"/>
      <c r="I60" s="152"/>
      <c r="J60" s="152"/>
      <c r="K60" s="156">
        <v>1</v>
      </c>
      <c r="L60" s="77" t="s">
        <v>63</v>
      </c>
      <c r="M60" s="88">
        <f t="shared" si="4"/>
        <v>0</v>
      </c>
      <c r="N60" s="89"/>
      <c r="O60" s="153"/>
      <c r="P60" s="88" t="s">
        <v>63</v>
      </c>
      <c r="Q60" s="447"/>
      <c r="R60" s="77"/>
      <c r="S60" s="88" t="s">
        <v>63</v>
      </c>
      <c r="T60" s="154">
        <f t="shared" si="3"/>
        <v>0</v>
      </c>
      <c r="U60" s="157"/>
      <c r="V60" s="158"/>
      <c r="W60" s="154"/>
      <c r="X60" s="154"/>
      <c r="Y60" s="582"/>
      <c r="Z60" s="582"/>
      <c r="AA60" s="582"/>
      <c r="AB60" s="580"/>
    </row>
    <row r="61" spans="1:32" s="55" customFormat="1" ht="54.95" customHeight="1" x14ac:dyDescent="0.15">
      <c r="A61" s="387"/>
      <c r="B61" s="87">
        <f>E6</f>
        <v>0</v>
      </c>
      <c r="C61" s="461"/>
      <c r="D61" s="461"/>
      <c r="E61" s="461"/>
      <c r="F61" s="368"/>
      <c r="G61" s="369"/>
      <c r="H61" s="370"/>
      <c r="I61" s="152"/>
      <c r="J61" s="152"/>
      <c r="K61" s="156">
        <v>1</v>
      </c>
      <c r="L61" s="77" t="s">
        <v>63</v>
      </c>
      <c r="M61" s="88">
        <f t="shared" si="4"/>
        <v>0</v>
      </c>
      <c r="N61" s="89"/>
      <c r="O61" s="153"/>
      <c r="P61" s="88" t="s">
        <v>63</v>
      </c>
      <c r="Q61" s="447"/>
      <c r="R61" s="153"/>
      <c r="S61" s="88" t="s">
        <v>63</v>
      </c>
      <c r="T61" s="154">
        <f>R61-M61</f>
        <v>0</v>
      </c>
      <c r="U61" s="157"/>
      <c r="V61" s="158"/>
      <c r="W61" s="154"/>
      <c r="X61" s="154"/>
      <c r="Y61" s="582"/>
      <c r="Z61" s="582"/>
      <c r="AA61" s="582"/>
      <c r="AB61" s="580"/>
    </row>
    <row r="62" spans="1:32" s="55" customFormat="1" ht="54.95" customHeight="1" x14ac:dyDescent="0.15">
      <c r="A62" s="387"/>
      <c r="B62" s="87">
        <f>C7</f>
        <v>0</v>
      </c>
      <c r="C62" s="392">
        <f>A7</f>
        <v>0</v>
      </c>
      <c r="D62" s="393"/>
      <c r="E62" s="394"/>
      <c r="F62" s="368"/>
      <c r="G62" s="369"/>
      <c r="H62" s="370"/>
      <c r="I62" s="152"/>
      <c r="J62" s="152"/>
      <c r="K62" s="156">
        <v>1</v>
      </c>
      <c r="L62" s="77" t="s">
        <v>63</v>
      </c>
      <c r="M62" s="88">
        <f t="shared" si="4"/>
        <v>0</v>
      </c>
      <c r="N62" s="89"/>
      <c r="O62" s="153"/>
      <c r="P62" s="88" t="s">
        <v>63</v>
      </c>
      <c r="Q62" s="447"/>
      <c r="R62" s="153"/>
      <c r="S62" s="88" t="s">
        <v>63</v>
      </c>
      <c r="T62" s="154">
        <f>R62-M62</f>
        <v>0</v>
      </c>
      <c r="U62" s="157"/>
      <c r="V62" s="158"/>
      <c r="W62" s="154"/>
      <c r="X62" s="154"/>
      <c r="Y62" s="582" t="s">
        <v>72</v>
      </c>
      <c r="Z62" s="582"/>
      <c r="AA62" s="582"/>
      <c r="AB62" s="580"/>
    </row>
    <row r="63" spans="1:32" s="55" customFormat="1" ht="54.95" customHeight="1" x14ac:dyDescent="0.15">
      <c r="A63" s="387"/>
      <c r="B63" s="87">
        <f>D7</f>
        <v>0</v>
      </c>
      <c r="C63" s="392"/>
      <c r="D63" s="393"/>
      <c r="E63" s="394"/>
      <c r="F63" s="368"/>
      <c r="G63" s="369"/>
      <c r="H63" s="370"/>
      <c r="I63" s="152"/>
      <c r="J63" s="152"/>
      <c r="K63" s="156">
        <v>1</v>
      </c>
      <c r="L63" s="77" t="s">
        <v>63</v>
      </c>
      <c r="M63" s="88">
        <f t="shared" si="4"/>
        <v>0</v>
      </c>
      <c r="N63" s="89"/>
      <c r="O63" s="153"/>
      <c r="P63" s="88" t="s">
        <v>63</v>
      </c>
      <c r="Q63" s="447"/>
      <c r="R63" s="153"/>
      <c r="S63" s="88" t="s">
        <v>63</v>
      </c>
      <c r="T63" s="154">
        <f>R63-M63</f>
        <v>0</v>
      </c>
      <c r="U63" s="157"/>
      <c r="V63" s="158"/>
      <c r="W63" s="154"/>
      <c r="X63" s="154"/>
      <c r="Y63" s="582"/>
      <c r="Z63" s="582"/>
      <c r="AA63" s="582"/>
      <c r="AB63" s="580"/>
    </row>
    <row r="64" spans="1:32" s="55" customFormat="1" ht="54.95" customHeight="1" x14ac:dyDescent="0.15">
      <c r="A64" s="387"/>
      <c r="B64" s="87">
        <f>E7</f>
        <v>0</v>
      </c>
      <c r="C64" s="392"/>
      <c r="D64" s="393"/>
      <c r="E64" s="394"/>
      <c r="F64" s="368"/>
      <c r="G64" s="369"/>
      <c r="H64" s="370"/>
      <c r="I64" s="152"/>
      <c r="J64" s="152"/>
      <c r="K64" s="156">
        <v>1</v>
      </c>
      <c r="L64" s="77" t="s">
        <v>63</v>
      </c>
      <c r="M64" s="88">
        <f t="shared" si="4"/>
        <v>0</v>
      </c>
      <c r="N64" s="89"/>
      <c r="O64" s="153"/>
      <c r="P64" s="88" t="s">
        <v>63</v>
      </c>
      <c r="Q64" s="444"/>
      <c r="R64" s="77"/>
      <c r="S64" s="88" t="s">
        <v>63</v>
      </c>
      <c r="T64" s="154">
        <f>R64-M64</f>
        <v>0</v>
      </c>
      <c r="U64" s="157"/>
      <c r="V64" s="158"/>
      <c r="W64" s="154"/>
      <c r="X64" s="154"/>
      <c r="Y64" s="582"/>
      <c r="Z64" s="582"/>
      <c r="AA64" s="582"/>
      <c r="AB64" s="581"/>
    </row>
    <row r="65" spans="1:28" s="55" customFormat="1" ht="54.95" customHeight="1" x14ac:dyDescent="0.15">
      <c r="A65" s="386" t="s">
        <v>69</v>
      </c>
      <c r="B65" s="87">
        <f>C5</f>
        <v>270</v>
      </c>
      <c r="C65" s="461" t="str">
        <f>A5</f>
        <v>DE</v>
      </c>
      <c r="D65" s="461"/>
      <c r="E65" s="461"/>
      <c r="F65" s="368"/>
      <c r="G65" s="369"/>
      <c r="H65" s="370"/>
      <c r="I65" s="152"/>
      <c r="J65" s="152"/>
      <c r="K65" s="156">
        <v>1</v>
      </c>
      <c r="L65" s="77" t="s">
        <v>63</v>
      </c>
      <c r="M65" s="88">
        <f t="shared" si="4"/>
        <v>270</v>
      </c>
      <c r="N65" s="89"/>
      <c r="O65" s="153"/>
      <c r="P65" s="88" t="s">
        <v>63</v>
      </c>
      <c r="Q65" s="443"/>
      <c r="R65" s="153"/>
      <c r="S65" s="88" t="s">
        <v>63</v>
      </c>
      <c r="T65" s="154">
        <f t="shared" si="3"/>
        <v>-270</v>
      </c>
      <c r="U65" s="583"/>
      <c r="V65" s="158"/>
      <c r="W65" s="154"/>
      <c r="X65" s="154"/>
      <c r="Y65" s="401" t="s">
        <v>67</v>
      </c>
      <c r="Z65" s="401"/>
      <c r="AA65" s="401"/>
      <c r="AB65" s="579"/>
    </row>
    <row r="66" spans="1:28" s="55" customFormat="1" ht="54.95" customHeight="1" x14ac:dyDescent="0.15">
      <c r="A66" s="387"/>
      <c r="B66" s="87">
        <f>D5</f>
        <v>250</v>
      </c>
      <c r="C66" s="461"/>
      <c r="D66" s="461"/>
      <c r="E66" s="461"/>
      <c r="F66" s="368"/>
      <c r="G66" s="369"/>
      <c r="H66" s="370"/>
      <c r="I66" s="152"/>
      <c r="J66" s="152"/>
      <c r="K66" s="156">
        <v>1</v>
      </c>
      <c r="L66" s="77" t="s">
        <v>63</v>
      </c>
      <c r="M66" s="88">
        <f t="shared" si="4"/>
        <v>250</v>
      </c>
      <c r="N66" s="89"/>
      <c r="O66" s="153"/>
      <c r="P66" s="88" t="s">
        <v>63</v>
      </c>
      <c r="Q66" s="447"/>
      <c r="R66" s="153"/>
      <c r="S66" s="88" t="s">
        <v>63</v>
      </c>
      <c r="T66" s="154">
        <f t="shared" si="3"/>
        <v>-250</v>
      </c>
      <c r="U66" s="584"/>
      <c r="V66" s="158"/>
      <c r="W66" s="154"/>
      <c r="X66" s="154"/>
      <c r="Y66" s="402"/>
      <c r="Z66" s="402"/>
      <c r="AA66" s="402"/>
      <c r="AB66" s="580"/>
    </row>
    <row r="67" spans="1:28" s="55" customFormat="1" ht="54.95" customHeight="1" x14ac:dyDescent="0.15">
      <c r="A67" s="387"/>
      <c r="B67" s="87">
        <f>E5</f>
        <v>64</v>
      </c>
      <c r="C67" s="461"/>
      <c r="D67" s="461"/>
      <c r="E67" s="461"/>
      <c r="F67" s="368"/>
      <c r="G67" s="369"/>
      <c r="H67" s="370"/>
      <c r="I67" s="152"/>
      <c r="J67" s="152"/>
      <c r="K67" s="156">
        <v>1</v>
      </c>
      <c r="L67" s="77" t="s">
        <v>63</v>
      </c>
      <c r="M67" s="88">
        <f t="shared" si="4"/>
        <v>64</v>
      </c>
      <c r="N67" s="89"/>
      <c r="O67" s="153"/>
      <c r="P67" s="88" t="s">
        <v>63</v>
      </c>
      <c r="Q67" s="447"/>
      <c r="R67" s="153"/>
      <c r="S67" s="88" t="s">
        <v>63</v>
      </c>
      <c r="T67" s="154">
        <f t="shared" si="3"/>
        <v>-64</v>
      </c>
      <c r="U67" s="584"/>
      <c r="V67" s="158"/>
      <c r="W67" s="154"/>
      <c r="X67" s="154"/>
      <c r="Y67" s="402"/>
      <c r="Z67" s="402"/>
      <c r="AA67" s="402"/>
      <c r="AB67" s="580"/>
    </row>
    <row r="68" spans="1:28" s="55" customFormat="1" ht="54.95" customHeight="1" x14ac:dyDescent="0.15">
      <c r="A68" s="387"/>
      <c r="B68" s="87">
        <f>C6</f>
        <v>0</v>
      </c>
      <c r="C68" s="461">
        <f>A6</f>
        <v>0</v>
      </c>
      <c r="D68" s="461"/>
      <c r="E68" s="461"/>
      <c r="F68" s="368"/>
      <c r="G68" s="369"/>
      <c r="H68" s="370"/>
      <c r="I68" s="152"/>
      <c r="J68" s="152"/>
      <c r="K68" s="156">
        <v>1</v>
      </c>
      <c r="L68" s="77" t="s">
        <v>63</v>
      </c>
      <c r="M68" s="88">
        <f t="shared" si="4"/>
        <v>0</v>
      </c>
      <c r="N68" s="89"/>
      <c r="O68" s="153"/>
      <c r="P68" s="88" t="s">
        <v>63</v>
      </c>
      <c r="Q68" s="447"/>
      <c r="R68" s="77"/>
      <c r="S68" s="88" t="s">
        <v>63</v>
      </c>
      <c r="T68" s="154">
        <f t="shared" si="3"/>
        <v>0</v>
      </c>
      <c r="U68" s="584"/>
      <c r="V68" s="158"/>
      <c r="W68" s="154"/>
      <c r="X68" s="154"/>
      <c r="Y68" s="402"/>
      <c r="Z68" s="401"/>
      <c r="AA68" s="401"/>
      <c r="AB68" s="580"/>
    </row>
    <row r="69" spans="1:28" s="55" customFormat="1" ht="54.95" customHeight="1" x14ac:dyDescent="0.15">
      <c r="A69" s="387"/>
      <c r="B69" s="87">
        <f>D6</f>
        <v>0</v>
      </c>
      <c r="C69" s="461"/>
      <c r="D69" s="461"/>
      <c r="E69" s="461"/>
      <c r="F69" s="368"/>
      <c r="G69" s="369"/>
      <c r="H69" s="370"/>
      <c r="I69" s="152"/>
      <c r="J69" s="152"/>
      <c r="K69" s="156">
        <v>1</v>
      </c>
      <c r="L69" s="77" t="s">
        <v>63</v>
      </c>
      <c r="M69" s="88">
        <f t="shared" si="4"/>
        <v>0</v>
      </c>
      <c r="N69" s="89"/>
      <c r="O69" s="153"/>
      <c r="P69" s="88" t="s">
        <v>63</v>
      </c>
      <c r="Q69" s="447"/>
      <c r="R69" s="77"/>
      <c r="S69" s="88" t="s">
        <v>63</v>
      </c>
      <c r="T69" s="154">
        <f t="shared" si="3"/>
        <v>0</v>
      </c>
      <c r="U69" s="585"/>
      <c r="V69" s="158"/>
      <c r="W69" s="154"/>
      <c r="X69" s="154"/>
      <c r="Y69" s="402"/>
      <c r="Z69" s="402"/>
      <c r="AA69" s="402"/>
      <c r="AB69" s="580"/>
    </row>
    <row r="70" spans="1:28" s="55" customFormat="1" ht="54.95" customHeight="1" x14ac:dyDescent="0.15">
      <c r="A70" s="387"/>
      <c r="B70" s="87">
        <f>E6</f>
        <v>0</v>
      </c>
      <c r="C70" s="461"/>
      <c r="D70" s="461"/>
      <c r="E70" s="461"/>
      <c r="F70" s="368"/>
      <c r="G70" s="369"/>
      <c r="H70" s="370"/>
      <c r="I70" s="152"/>
      <c r="J70" s="152"/>
      <c r="K70" s="156">
        <v>1</v>
      </c>
      <c r="L70" s="77" t="s">
        <v>63</v>
      </c>
      <c r="M70" s="88">
        <f t="shared" si="4"/>
        <v>0</v>
      </c>
      <c r="N70" s="89"/>
      <c r="O70" s="153"/>
      <c r="P70" s="88" t="s">
        <v>63</v>
      </c>
      <c r="Q70" s="447"/>
      <c r="R70" s="153"/>
      <c r="S70" s="88" t="s">
        <v>63</v>
      </c>
      <c r="T70" s="154">
        <f t="shared" si="3"/>
        <v>0</v>
      </c>
      <c r="U70" s="157"/>
      <c r="V70" s="158"/>
      <c r="W70" s="154"/>
      <c r="X70" s="154"/>
      <c r="Y70" s="402"/>
      <c r="Z70" s="402"/>
      <c r="AA70" s="402"/>
      <c r="AB70" s="580"/>
    </row>
    <row r="71" spans="1:28" s="55" customFormat="1" ht="54.95" customHeight="1" x14ac:dyDescent="0.15">
      <c r="A71" s="387"/>
      <c r="B71" s="87">
        <f>C7</f>
        <v>0</v>
      </c>
      <c r="C71" s="461">
        <f>A7</f>
        <v>0</v>
      </c>
      <c r="D71" s="461"/>
      <c r="E71" s="461"/>
      <c r="F71" s="368"/>
      <c r="G71" s="369"/>
      <c r="H71" s="370"/>
      <c r="I71" s="152"/>
      <c r="J71" s="152"/>
      <c r="K71" s="156">
        <v>1</v>
      </c>
      <c r="L71" s="77" t="s">
        <v>63</v>
      </c>
      <c r="M71" s="88">
        <f t="shared" si="4"/>
        <v>0</v>
      </c>
      <c r="N71" s="89"/>
      <c r="O71" s="153"/>
      <c r="P71" s="88" t="s">
        <v>63</v>
      </c>
      <c r="Q71" s="447"/>
      <c r="R71" s="153"/>
      <c r="S71" s="88" t="s">
        <v>63</v>
      </c>
      <c r="T71" s="154">
        <f t="shared" si="3"/>
        <v>0</v>
      </c>
      <c r="U71" s="157"/>
      <c r="V71" s="158"/>
      <c r="W71" s="154"/>
      <c r="X71" s="154"/>
      <c r="Y71" s="402"/>
      <c r="Z71" s="401"/>
      <c r="AA71" s="401"/>
      <c r="AB71" s="580"/>
    </row>
    <row r="72" spans="1:28" s="55" customFormat="1" ht="54.95" customHeight="1" x14ac:dyDescent="0.15">
      <c r="A72" s="387"/>
      <c r="B72" s="87">
        <f>D7</f>
        <v>0</v>
      </c>
      <c r="C72" s="461"/>
      <c r="D72" s="461"/>
      <c r="E72" s="461"/>
      <c r="F72" s="368"/>
      <c r="G72" s="369"/>
      <c r="H72" s="370"/>
      <c r="I72" s="152"/>
      <c r="J72" s="152"/>
      <c r="K72" s="156">
        <v>1</v>
      </c>
      <c r="L72" s="77" t="s">
        <v>63</v>
      </c>
      <c r="M72" s="88">
        <f t="shared" si="4"/>
        <v>0</v>
      </c>
      <c r="N72" s="89"/>
      <c r="O72" s="153"/>
      <c r="P72" s="88" t="s">
        <v>63</v>
      </c>
      <c r="Q72" s="447"/>
      <c r="R72" s="153"/>
      <c r="S72" s="88" t="s">
        <v>63</v>
      </c>
      <c r="T72" s="154">
        <f t="shared" si="3"/>
        <v>0</v>
      </c>
      <c r="U72" s="157"/>
      <c r="V72" s="158"/>
      <c r="W72" s="154"/>
      <c r="X72" s="154"/>
      <c r="Y72" s="402"/>
      <c r="Z72" s="402"/>
      <c r="AA72" s="402"/>
      <c r="AB72" s="580"/>
    </row>
    <row r="73" spans="1:28" s="55" customFormat="1" ht="54.95" customHeight="1" x14ac:dyDescent="0.15">
      <c r="A73" s="387"/>
      <c r="B73" s="87">
        <f>E7</f>
        <v>0</v>
      </c>
      <c r="C73" s="461"/>
      <c r="D73" s="461"/>
      <c r="E73" s="461"/>
      <c r="F73" s="368"/>
      <c r="G73" s="369"/>
      <c r="H73" s="370"/>
      <c r="I73" s="152"/>
      <c r="J73" s="152"/>
      <c r="K73" s="156">
        <v>1</v>
      </c>
      <c r="L73" s="77" t="s">
        <v>63</v>
      </c>
      <c r="M73" s="88">
        <f t="shared" si="4"/>
        <v>0</v>
      </c>
      <c r="N73" s="89"/>
      <c r="O73" s="153"/>
      <c r="P73" s="88" t="s">
        <v>63</v>
      </c>
      <c r="Q73" s="444"/>
      <c r="R73" s="77"/>
      <c r="S73" s="88" t="s">
        <v>63</v>
      </c>
      <c r="T73" s="154">
        <f t="shared" si="3"/>
        <v>0</v>
      </c>
      <c r="U73" s="157"/>
      <c r="V73" s="158"/>
      <c r="W73" s="154"/>
      <c r="X73" s="154"/>
      <c r="Y73" s="403"/>
      <c r="Z73" s="402"/>
      <c r="AA73" s="403"/>
      <c r="AB73" s="581"/>
    </row>
    <row r="74" spans="1:28" s="55" customFormat="1" ht="54.95" customHeight="1" x14ac:dyDescent="0.15">
      <c r="A74" s="386" t="s">
        <v>70</v>
      </c>
      <c r="B74" s="87">
        <f>C11</f>
        <v>270</v>
      </c>
      <c r="C74" s="389" t="s">
        <v>71</v>
      </c>
      <c r="D74" s="390"/>
      <c r="E74" s="391"/>
      <c r="F74" s="368"/>
      <c r="G74" s="369"/>
      <c r="H74" s="370"/>
      <c r="I74" s="152"/>
      <c r="J74" s="90"/>
      <c r="K74" s="156">
        <v>1</v>
      </c>
      <c r="L74" s="77" t="s">
        <v>63</v>
      </c>
      <c r="M74" s="88">
        <f t="shared" si="4"/>
        <v>270</v>
      </c>
      <c r="N74" s="89"/>
      <c r="O74" s="153"/>
      <c r="P74" s="88" t="s">
        <v>63</v>
      </c>
      <c r="Q74" s="443">
        <v>46207</v>
      </c>
      <c r="R74" s="93">
        <v>270</v>
      </c>
      <c r="S74" s="88" t="s">
        <v>63</v>
      </c>
      <c r="T74" s="154">
        <f t="shared" si="3"/>
        <v>0</v>
      </c>
      <c r="U74" s="91"/>
      <c r="V74" s="159"/>
      <c r="W74" s="159"/>
      <c r="X74" s="159"/>
      <c r="Y74" s="401" t="s">
        <v>94</v>
      </c>
      <c r="Z74" s="416"/>
      <c r="AA74" s="416"/>
      <c r="AB74" s="419" t="s">
        <v>476</v>
      </c>
    </row>
    <row r="75" spans="1:28" s="55" customFormat="1" ht="54.95" customHeight="1" x14ac:dyDescent="0.15">
      <c r="A75" s="387"/>
      <c r="B75" s="87">
        <f>D11</f>
        <v>250</v>
      </c>
      <c r="C75" s="392"/>
      <c r="D75" s="393"/>
      <c r="E75" s="394"/>
      <c r="F75" s="368"/>
      <c r="G75" s="369"/>
      <c r="H75" s="370"/>
      <c r="I75" s="152"/>
      <c r="J75" s="90"/>
      <c r="K75" s="156">
        <v>1</v>
      </c>
      <c r="L75" s="77" t="s">
        <v>63</v>
      </c>
      <c r="M75" s="88">
        <f t="shared" si="4"/>
        <v>250</v>
      </c>
      <c r="N75" s="89"/>
      <c r="O75" s="153"/>
      <c r="P75" s="88" t="s">
        <v>63</v>
      </c>
      <c r="Q75" s="447"/>
      <c r="R75" s="93">
        <v>250</v>
      </c>
      <c r="S75" s="88" t="s">
        <v>63</v>
      </c>
      <c r="T75" s="154">
        <f t="shared" si="3"/>
        <v>0</v>
      </c>
      <c r="U75" s="91"/>
      <c r="V75" s="159"/>
      <c r="W75" s="159"/>
      <c r="X75" s="159"/>
      <c r="Y75" s="402"/>
      <c r="Z75" s="417"/>
      <c r="AA75" s="417"/>
      <c r="AB75" s="420"/>
    </row>
    <row r="76" spans="1:28" s="55" customFormat="1" ht="54.95" customHeight="1" x14ac:dyDescent="0.15">
      <c r="A76" s="387"/>
      <c r="B76" s="87">
        <f>E11</f>
        <v>64</v>
      </c>
      <c r="C76" s="392"/>
      <c r="D76" s="393"/>
      <c r="E76" s="394"/>
      <c r="F76" s="368"/>
      <c r="G76" s="369"/>
      <c r="H76" s="370"/>
      <c r="I76" s="152"/>
      <c r="J76" s="90"/>
      <c r="K76" s="156">
        <v>1</v>
      </c>
      <c r="L76" s="77" t="s">
        <v>63</v>
      </c>
      <c r="M76" s="88">
        <f t="shared" si="4"/>
        <v>64</v>
      </c>
      <c r="N76" s="89"/>
      <c r="O76" s="153"/>
      <c r="P76" s="88" t="s">
        <v>63</v>
      </c>
      <c r="Q76" s="447"/>
      <c r="R76" s="93">
        <v>64</v>
      </c>
      <c r="S76" s="88" t="s">
        <v>63</v>
      </c>
      <c r="T76" s="154">
        <f t="shared" si="3"/>
        <v>0</v>
      </c>
      <c r="U76" s="91"/>
      <c r="V76" s="159"/>
      <c r="W76" s="159"/>
      <c r="X76" s="159"/>
      <c r="Y76" s="402"/>
      <c r="Z76" s="417"/>
      <c r="AA76" s="417"/>
      <c r="AB76" s="420"/>
    </row>
    <row r="77" spans="1:28" s="55" customFormat="1" ht="54.95" customHeight="1" x14ac:dyDescent="0.15">
      <c r="A77" s="388"/>
      <c r="B77" s="87">
        <f>F11</f>
        <v>0</v>
      </c>
      <c r="C77" s="395"/>
      <c r="D77" s="396"/>
      <c r="E77" s="397"/>
      <c r="F77" s="368"/>
      <c r="G77" s="369"/>
      <c r="H77" s="370"/>
      <c r="I77" s="152"/>
      <c r="J77" s="90"/>
      <c r="K77" s="156"/>
      <c r="L77" s="77" t="s">
        <v>63</v>
      </c>
      <c r="M77" s="88">
        <f t="shared" si="4"/>
        <v>0</v>
      </c>
      <c r="N77" s="89"/>
      <c r="O77" s="153"/>
      <c r="P77" s="88" t="s">
        <v>63</v>
      </c>
      <c r="Q77" s="444"/>
      <c r="R77" s="162"/>
      <c r="S77" s="88" t="s">
        <v>63</v>
      </c>
      <c r="T77" s="154">
        <f t="shared" si="3"/>
        <v>0</v>
      </c>
      <c r="U77" s="91"/>
      <c r="V77" s="159"/>
      <c r="W77" s="159"/>
      <c r="X77" s="159"/>
      <c r="Y77" s="403"/>
      <c r="Z77" s="418"/>
      <c r="AA77" s="418"/>
      <c r="AB77" s="421"/>
    </row>
    <row r="78" spans="1:28" s="176" customFormat="1" ht="54.95" customHeight="1" x14ac:dyDescent="0.15">
      <c r="A78" s="92" t="s">
        <v>73</v>
      </c>
      <c r="B78" s="164">
        <f>I11</f>
        <v>584</v>
      </c>
      <c r="C78" s="371" t="s">
        <v>71</v>
      </c>
      <c r="D78" s="372"/>
      <c r="E78" s="373"/>
      <c r="F78" s="371"/>
      <c r="G78" s="372"/>
      <c r="H78" s="373"/>
      <c r="I78" s="165"/>
      <c r="J78" s="166"/>
      <c r="K78" s="167">
        <v>1</v>
      </c>
      <c r="L78" s="168" t="s">
        <v>63</v>
      </c>
      <c r="M78" s="88">
        <f t="shared" si="4"/>
        <v>584</v>
      </c>
      <c r="N78" s="170"/>
      <c r="O78" s="170"/>
      <c r="P78" s="169" t="s">
        <v>63</v>
      </c>
      <c r="Q78" s="363">
        <v>46221</v>
      </c>
      <c r="R78" s="165">
        <v>584</v>
      </c>
      <c r="S78" s="169" t="s">
        <v>63</v>
      </c>
      <c r="T78" s="154">
        <f t="shared" si="3"/>
        <v>0</v>
      </c>
      <c r="U78" s="170"/>
      <c r="V78" s="172"/>
      <c r="W78" s="172"/>
      <c r="X78" s="172"/>
      <c r="Y78" s="173" t="s">
        <v>72</v>
      </c>
      <c r="Z78" s="174"/>
      <c r="AA78" s="175"/>
      <c r="AB78" s="586" t="s">
        <v>485</v>
      </c>
    </row>
    <row r="79" spans="1:28" s="55" customFormat="1" ht="54.95" customHeight="1" x14ac:dyDescent="0.15">
      <c r="A79" s="92" t="s">
        <v>81</v>
      </c>
      <c r="B79" s="87">
        <f>I11</f>
        <v>584</v>
      </c>
      <c r="C79" s="368" t="s">
        <v>71</v>
      </c>
      <c r="D79" s="369"/>
      <c r="E79" s="370"/>
      <c r="F79" s="368"/>
      <c r="G79" s="369"/>
      <c r="H79" s="370"/>
      <c r="I79" s="93"/>
      <c r="J79" s="90"/>
      <c r="K79" s="156">
        <v>1</v>
      </c>
      <c r="L79" s="77" t="s">
        <v>63</v>
      </c>
      <c r="M79" s="88">
        <f>K79*B79</f>
        <v>584</v>
      </c>
      <c r="N79" s="91"/>
      <c r="O79" s="91"/>
      <c r="P79" s="169" t="s">
        <v>63</v>
      </c>
      <c r="Q79" s="365"/>
      <c r="R79" s="165">
        <v>584</v>
      </c>
      <c r="S79" s="169" t="s">
        <v>63</v>
      </c>
      <c r="T79" s="154">
        <f t="shared" si="3"/>
        <v>0</v>
      </c>
      <c r="U79" s="91"/>
      <c r="V79" s="91"/>
      <c r="W79" s="91"/>
      <c r="X79" s="91"/>
      <c r="Y79" s="160" t="s">
        <v>72</v>
      </c>
      <c r="Z79" s="94"/>
      <c r="AA79" s="95"/>
      <c r="AB79" s="587"/>
    </row>
    <row r="80" spans="1:28" s="55" customFormat="1" ht="54.95" customHeight="1" x14ac:dyDescent="0.15">
      <c r="A80" s="96" t="s">
        <v>74</v>
      </c>
      <c r="B80" s="87">
        <f>I11</f>
        <v>584</v>
      </c>
      <c r="C80" s="368" t="s">
        <v>71</v>
      </c>
      <c r="D80" s="369"/>
      <c r="E80" s="370"/>
      <c r="F80" s="368"/>
      <c r="G80" s="369"/>
      <c r="H80" s="370"/>
      <c r="I80" s="93"/>
      <c r="J80" s="93"/>
      <c r="K80" s="156">
        <v>1</v>
      </c>
      <c r="L80" s="77" t="s">
        <v>63</v>
      </c>
      <c r="M80" s="88">
        <f t="shared" si="4"/>
        <v>584</v>
      </c>
      <c r="N80" s="91"/>
      <c r="O80" s="91"/>
      <c r="P80" s="89" t="s">
        <v>63</v>
      </c>
      <c r="Q80" s="306">
        <v>46207</v>
      </c>
      <c r="R80" s="93">
        <v>584</v>
      </c>
      <c r="S80" s="89" t="s">
        <v>63</v>
      </c>
      <c r="T80" s="154">
        <f t="shared" si="3"/>
        <v>0</v>
      </c>
      <c r="U80" s="91"/>
      <c r="V80" s="91"/>
      <c r="W80" s="91"/>
      <c r="X80" s="91"/>
      <c r="Y80" s="160" t="s">
        <v>72</v>
      </c>
      <c r="Z80" s="97"/>
      <c r="AA80" s="98"/>
      <c r="AB80" s="588"/>
    </row>
    <row r="81" spans="1:29" x14ac:dyDescent="0.15">
      <c r="A81" s="177"/>
      <c r="B81" s="366"/>
      <c r="C81" s="366"/>
      <c r="D81" s="177"/>
      <c r="E81" s="177"/>
      <c r="F81" s="100"/>
      <c r="G81" s="100"/>
      <c r="H81" s="100"/>
      <c r="I81" s="177"/>
      <c r="J81" s="177"/>
      <c r="K81" s="101"/>
      <c r="L81" s="102"/>
      <c r="M81" s="103"/>
      <c r="N81" s="104"/>
      <c r="O81" s="104"/>
      <c r="P81" s="177"/>
      <c r="Q81" s="105"/>
      <c r="R81" s="105"/>
      <c r="S81" s="106"/>
      <c r="T81" s="107"/>
      <c r="U81" s="108"/>
      <c r="V81" s="108"/>
      <c r="W81" s="109"/>
      <c r="X81" s="107"/>
      <c r="Y81" s="110"/>
      <c r="Z81" s="111"/>
      <c r="AA81" s="111"/>
    </row>
    <row r="82" spans="1:29" x14ac:dyDescent="0.15">
      <c r="A82" s="177"/>
      <c r="B82" s="366"/>
      <c r="C82" s="366"/>
      <c r="D82" s="177"/>
      <c r="E82" s="177"/>
      <c r="F82" s="367"/>
      <c r="G82" s="367"/>
      <c r="H82" s="367"/>
      <c r="I82" s="177"/>
      <c r="J82" s="177"/>
      <c r="K82" s="101"/>
      <c r="L82" s="102"/>
      <c r="M82" s="103"/>
      <c r="N82" s="104"/>
      <c r="O82" s="104"/>
      <c r="P82" s="177"/>
      <c r="Q82" s="105"/>
      <c r="R82" s="105"/>
      <c r="S82" s="106"/>
      <c r="T82" s="107"/>
      <c r="U82" s="108"/>
      <c r="V82" s="108"/>
      <c r="W82" s="109"/>
      <c r="X82" s="107"/>
      <c r="Y82" s="112"/>
      <c r="Z82" s="111"/>
      <c r="AA82" s="111"/>
    </row>
    <row r="83" spans="1:29" x14ac:dyDescent="0.15">
      <c r="J83" s="177"/>
    </row>
    <row r="84" spans="1:29" x14ac:dyDescent="0.15">
      <c r="J84" s="177"/>
    </row>
    <row r="91" spans="1:29" s="114" customFormat="1" x14ac:dyDescent="0.15">
      <c r="A91" s="1"/>
      <c r="B91" s="113"/>
      <c r="C91" s="1"/>
      <c r="D91" s="1"/>
      <c r="E91" s="1"/>
      <c r="F91" s="1"/>
      <c r="G91" s="1"/>
      <c r="H91" s="1"/>
      <c r="I91" s="1"/>
      <c r="J91" s="1"/>
      <c r="L91" s="115"/>
      <c r="M91" s="116"/>
      <c r="N91" s="117"/>
      <c r="O91" s="117"/>
      <c r="P91" s="1"/>
      <c r="Q91" s="118"/>
      <c r="R91" s="118"/>
      <c r="S91" s="115"/>
      <c r="T91" s="119"/>
      <c r="U91" s="1"/>
      <c r="V91" s="1"/>
      <c r="W91" s="120"/>
      <c r="X91" s="121"/>
      <c r="Y91" s="1"/>
      <c r="Z91" s="1"/>
      <c r="AA91" s="1"/>
      <c r="AB91" s="1"/>
      <c r="AC91" s="1"/>
    </row>
    <row r="92" spans="1:29" s="114" customFormat="1" x14ac:dyDescent="0.15">
      <c r="A92" s="1"/>
      <c r="B92" s="113"/>
      <c r="C92" s="1"/>
      <c r="D92" s="1"/>
      <c r="E92" s="1"/>
      <c r="F92" s="1"/>
      <c r="G92" s="1"/>
      <c r="H92" s="1"/>
      <c r="I92" s="1"/>
      <c r="J92" s="1"/>
      <c r="L92" s="115"/>
      <c r="M92" s="116"/>
      <c r="N92" s="117"/>
      <c r="O92" s="117"/>
      <c r="P92" s="1"/>
      <c r="Q92" s="118"/>
      <c r="R92" s="118"/>
      <c r="S92" s="115"/>
      <c r="T92" s="119"/>
      <c r="U92" s="1"/>
      <c r="V92" s="1"/>
      <c r="W92" s="120"/>
      <c r="X92" s="121"/>
      <c r="Y92" s="1"/>
      <c r="Z92" s="1"/>
      <c r="AA92" s="1"/>
      <c r="AB92" s="1"/>
      <c r="AC92" s="1"/>
    </row>
  </sheetData>
  <mergeCells count="301">
    <mergeCell ref="Q78:Q79"/>
    <mergeCell ref="Q35:Q36"/>
    <mergeCell ref="A1:AB1"/>
    <mergeCell ref="B2:G2"/>
    <mergeCell ref="I2:L2"/>
    <mergeCell ref="M2:N2"/>
    <mergeCell ref="O2:S2"/>
    <mergeCell ref="T2:U2"/>
    <mergeCell ref="V2:X2"/>
    <mergeCell ref="Z2:AB2"/>
    <mergeCell ref="C35:E35"/>
    <mergeCell ref="F35:H35"/>
    <mergeCell ref="I35:I36"/>
    <mergeCell ref="Y35:Y36"/>
    <mergeCell ref="AB35:AB36"/>
    <mergeCell ref="A35:A36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K13:L13"/>
    <mergeCell ref="N13:P13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AB15:AB16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AB17:AB18"/>
    <mergeCell ref="C18:E18"/>
    <mergeCell ref="F18:H18"/>
    <mergeCell ref="F13:H13"/>
    <mergeCell ref="A19:A20"/>
    <mergeCell ref="C19:E19"/>
    <mergeCell ref="F19:H19"/>
    <mergeCell ref="I19:I20"/>
    <mergeCell ref="Y19:Y20"/>
    <mergeCell ref="C20:E20"/>
    <mergeCell ref="F20:H20"/>
    <mergeCell ref="AB21:AB24"/>
    <mergeCell ref="C22:E22"/>
    <mergeCell ref="F22:H22"/>
    <mergeCell ref="A23:A24"/>
    <mergeCell ref="C23:E23"/>
    <mergeCell ref="F23:H23"/>
    <mergeCell ref="I23:I24"/>
    <mergeCell ref="Y23:Y24"/>
    <mergeCell ref="C24:E24"/>
    <mergeCell ref="F24:H24"/>
    <mergeCell ref="A21:A22"/>
    <mergeCell ref="C21:E21"/>
    <mergeCell ref="F21:H21"/>
    <mergeCell ref="I21:I22"/>
    <mergeCell ref="Q21:Q24"/>
    <mergeCell ref="Y21:Y22"/>
    <mergeCell ref="AB25:AB26"/>
    <mergeCell ref="C26:E26"/>
    <mergeCell ref="F26:H26"/>
    <mergeCell ref="A27:A28"/>
    <mergeCell ref="C27:E27"/>
    <mergeCell ref="F27:H27"/>
    <mergeCell ref="I27:I28"/>
    <mergeCell ref="Q27:Q28"/>
    <mergeCell ref="Y27:Y28"/>
    <mergeCell ref="AB27:AB28"/>
    <mergeCell ref="A25:A26"/>
    <mergeCell ref="C25:E25"/>
    <mergeCell ref="F25:H25"/>
    <mergeCell ref="I25:I26"/>
    <mergeCell ref="Q25:Q26"/>
    <mergeCell ref="Y25:Y26"/>
    <mergeCell ref="C28:E28"/>
    <mergeCell ref="F28:H28"/>
    <mergeCell ref="AC28:AF28"/>
    <mergeCell ref="A29:A30"/>
    <mergeCell ref="C29:E29"/>
    <mergeCell ref="F29:H29"/>
    <mergeCell ref="I29:I30"/>
    <mergeCell ref="Q29:Q32"/>
    <mergeCell ref="Y29:Y30"/>
    <mergeCell ref="AB29:AB32"/>
    <mergeCell ref="C30:E30"/>
    <mergeCell ref="F30:H30"/>
    <mergeCell ref="AC30:AF30"/>
    <mergeCell ref="A31:A32"/>
    <mergeCell ref="C31:E31"/>
    <mergeCell ref="F31:H31"/>
    <mergeCell ref="I31:I32"/>
    <mergeCell ref="Y31:Y32"/>
    <mergeCell ref="C32:E32"/>
    <mergeCell ref="F32:H32"/>
    <mergeCell ref="AC32:AF32"/>
    <mergeCell ref="A33:A34"/>
    <mergeCell ref="C33:E33"/>
    <mergeCell ref="F33:H33"/>
    <mergeCell ref="I33:I34"/>
    <mergeCell ref="Q33:Q34"/>
    <mergeCell ref="Y33:Y34"/>
    <mergeCell ref="AB33:AB34"/>
    <mergeCell ref="C34:E34"/>
    <mergeCell ref="F34:H34"/>
    <mergeCell ref="AC34:AF34"/>
    <mergeCell ref="A37:A38"/>
    <mergeCell ref="C37:E37"/>
    <mergeCell ref="F37:H37"/>
    <mergeCell ref="I37:I38"/>
    <mergeCell ref="Q37:Q42"/>
    <mergeCell ref="Y37:Y38"/>
    <mergeCell ref="AB37:AB42"/>
    <mergeCell ref="C38:E38"/>
    <mergeCell ref="F38:H38"/>
    <mergeCell ref="C36:E36"/>
    <mergeCell ref="F36:H36"/>
    <mergeCell ref="AC38:AF38"/>
    <mergeCell ref="A39:A40"/>
    <mergeCell ref="C39:E39"/>
    <mergeCell ref="F39:H39"/>
    <mergeCell ref="I39:I40"/>
    <mergeCell ref="Y39:Y40"/>
    <mergeCell ref="C40:E40"/>
    <mergeCell ref="F40:H40"/>
    <mergeCell ref="AC40:AF40"/>
    <mergeCell ref="AC42:AF42"/>
    <mergeCell ref="A41:A42"/>
    <mergeCell ref="C41:E41"/>
    <mergeCell ref="F41:H41"/>
    <mergeCell ref="I41:I42"/>
    <mergeCell ref="Y41:Y42"/>
    <mergeCell ref="C42:E42"/>
    <mergeCell ref="F42:H42"/>
    <mergeCell ref="AC44:AF44"/>
    <mergeCell ref="A45:A46"/>
    <mergeCell ref="C45:E45"/>
    <mergeCell ref="F45:H45"/>
    <mergeCell ref="I45:I46"/>
    <mergeCell ref="Q45:Q46"/>
    <mergeCell ref="Y45:Y46"/>
    <mergeCell ref="AB45:AB46"/>
    <mergeCell ref="C46:E46"/>
    <mergeCell ref="F46:H46"/>
    <mergeCell ref="A43:A44"/>
    <mergeCell ref="C43:E43"/>
    <mergeCell ref="F43:H43"/>
    <mergeCell ref="I43:I44"/>
    <mergeCell ref="Q43:Q44"/>
    <mergeCell ref="Y43:Y44"/>
    <mergeCell ref="AB43:AB44"/>
    <mergeCell ref="C44:E44"/>
    <mergeCell ref="F44:H44"/>
    <mergeCell ref="A51:A55"/>
    <mergeCell ref="C51:E55"/>
    <mergeCell ref="F51:H51"/>
    <mergeCell ref="Q51:Q55"/>
    <mergeCell ref="Y51:Y55"/>
    <mergeCell ref="Z51:Z55"/>
    <mergeCell ref="AB47:AB50"/>
    <mergeCell ref="C48:E48"/>
    <mergeCell ref="F48:H48"/>
    <mergeCell ref="A49:A50"/>
    <mergeCell ref="C49:E49"/>
    <mergeCell ref="F49:H49"/>
    <mergeCell ref="I49:I50"/>
    <mergeCell ref="Y49:Y50"/>
    <mergeCell ref="C50:E50"/>
    <mergeCell ref="F50:H50"/>
    <mergeCell ref="A47:A48"/>
    <mergeCell ref="C47:E47"/>
    <mergeCell ref="F47:H47"/>
    <mergeCell ref="I47:I48"/>
    <mergeCell ref="Y47:Y48"/>
    <mergeCell ref="Y62:Y64"/>
    <mergeCell ref="Z62:Z64"/>
    <mergeCell ref="AA62:AA64"/>
    <mergeCell ref="F63:H63"/>
    <mergeCell ref="F64:H64"/>
    <mergeCell ref="AA51:AA55"/>
    <mergeCell ref="AB51:AB55"/>
    <mergeCell ref="F52:H52"/>
    <mergeCell ref="F53:H53"/>
    <mergeCell ref="F54:H54"/>
    <mergeCell ref="F55:H55"/>
    <mergeCell ref="A56:A64"/>
    <mergeCell ref="AA71:AA73"/>
    <mergeCell ref="F72:H72"/>
    <mergeCell ref="F73:H73"/>
    <mergeCell ref="Z65:Z67"/>
    <mergeCell ref="AA65:AA67"/>
    <mergeCell ref="AA56:AA58"/>
    <mergeCell ref="AB56:AB64"/>
    <mergeCell ref="F57:H57"/>
    <mergeCell ref="F58:H58"/>
    <mergeCell ref="C59:E61"/>
    <mergeCell ref="F59:H59"/>
    <mergeCell ref="Y59:Y61"/>
    <mergeCell ref="Z59:Z61"/>
    <mergeCell ref="AA59:AA61"/>
    <mergeCell ref="F60:H60"/>
    <mergeCell ref="C56:E58"/>
    <mergeCell ref="F56:H56"/>
    <mergeCell ref="Q56:Q64"/>
    <mergeCell ref="Y56:Y58"/>
    <mergeCell ref="Z56:Z58"/>
    <mergeCell ref="F61:H61"/>
    <mergeCell ref="C62:E64"/>
    <mergeCell ref="F62:H62"/>
    <mergeCell ref="F68:H68"/>
    <mergeCell ref="Z68:Z70"/>
    <mergeCell ref="AA68:AA70"/>
    <mergeCell ref="F69:H69"/>
    <mergeCell ref="A74:A77"/>
    <mergeCell ref="C74:E77"/>
    <mergeCell ref="F74:H74"/>
    <mergeCell ref="Q74:Q77"/>
    <mergeCell ref="Y74:Y77"/>
    <mergeCell ref="Z74:Z77"/>
    <mergeCell ref="F70:H70"/>
    <mergeCell ref="C71:E73"/>
    <mergeCell ref="F71:H71"/>
    <mergeCell ref="Z71:Z73"/>
    <mergeCell ref="A65:A73"/>
    <mergeCell ref="C65:E67"/>
    <mergeCell ref="F65:H65"/>
    <mergeCell ref="Q65:Q73"/>
    <mergeCell ref="U65:U69"/>
    <mergeCell ref="Y65:Y73"/>
    <mergeCell ref="Q19:Q20"/>
    <mergeCell ref="AB19:AB20"/>
    <mergeCell ref="Q47:Q48"/>
    <mergeCell ref="Q49:Q50"/>
    <mergeCell ref="F79:H79"/>
    <mergeCell ref="C80:E80"/>
    <mergeCell ref="F80:H80"/>
    <mergeCell ref="B81:C81"/>
    <mergeCell ref="B82:C82"/>
    <mergeCell ref="F82:H82"/>
    <mergeCell ref="AA74:AA77"/>
    <mergeCell ref="AB74:AB77"/>
    <mergeCell ref="F75:H75"/>
    <mergeCell ref="F76:H76"/>
    <mergeCell ref="F77:H77"/>
    <mergeCell ref="C78:E78"/>
    <mergeCell ref="F78:H78"/>
    <mergeCell ref="AB78:AB80"/>
    <mergeCell ref="C79:E79"/>
    <mergeCell ref="AB65:AB73"/>
    <mergeCell ref="F66:H66"/>
    <mergeCell ref="F67:H67"/>
    <mergeCell ref="C68:E7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6" orientation="portrait" r:id="rId1"/>
  <headerFooter alignWithMargins="0"/>
  <rowBreaks count="1" manualBreakCount="1">
    <brk id="55" max="27" man="1"/>
  </rowBreaks>
  <colBreaks count="1" manualBreakCount="1">
    <brk id="2" max="46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3847-851E-48D2-9F7F-65DF3530DBEC}">
  <sheetPr>
    <pageSetUpPr fitToPage="1"/>
  </sheetPr>
  <dimension ref="A1:AF94"/>
  <sheetViews>
    <sheetView view="pageBreakPreview" topLeftCell="A43" zoomScale="75" zoomScaleNormal="100" zoomScaleSheetLayoutView="75" workbookViewId="0">
      <selection activeCell="Q49" sqref="Q49:Q50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387</v>
      </c>
      <c r="C2" s="548"/>
      <c r="D2" s="548"/>
      <c r="E2" s="548"/>
      <c r="F2" s="548"/>
      <c r="G2" s="549"/>
      <c r="H2" s="180" t="s">
        <v>1</v>
      </c>
      <c r="I2" s="550">
        <f>I11</f>
        <v>575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388</v>
      </c>
      <c r="B5" s="480"/>
      <c r="C5" s="182">
        <v>275</v>
      </c>
      <c r="D5" s="182">
        <v>240</v>
      </c>
      <c r="E5" s="182">
        <v>60</v>
      </c>
      <c r="F5" s="182"/>
      <c r="G5" s="182"/>
      <c r="H5" s="542" t="s">
        <v>24</v>
      </c>
      <c r="I5" s="524">
        <f t="shared" ref="I5:I11" si="0">SUM(C5:G5)</f>
        <v>575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46192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92"/>
      <c r="L9" s="291"/>
      <c r="M9" s="295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275</v>
      </c>
      <c r="D11" s="181">
        <f>SUM(D5:D10)</f>
        <v>240</v>
      </c>
      <c r="E11" s="181">
        <f>SUM(E5:E10)</f>
        <v>60</v>
      </c>
      <c r="F11" s="181">
        <f>SUM(F5:F10)</f>
        <v>0</v>
      </c>
      <c r="G11" s="181">
        <f>SUM(G5:G10)</f>
        <v>0</v>
      </c>
      <c r="H11" s="182"/>
      <c r="I11" s="481">
        <f t="shared" si="0"/>
        <v>575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46311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280.5</v>
      </c>
      <c r="D12" s="43">
        <f>D11*1.02</f>
        <v>244.8</v>
      </c>
      <c r="E12" s="43">
        <f>E11*1.02</f>
        <v>61.2</v>
      </c>
      <c r="F12" s="43">
        <f>F11*1.02</f>
        <v>0</v>
      </c>
      <c r="G12" s="43">
        <f>G11*1.02</f>
        <v>0</v>
      </c>
      <c r="H12" s="44"/>
      <c r="I12" s="486">
        <f>I11*1.02</f>
        <v>586.5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5" si="1">$I$5</f>
        <v>575</v>
      </c>
      <c r="C15" s="474" t="str">
        <f t="shared" ref="C15:C25" si="2">$A$5</f>
        <v>BL</v>
      </c>
      <c r="D15" s="475"/>
      <c r="E15" s="476"/>
      <c r="F15" s="474"/>
      <c r="G15" s="475"/>
      <c r="H15" s="476"/>
      <c r="I15" s="477" t="s">
        <v>133</v>
      </c>
      <c r="J15" s="65" t="s">
        <v>6</v>
      </c>
      <c r="K15" s="66">
        <v>1.95</v>
      </c>
      <c r="L15" s="67" t="s">
        <v>7</v>
      </c>
      <c r="M15" s="68">
        <f>K15*B15</f>
        <v>1121.25</v>
      </c>
      <c r="N15" s="69"/>
      <c r="O15" s="70"/>
      <c r="P15" s="67" t="s">
        <v>7</v>
      </c>
      <c r="Q15" s="478">
        <v>46200</v>
      </c>
      <c r="R15" s="122">
        <v>1122.2</v>
      </c>
      <c r="S15" s="71" t="s">
        <v>7</v>
      </c>
      <c r="T15" s="123">
        <f t="shared" ref="T15:T82" si="3">R15-M15</f>
        <v>0.95000000000004547</v>
      </c>
      <c r="U15" s="72"/>
      <c r="V15" s="72"/>
      <c r="W15" s="73"/>
      <c r="X15" s="74"/>
      <c r="Y15" s="479" t="s">
        <v>329</v>
      </c>
      <c r="Z15" s="63"/>
      <c r="AA15" s="64"/>
      <c r="AB15" s="566" t="s">
        <v>467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442"/>
      <c r="J16" s="76" t="s">
        <v>6</v>
      </c>
      <c r="K16" s="83">
        <v>1.95</v>
      </c>
      <c r="L16" s="77" t="s">
        <v>7</v>
      </c>
      <c r="M16" s="78">
        <f t="shared" ref="M16:M82" si="4">K16*B16</f>
        <v>0</v>
      </c>
      <c r="N16" s="79"/>
      <c r="O16" s="128"/>
      <c r="P16" s="77" t="s">
        <v>7</v>
      </c>
      <c r="Q16" s="444"/>
      <c r="R16" s="130"/>
      <c r="S16" s="75" t="s">
        <v>7</v>
      </c>
      <c r="T16" s="81">
        <f t="shared" si="3"/>
        <v>0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575</v>
      </c>
      <c r="C17" s="461" t="str">
        <f t="shared" si="2"/>
        <v>BL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206" customFormat="1" ht="69.95" customHeight="1" x14ac:dyDescent="0.15">
      <c r="A19" s="431" t="s">
        <v>389</v>
      </c>
      <c r="B19" s="182">
        <f t="shared" ref="B19" si="5">$I$5</f>
        <v>575</v>
      </c>
      <c r="C19" s="461" t="str">
        <f t="shared" ref="C19" si="6">$A$5</f>
        <v>BL</v>
      </c>
      <c r="D19" s="461"/>
      <c r="E19" s="461"/>
      <c r="F19" s="461"/>
      <c r="G19" s="461"/>
      <c r="H19" s="461"/>
      <c r="I19" s="441" t="s">
        <v>8</v>
      </c>
      <c r="J19" s="76" t="s">
        <v>6</v>
      </c>
      <c r="K19" s="136">
        <v>0.05</v>
      </c>
      <c r="L19" s="77" t="s">
        <v>7</v>
      </c>
      <c r="M19" s="78">
        <f t="shared" si="4"/>
        <v>28.75</v>
      </c>
      <c r="N19" s="79"/>
      <c r="O19" s="78"/>
      <c r="P19" s="80" t="s">
        <v>7</v>
      </c>
      <c r="Q19" s="443">
        <v>46207</v>
      </c>
      <c r="R19" s="78">
        <v>29</v>
      </c>
      <c r="S19" s="80" t="s">
        <v>7</v>
      </c>
      <c r="T19" s="81">
        <f t="shared" si="3"/>
        <v>0.25</v>
      </c>
      <c r="U19" s="82"/>
      <c r="V19" s="137"/>
      <c r="W19" s="78"/>
      <c r="X19" s="78"/>
      <c r="Y19" s="445" t="s">
        <v>93</v>
      </c>
      <c r="Z19" s="138"/>
      <c r="AA19" s="135"/>
      <c r="AB19" s="360" t="s">
        <v>478</v>
      </c>
      <c r="AC19" s="229"/>
      <c r="AD19" s="230"/>
      <c r="AE19" s="230"/>
      <c r="AF19" s="230"/>
    </row>
    <row r="20" spans="1:32" s="206" customFormat="1" ht="69.95" customHeight="1" x14ac:dyDescent="0.15">
      <c r="A20" s="432"/>
      <c r="B20" s="182">
        <f>$I$6</f>
        <v>0</v>
      </c>
      <c r="C20" s="461">
        <f>$A$6</f>
        <v>0</v>
      </c>
      <c r="D20" s="461"/>
      <c r="E20" s="461"/>
      <c r="F20" s="461"/>
      <c r="G20" s="461"/>
      <c r="H20" s="461"/>
      <c r="I20" s="442"/>
      <c r="J20" s="76" t="s">
        <v>6</v>
      </c>
      <c r="K20" s="136">
        <v>0.05</v>
      </c>
      <c r="L20" s="77" t="s">
        <v>7</v>
      </c>
      <c r="M20" s="78">
        <f t="shared" si="4"/>
        <v>0</v>
      </c>
      <c r="N20" s="79"/>
      <c r="O20" s="128"/>
      <c r="P20" s="77" t="s">
        <v>7</v>
      </c>
      <c r="Q20" s="444"/>
      <c r="R20" s="130"/>
      <c r="S20" s="75" t="s">
        <v>7</v>
      </c>
      <c r="T20" s="81">
        <f t="shared" si="3"/>
        <v>0</v>
      </c>
      <c r="U20" s="131"/>
      <c r="V20" s="131"/>
      <c r="W20" s="132"/>
      <c r="X20" s="133"/>
      <c r="Y20" s="446"/>
      <c r="Z20" s="134"/>
      <c r="AA20" s="135"/>
      <c r="AB20" s="362"/>
      <c r="AC20" s="229"/>
      <c r="AD20" s="230"/>
      <c r="AE20" s="230"/>
      <c r="AF20" s="230"/>
    </row>
    <row r="21" spans="1:32" s="55" customFormat="1" ht="69.95" customHeight="1" x14ac:dyDescent="0.15">
      <c r="A21" s="431" t="s">
        <v>390</v>
      </c>
      <c r="B21" s="182">
        <f t="shared" si="1"/>
        <v>575</v>
      </c>
      <c r="C21" s="461" t="str">
        <f t="shared" si="2"/>
        <v>BL</v>
      </c>
      <c r="D21" s="461"/>
      <c r="E21" s="461"/>
      <c r="F21" s="461"/>
      <c r="G21" s="461"/>
      <c r="H21" s="461"/>
      <c r="I21" s="441" t="s">
        <v>8</v>
      </c>
      <c r="J21" s="76" t="s">
        <v>6</v>
      </c>
      <c r="K21" s="136">
        <v>0.68</v>
      </c>
      <c r="L21" s="77" t="s">
        <v>7</v>
      </c>
      <c r="M21" s="78">
        <f t="shared" si="4"/>
        <v>391</v>
      </c>
      <c r="N21" s="79"/>
      <c r="O21" s="78"/>
      <c r="P21" s="80" t="s">
        <v>7</v>
      </c>
      <c r="Q21" s="443">
        <v>46207</v>
      </c>
      <c r="R21" s="78">
        <v>391</v>
      </c>
      <c r="S21" s="80" t="s">
        <v>7</v>
      </c>
      <c r="T21" s="81">
        <f t="shared" si="3"/>
        <v>0</v>
      </c>
      <c r="U21" s="82"/>
      <c r="V21" s="137"/>
      <c r="W21" s="78"/>
      <c r="X21" s="78"/>
      <c r="Y21" s="445" t="s">
        <v>93</v>
      </c>
      <c r="Z21" s="138"/>
      <c r="AA21" s="135"/>
      <c r="AB21" s="360" t="s">
        <v>478</v>
      </c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$I$6</f>
        <v>0</v>
      </c>
      <c r="C22" s="461">
        <f>$A$6</f>
        <v>0</v>
      </c>
      <c r="D22" s="461"/>
      <c r="E22" s="461"/>
      <c r="F22" s="461"/>
      <c r="G22" s="461"/>
      <c r="H22" s="461"/>
      <c r="I22" s="442"/>
      <c r="J22" s="76" t="s">
        <v>6</v>
      </c>
      <c r="K22" s="136">
        <v>0.68</v>
      </c>
      <c r="L22" s="77" t="s">
        <v>7</v>
      </c>
      <c r="M22" s="78">
        <f t="shared" si="4"/>
        <v>0</v>
      </c>
      <c r="N22" s="79"/>
      <c r="O22" s="128"/>
      <c r="P22" s="77" t="s">
        <v>7</v>
      </c>
      <c r="Q22" s="447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228"/>
      <c r="AA22" s="228"/>
      <c r="AB22" s="361"/>
      <c r="AC22" s="178"/>
      <c r="AD22" s="179"/>
      <c r="AE22" s="179"/>
      <c r="AF22" s="179"/>
    </row>
    <row r="23" spans="1:32" s="55" customFormat="1" ht="69.95" customHeight="1" x14ac:dyDescent="0.15">
      <c r="A23" s="431" t="s">
        <v>391</v>
      </c>
      <c r="B23" s="182">
        <f t="shared" si="1"/>
        <v>575</v>
      </c>
      <c r="C23" s="461" t="str">
        <f t="shared" si="2"/>
        <v>BL</v>
      </c>
      <c r="D23" s="461"/>
      <c r="E23" s="461"/>
      <c r="F23" s="461"/>
      <c r="G23" s="461"/>
      <c r="H23" s="461"/>
      <c r="I23" s="441" t="s">
        <v>144</v>
      </c>
      <c r="J23" s="76" t="s">
        <v>6</v>
      </c>
      <c r="K23" s="136">
        <v>0.51</v>
      </c>
      <c r="L23" s="77" t="s">
        <v>7</v>
      </c>
      <c r="M23" s="78">
        <f t="shared" si="4"/>
        <v>293.25</v>
      </c>
      <c r="N23" s="79"/>
      <c r="O23" s="78"/>
      <c r="P23" s="80" t="s">
        <v>7</v>
      </c>
      <c r="Q23" s="447"/>
      <c r="R23" s="78">
        <v>294</v>
      </c>
      <c r="S23" s="80" t="s">
        <v>7</v>
      </c>
      <c r="T23" s="81">
        <f t="shared" si="3"/>
        <v>0.75</v>
      </c>
      <c r="U23" s="82"/>
      <c r="V23" s="137"/>
      <c r="W23" s="78"/>
      <c r="X23" s="78"/>
      <c r="Y23" s="445" t="s">
        <v>93</v>
      </c>
      <c r="Z23" s="138"/>
      <c r="AA23" s="135"/>
      <c r="AB23" s="361"/>
      <c r="AC23" s="178"/>
      <c r="AD23" s="179"/>
      <c r="AE23" s="179"/>
      <c r="AF23" s="179"/>
    </row>
    <row r="24" spans="1:32" s="55" customFormat="1" ht="69.95" customHeight="1" x14ac:dyDescent="0.15">
      <c r="A24" s="432"/>
      <c r="B24" s="182">
        <f>$I$6</f>
        <v>0</v>
      </c>
      <c r="C24" s="461">
        <f>$A$6</f>
        <v>0</v>
      </c>
      <c r="D24" s="461"/>
      <c r="E24" s="461"/>
      <c r="F24" s="461"/>
      <c r="G24" s="461"/>
      <c r="H24" s="461"/>
      <c r="I24" s="442"/>
      <c r="J24" s="76" t="s">
        <v>6</v>
      </c>
      <c r="K24" s="136">
        <v>0.51</v>
      </c>
      <c r="L24" s="77" t="s">
        <v>7</v>
      </c>
      <c r="M24" s="78">
        <f t="shared" si="4"/>
        <v>0</v>
      </c>
      <c r="N24" s="79"/>
      <c r="O24" s="128"/>
      <c r="P24" s="77" t="s">
        <v>7</v>
      </c>
      <c r="Q24" s="444"/>
      <c r="R24" s="130"/>
      <c r="S24" s="75" t="s">
        <v>7</v>
      </c>
      <c r="T24" s="81">
        <f t="shared" si="3"/>
        <v>0</v>
      </c>
      <c r="U24" s="131"/>
      <c r="V24" s="131"/>
      <c r="W24" s="132"/>
      <c r="X24" s="133"/>
      <c r="Y24" s="446"/>
      <c r="Z24" s="228"/>
      <c r="AA24" s="228"/>
      <c r="AB24" s="362"/>
      <c r="AC24" s="178"/>
      <c r="AD24" s="179"/>
      <c r="AE24" s="179"/>
      <c r="AF24" s="179"/>
    </row>
    <row r="25" spans="1:32" s="55" customFormat="1" ht="69.95" customHeight="1" x14ac:dyDescent="0.15">
      <c r="A25" s="611" t="s">
        <v>353</v>
      </c>
      <c r="B25" s="191">
        <f t="shared" si="1"/>
        <v>575</v>
      </c>
      <c r="C25" s="465" t="str">
        <f t="shared" si="2"/>
        <v>BL</v>
      </c>
      <c r="D25" s="465"/>
      <c r="E25" s="465"/>
      <c r="F25" s="465"/>
      <c r="G25" s="465"/>
      <c r="H25" s="465"/>
      <c r="I25" s="433" t="s">
        <v>58</v>
      </c>
      <c r="J25" s="192" t="s">
        <v>6</v>
      </c>
      <c r="K25" s="209">
        <v>1.35</v>
      </c>
      <c r="L25" s="194" t="s">
        <v>7</v>
      </c>
      <c r="M25" s="198">
        <f t="shared" si="4"/>
        <v>776.25</v>
      </c>
      <c r="N25" s="196"/>
      <c r="O25" s="195"/>
      <c r="P25" s="197" t="s">
        <v>7</v>
      </c>
      <c r="Q25" s="435"/>
      <c r="R25" s="198"/>
      <c r="S25" s="197" t="s">
        <v>7</v>
      </c>
      <c r="T25" s="198">
        <f t="shared" si="3"/>
        <v>-776.25</v>
      </c>
      <c r="U25" s="199"/>
      <c r="V25" s="200"/>
      <c r="W25" s="195"/>
      <c r="X25" s="195"/>
      <c r="Y25" s="437" t="s">
        <v>59</v>
      </c>
      <c r="Z25" s="235"/>
      <c r="AA25" s="202"/>
      <c r="AB25" s="439"/>
      <c r="AC25" s="178"/>
      <c r="AD25" s="179"/>
      <c r="AE25" s="179"/>
      <c r="AF25" s="179"/>
    </row>
    <row r="26" spans="1:32" s="55" customFormat="1" ht="69.95" customHeight="1" x14ac:dyDescent="0.15">
      <c r="A26" s="612"/>
      <c r="B26" s="191">
        <f>$I$6</f>
        <v>0</v>
      </c>
      <c r="C26" s="465">
        <f>$A$6</f>
        <v>0</v>
      </c>
      <c r="D26" s="465"/>
      <c r="E26" s="465"/>
      <c r="F26" s="465"/>
      <c r="G26" s="465"/>
      <c r="H26" s="465"/>
      <c r="I26" s="434"/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210"/>
      <c r="P26" s="194" t="s">
        <v>7</v>
      </c>
      <c r="Q26" s="436"/>
      <c r="R26" s="347"/>
      <c r="S26" s="207" t="s">
        <v>7</v>
      </c>
      <c r="T26" s="198">
        <f t="shared" si="3"/>
        <v>0</v>
      </c>
      <c r="U26" s="211"/>
      <c r="V26" s="211"/>
      <c r="W26" s="212"/>
      <c r="X26" s="213"/>
      <c r="Y26" s="438"/>
      <c r="Z26" s="214"/>
      <c r="AA26" s="202"/>
      <c r="AB26" s="440"/>
      <c r="AC26" s="178"/>
      <c r="AD26" s="179"/>
      <c r="AE26" s="179"/>
      <c r="AF26" s="179"/>
    </row>
    <row r="27" spans="1:32" s="203" customFormat="1" ht="69.95" customHeight="1" x14ac:dyDescent="0.15">
      <c r="A27" s="431" t="s">
        <v>392</v>
      </c>
      <c r="B27" s="182">
        <f>$I$5</f>
        <v>575</v>
      </c>
      <c r="C27" s="461" t="str">
        <f>$A$5</f>
        <v>BL</v>
      </c>
      <c r="D27" s="461"/>
      <c r="E27" s="461"/>
      <c r="F27" s="461"/>
      <c r="G27" s="461"/>
      <c r="H27" s="461"/>
      <c r="I27" s="441" t="s">
        <v>58</v>
      </c>
      <c r="J27" s="76" t="s">
        <v>6</v>
      </c>
      <c r="K27" s="136">
        <v>1.1299999999999999</v>
      </c>
      <c r="L27" s="77" t="s">
        <v>7</v>
      </c>
      <c r="M27" s="78">
        <f>K27*B27</f>
        <v>649.74999999999989</v>
      </c>
      <c r="N27" s="79"/>
      <c r="O27" s="78"/>
      <c r="P27" s="80" t="s">
        <v>7</v>
      </c>
      <c r="Q27" s="443">
        <v>46207</v>
      </c>
      <c r="R27" s="78">
        <v>650</v>
      </c>
      <c r="S27" s="80" t="s">
        <v>9</v>
      </c>
      <c r="T27" s="81">
        <f t="shared" si="3"/>
        <v>0.25000000000011369</v>
      </c>
      <c r="U27" s="82"/>
      <c r="V27" s="137"/>
      <c r="W27" s="78"/>
      <c r="X27" s="78"/>
      <c r="Y27" s="445" t="s">
        <v>59</v>
      </c>
      <c r="Z27" s="141"/>
      <c r="AA27" s="135"/>
      <c r="AB27" s="360" t="s">
        <v>478</v>
      </c>
    </row>
    <row r="28" spans="1:32" s="203" customFormat="1" ht="69.95" customHeight="1" x14ac:dyDescent="0.15">
      <c r="A28" s="432"/>
      <c r="B28" s="182">
        <f>$I$6</f>
        <v>0</v>
      </c>
      <c r="C28" s="461">
        <f>$A$6</f>
        <v>0</v>
      </c>
      <c r="D28" s="461"/>
      <c r="E28" s="461"/>
      <c r="F28" s="461"/>
      <c r="G28" s="461"/>
      <c r="H28" s="461"/>
      <c r="I28" s="442"/>
      <c r="J28" s="76" t="s">
        <v>6</v>
      </c>
      <c r="K28" s="83">
        <v>1.1299999999999999</v>
      </c>
      <c r="L28" s="77" t="s">
        <v>7</v>
      </c>
      <c r="M28" s="78">
        <f>K28*B28</f>
        <v>0</v>
      </c>
      <c r="N28" s="79"/>
      <c r="O28" s="128"/>
      <c r="P28" s="77" t="s">
        <v>7</v>
      </c>
      <c r="Q28" s="444"/>
      <c r="R28" s="137"/>
      <c r="S28" s="75" t="s">
        <v>9</v>
      </c>
      <c r="T28" s="81">
        <f t="shared" si="3"/>
        <v>0</v>
      </c>
      <c r="U28" s="131"/>
      <c r="V28" s="131"/>
      <c r="W28" s="132"/>
      <c r="X28" s="133"/>
      <c r="Y28" s="446"/>
      <c r="Z28" s="134"/>
      <c r="AA28" s="135"/>
      <c r="AB28" s="362"/>
      <c r="AC28" s="466"/>
      <c r="AD28" s="467"/>
      <c r="AE28" s="467"/>
      <c r="AF28" s="467"/>
    </row>
    <row r="29" spans="1:32" s="143" customFormat="1" ht="69.95" customHeight="1" x14ac:dyDescent="0.15">
      <c r="A29" s="464" t="s">
        <v>394</v>
      </c>
      <c r="B29" s="182">
        <f>$I$5</f>
        <v>575</v>
      </c>
      <c r="C29" s="461" t="str">
        <f>$A$5</f>
        <v>BL</v>
      </c>
      <c r="D29" s="461"/>
      <c r="E29" s="461"/>
      <c r="F29" s="461"/>
      <c r="G29" s="461"/>
      <c r="H29" s="461"/>
      <c r="I29" s="441" t="s">
        <v>76</v>
      </c>
      <c r="J29" s="76"/>
      <c r="K29" s="136">
        <v>1.6</v>
      </c>
      <c r="L29" s="77" t="s">
        <v>7</v>
      </c>
      <c r="M29" s="78">
        <f>K29*B29/100</f>
        <v>9.1999999999999993</v>
      </c>
      <c r="N29" s="79"/>
      <c r="O29" s="78"/>
      <c r="P29" s="80" t="s">
        <v>7</v>
      </c>
      <c r="Q29" s="443">
        <v>46207</v>
      </c>
      <c r="R29" s="78">
        <v>9</v>
      </c>
      <c r="S29" s="80" t="s">
        <v>9</v>
      </c>
      <c r="T29" s="81">
        <f t="shared" si="3"/>
        <v>-0.19999999999999929</v>
      </c>
      <c r="U29" s="82"/>
      <c r="V29" s="137"/>
      <c r="W29" s="78"/>
      <c r="X29" s="78"/>
      <c r="Y29" s="445" t="s">
        <v>94</v>
      </c>
      <c r="Z29" s="141"/>
      <c r="AA29" s="135"/>
      <c r="AB29" s="360" t="s">
        <v>478</v>
      </c>
    </row>
    <row r="30" spans="1:32" s="143" customFormat="1" ht="69.95" customHeight="1" x14ac:dyDescent="0.15">
      <c r="A30" s="464"/>
      <c r="B30" s="182">
        <f>$I$6</f>
        <v>0</v>
      </c>
      <c r="C30" s="461">
        <f>$A$6</f>
        <v>0</v>
      </c>
      <c r="D30" s="461"/>
      <c r="E30" s="461"/>
      <c r="F30" s="461"/>
      <c r="G30" s="461"/>
      <c r="H30" s="461"/>
      <c r="I30" s="442"/>
      <c r="J30" s="76"/>
      <c r="K30" s="136">
        <v>1.6</v>
      </c>
      <c r="L30" s="77" t="s">
        <v>7</v>
      </c>
      <c r="M30" s="78">
        <f>K30*B30/100</f>
        <v>0</v>
      </c>
      <c r="N30" s="79"/>
      <c r="O30" s="128"/>
      <c r="P30" s="77" t="s">
        <v>7</v>
      </c>
      <c r="Q30" s="447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1"/>
      <c r="AC30" s="577"/>
      <c r="AD30" s="578"/>
      <c r="AE30" s="578"/>
      <c r="AF30" s="578"/>
    </row>
    <row r="31" spans="1:32" s="143" customFormat="1" ht="69.95" customHeight="1" x14ac:dyDescent="0.15">
      <c r="A31" s="464" t="s">
        <v>393</v>
      </c>
      <c r="B31" s="182">
        <f>$I$5</f>
        <v>575</v>
      </c>
      <c r="C31" s="461" t="str">
        <f>$A$5</f>
        <v>BL</v>
      </c>
      <c r="D31" s="461"/>
      <c r="E31" s="461"/>
      <c r="F31" s="461"/>
      <c r="G31" s="461"/>
      <c r="H31" s="461"/>
      <c r="I31" s="441" t="s">
        <v>76</v>
      </c>
      <c r="J31" s="76"/>
      <c r="K31" s="136">
        <v>6</v>
      </c>
      <c r="L31" s="77" t="s">
        <v>7</v>
      </c>
      <c r="M31" s="78">
        <f t="shared" ref="M31:M36" si="7">K31*B31/50</f>
        <v>69</v>
      </c>
      <c r="N31" s="79"/>
      <c r="O31" s="78"/>
      <c r="P31" s="80" t="s">
        <v>7</v>
      </c>
      <c r="Q31" s="447"/>
      <c r="R31" s="78">
        <v>70</v>
      </c>
      <c r="S31" s="80" t="s">
        <v>9</v>
      </c>
      <c r="T31" s="81">
        <f t="shared" si="3"/>
        <v>1</v>
      </c>
      <c r="U31" s="82"/>
      <c r="V31" s="137"/>
      <c r="W31" s="78"/>
      <c r="X31" s="78"/>
      <c r="Y31" s="445" t="s">
        <v>94</v>
      </c>
      <c r="Z31" s="141"/>
      <c r="AA31" s="135"/>
      <c r="AB31" s="361"/>
    </row>
    <row r="32" spans="1:32" s="143" customFormat="1" ht="69.95" customHeight="1" x14ac:dyDescent="0.15">
      <c r="A32" s="464"/>
      <c r="B32" s="182">
        <f>$I$6</f>
        <v>0</v>
      </c>
      <c r="C32" s="461">
        <f>$A$6</f>
        <v>0</v>
      </c>
      <c r="D32" s="461"/>
      <c r="E32" s="461"/>
      <c r="F32" s="461"/>
      <c r="G32" s="461"/>
      <c r="H32" s="461"/>
      <c r="I32" s="442"/>
      <c r="J32" s="76"/>
      <c r="K32" s="136">
        <v>6</v>
      </c>
      <c r="L32" s="77" t="s">
        <v>7</v>
      </c>
      <c r="M32" s="78">
        <f t="shared" si="7"/>
        <v>0</v>
      </c>
      <c r="N32" s="79"/>
      <c r="O32" s="128"/>
      <c r="P32" s="77" t="s">
        <v>7</v>
      </c>
      <c r="Q32" s="444"/>
      <c r="R32" s="137"/>
      <c r="S32" s="75" t="s">
        <v>9</v>
      </c>
      <c r="T32" s="81">
        <f t="shared" si="3"/>
        <v>0</v>
      </c>
      <c r="U32" s="131"/>
      <c r="V32" s="131"/>
      <c r="W32" s="132"/>
      <c r="X32" s="133"/>
      <c r="Y32" s="446"/>
      <c r="Z32" s="134"/>
      <c r="AA32" s="135"/>
      <c r="AB32" s="362"/>
      <c r="AC32" s="577"/>
      <c r="AD32" s="578"/>
      <c r="AE32" s="578"/>
      <c r="AF32" s="578"/>
    </row>
    <row r="33" spans="1:32" s="203" customFormat="1" ht="69.95" customHeight="1" x14ac:dyDescent="0.15">
      <c r="A33" s="464" t="s">
        <v>379</v>
      </c>
      <c r="B33" s="182">
        <f>$I$5</f>
        <v>575</v>
      </c>
      <c r="C33" s="461" t="str">
        <f>$A$5</f>
        <v>BL</v>
      </c>
      <c r="D33" s="461"/>
      <c r="E33" s="461"/>
      <c r="F33" s="461"/>
      <c r="G33" s="461"/>
      <c r="H33" s="461"/>
      <c r="I33" s="441" t="s">
        <v>174</v>
      </c>
      <c r="J33" s="76"/>
      <c r="K33" s="136">
        <v>1</v>
      </c>
      <c r="L33" s="77" t="s">
        <v>65</v>
      </c>
      <c r="M33" s="78">
        <f t="shared" si="7"/>
        <v>11.5</v>
      </c>
      <c r="N33" s="79"/>
      <c r="O33" s="78"/>
      <c r="P33" s="80" t="s">
        <v>7</v>
      </c>
      <c r="Q33" s="443">
        <v>46207</v>
      </c>
      <c r="R33" s="78">
        <v>575</v>
      </c>
      <c r="S33" s="80" t="s">
        <v>9</v>
      </c>
      <c r="T33" s="81">
        <f t="shared" si="3"/>
        <v>563.5</v>
      </c>
      <c r="U33" s="82"/>
      <c r="V33" s="137"/>
      <c r="W33" s="78"/>
      <c r="X33" s="78"/>
      <c r="Y33" s="621" t="s">
        <v>57</v>
      </c>
      <c r="Z33" s="141"/>
      <c r="AA33" s="135"/>
      <c r="AB33" s="360" t="s">
        <v>475</v>
      </c>
    </row>
    <row r="34" spans="1:32" s="203" customFormat="1" ht="69.95" customHeight="1" x14ac:dyDescent="0.15">
      <c r="A34" s="464"/>
      <c r="B34" s="182">
        <f>$I$6</f>
        <v>0</v>
      </c>
      <c r="C34" s="461">
        <f>$A$6</f>
        <v>0</v>
      </c>
      <c r="D34" s="461"/>
      <c r="E34" s="461"/>
      <c r="F34" s="461"/>
      <c r="G34" s="461"/>
      <c r="H34" s="461"/>
      <c r="I34" s="442"/>
      <c r="J34" s="76"/>
      <c r="K34" s="83">
        <v>1</v>
      </c>
      <c r="L34" s="77" t="s">
        <v>65</v>
      </c>
      <c r="M34" s="78">
        <f t="shared" si="7"/>
        <v>0</v>
      </c>
      <c r="N34" s="79"/>
      <c r="O34" s="128"/>
      <c r="P34" s="77" t="s">
        <v>7</v>
      </c>
      <c r="Q34" s="444"/>
      <c r="R34" s="137"/>
      <c r="S34" s="75" t="s">
        <v>9</v>
      </c>
      <c r="T34" s="81">
        <f t="shared" si="3"/>
        <v>0</v>
      </c>
      <c r="U34" s="131"/>
      <c r="V34" s="131"/>
      <c r="W34" s="132"/>
      <c r="X34" s="133"/>
      <c r="Y34" s="622"/>
      <c r="Z34" s="134"/>
      <c r="AA34" s="135"/>
      <c r="AB34" s="362"/>
      <c r="AC34" s="466"/>
      <c r="AD34" s="467"/>
      <c r="AE34" s="467"/>
      <c r="AF34" s="467"/>
    </row>
    <row r="35" spans="1:32" s="203" customFormat="1" ht="69.95" customHeight="1" x14ac:dyDescent="0.15">
      <c r="A35" s="431" t="s">
        <v>380</v>
      </c>
      <c r="B35" s="182">
        <f>$I$5</f>
        <v>575</v>
      </c>
      <c r="C35" s="461" t="str">
        <f>$A$5</f>
        <v>BL</v>
      </c>
      <c r="D35" s="461"/>
      <c r="E35" s="461"/>
      <c r="F35" s="368"/>
      <c r="G35" s="369"/>
      <c r="H35" s="370"/>
      <c r="I35" s="441"/>
      <c r="J35" s="76"/>
      <c r="K35" s="83">
        <v>1</v>
      </c>
      <c r="L35" s="77" t="s">
        <v>381</v>
      </c>
      <c r="M35" s="78">
        <f t="shared" si="7"/>
        <v>11.5</v>
      </c>
      <c r="N35" s="79"/>
      <c r="O35" s="128"/>
      <c r="P35" s="77"/>
      <c r="Q35" s="443">
        <v>46207</v>
      </c>
      <c r="R35" s="137">
        <v>575</v>
      </c>
      <c r="S35" s="75"/>
      <c r="T35" s="81">
        <f t="shared" si="3"/>
        <v>563.5</v>
      </c>
      <c r="U35" s="131"/>
      <c r="V35" s="131"/>
      <c r="W35" s="132"/>
      <c r="X35" s="133"/>
      <c r="Y35" s="621" t="s">
        <v>57</v>
      </c>
      <c r="Z35" s="134"/>
      <c r="AA35" s="135"/>
      <c r="AB35" s="360" t="s">
        <v>475</v>
      </c>
      <c r="AC35" s="334"/>
      <c r="AD35" s="335"/>
      <c r="AE35" s="335"/>
      <c r="AF35" s="335"/>
    </row>
    <row r="36" spans="1:32" s="203" customFormat="1" ht="69.95" customHeight="1" x14ac:dyDescent="0.15">
      <c r="A36" s="432"/>
      <c r="B36" s="182">
        <f>$I$6</f>
        <v>0</v>
      </c>
      <c r="C36" s="461">
        <f>$A$6</f>
        <v>0</v>
      </c>
      <c r="D36" s="461"/>
      <c r="E36" s="461"/>
      <c r="F36" s="368"/>
      <c r="G36" s="369"/>
      <c r="H36" s="370"/>
      <c r="I36" s="442"/>
      <c r="J36" s="76"/>
      <c r="K36" s="83">
        <v>1</v>
      </c>
      <c r="L36" s="77" t="s">
        <v>381</v>
      </c>
      <c r="M36" s="78">
        <f t="shared" si="7"/>
        <v>0</v>
      </c>
      <c r="N36" s="79"/>
      <c r="O36" s="128"/>
      <c r="P36" s="77"/>
      <c r="Q36" s="444"/>
      <c r="R36" s="137"/>
      <c r="S36" s="75"/>
      <c r="T36" s="81">
        <f t="shared" si="3"/>
        <v>0</v>
      </c>
      <c r="U36" s="131"/>
      <c r="V36" s="131"/>
      <c r="W36" s="132"/>
      <c r="X36" s="133"/>
      <c r="Y36" s="622"/>
      <c r="Z36" s="134"/>
      <c r="AA36" s="135"/>
      <c r="AB36" s="362"/>
      <c r="AC36" s="334"/>
      <c r="AD36" s="335"/>
      <c r="AE36" s="335"/>
      <c r="AF36" s="335"/>
    </row>
    <row r="37" spans="1:32" s="143" customFormat="1" ht="69.95" customHeight="1" x14ac:dyDescent="0.15">
      <c r="A37" s="431" t="s">
        <v>88</v>
      </c>
      <c r="B37" s="182">
        <f>$I$5</f>
        <v>575</v>
      </c>
      <c r="C37" s="461" t="str">
        <f>$A$5</f>
        <v>BL</v>
      </c>
      <c r="D37" s="461"/>
      <c r="E37" s="461"/>
      <c r="F37" s="461" t="str">
        <f>$A$5</f>
        <v>BL</v>
      </c>
      <c r="G37" s="461"/>
      <c r="H37" s="461"/>
      <c r="I37" s="441" t="s">
        <v>62</v>
      </c>
      <c r="J37" s="76"/>
      <c r="K37" s="139">
        <v>230</v>
      </c>
      <c r="L37" s="77" t="s">
        <v>61</v>
      </c>
      <c r="M37" s="78">
        <f t="shared" ref="M37:M38" si="8">K37*B37/2500</f>
        <v>52.9</v>
      </c>
      <c r="N37" s="79"/>
      <c r="O37" s="78"/>
      <c r="P37" s="80" t="s">
        <v>10</v>
      </c>
      <c r="Q37" s="443">
        <v>46207</v>
      </c>
      <c r="R37" s="78">
        <v>56</v>
      </c>
      <c r="S37" s="80" t="s">
        <v>10</v>
      </c>
      <c r="T37" s="81">
        <f>R37-M37</f>
        <v>3.1000000000000014</v>
      </c>
      <c r="U37" s="82"/>
      <c r="V37" s="137"/>
      <c r="W37" s="78"/>
      <c r="X37" s="78"/>
      <c r="Y37" s="445" t="s">
        <v>94</v>
      </c>
      <c r="Z37" s="141"/>
      <c r="AA37" s="135"/>
      <c r="AB37" s="360" t="s">
        <v>478</v>
      </c>
    </row>
    <row r="38" spans="1:32" s="55" customFormat="1" ht="69.95" customHeight="1" x14ac:dyDescent="0.15">
      <c r="A38" s="432"/>
      <c r="B38" s="186">
        <f>$I$6</f>
        <v>0</v>
      </c>
      <c r="C38" s="395">
        <f>$A$6</f>
        <v>0</v>
      </c>
      <c r="D38" s="396"/>
      <c r="E38" s="397"/>
      <c r="F38" s="395">
        <f>$A$6</f>
        <v>0</v>
      </c>
      <c r="G38" s="396"/>
      <c r="H38" s="397"/>
      <c r="I38" s="442"/>
      <c r="J38" s="144"/>
      <c r="K38" s="139">
        <v>230</v>
      </c>
      <c r="L38" s="145" t="s">
        <v>61</v>
      </c>
      <c r="M38" s="78">
        <f t="shared" si="8"/>
        <v>0</v>
      </c>
      <c r="N38" s="146"/>
      <c r="O38" s="147"/>
      <c r="P38" s="145" t="s">
        <v>10</v>
      </c>
      <c r="Q38" s="447"/>
      <c r="R38" s="161"/>
      <c r="S38" s="148" t="s">
        <v>10</v>
      </c>
      <c r="T38" s="84">
        <f>R38-M38</f>
        <v>0</v>
      </c>
      <c r="U38" s="149"/>
      <c r="V38" s="149"/>
      <c r="W38" s="150"/>
      <c r="X38" s="151"/>
      <c r="Y38" s="446"/>
      <c r="Z38" s="216"/>
      <c r="AA38" s="217"/>
      <c r="AB38" s="361"/>
      <c r="AC38" s="471"/>
      <c r="AD38" s="472"/>
      <c r="AE38" s="472"/>
      <c r="AF38" s="472"/>
    </row>
    <row r="39" spans="1:32" s="143" customFormat="1" ht="69.95" customHeight="1" x14ac:dyDescent="0.15">
      <c r="A39" s="431" t="s">
        <v>87</v>
      </c>
      <c r="B39" s="182">
        <f>$I$5</f>
        <v>575</v>
      </c>
      <c r="C39" s="461" t="str">
        <f>$A$5</f>
        <v>BL</v>
      </c>
      <c r="D39" s="461"/>
      <c r="E39" s="461"/>
      <c r="F39" s="461" t="str">
        <f>$A$5</f>
        <v>BL</v>
      </c>
      <c r="G39" s="461"/>
      <c r="H39" s="461"/>
      <c r="I39" s="441" t="s">
        <v>60</v>
      </c>
      <c r="J39" s="76"/>
      <c r="K39" s="139">
        <v>470</v>
      </c>
      <c r="L39" s="77" t="s">
        <v>61</v>
      </c>
      <c r="M39" s="78">
        <f>K39*B39/4000</f>
        <v>67.5625</v>
      </c>
      <c r="N39" s="79"/>
      <c r="O39" s="78"/>
      <c r="P39" s="80" t="s">
        <v>10</v>
      </c>
      <c r="Q39" s="447"/>
      <c r="R39" s="78">
        <v>67</v>
      </c>
      <c r="S39" s="80" t="s">
        <v>10</v>
      </c>
      <c r="T39" s="81">
        <f t="shared" si="3"/>
        <v>-0.5625</v>
      </c>
      <c r="U39" s="82"/>
      <c r="V39" s="137"/>
      <c r="W39" s="78"/>
      <c r="X39" s="78"/>
      <c r="Y39" s="445" t="s">
        <v>94</v>
      </c>
      <c r="Z39" s="141"/>
      <c r="AA39" s="135"/>
      <c r="AB39" s="361"/>
    </row>
    <row r="40" spans="1:32" s="55" customFormat="1" ht="69.95" customHeight="1" x14ac:dyDescent="0.15">
      <c r="A40" s="432"/>
      <c r="B40" s="186">
        <f>$I$6</f>
        <v>0</v>
      </c>
      <c r="C40" s="395">
        <f>$A$6</f>
        <v>0</v>
      </c>
      <c r="D40" s="396"/>
      <c r="E40" s="397"/>
      <c r="F40" s="395">
        <f>$A$6</f>
        <v>0</v>
      </c>
      <c r="G40" s="396"/>
      <c r="H40" s="397"/>
      <c r="I40" s="442"/>
      <c r="J40" s="144"/>
      <c r="K40" s="139">
        <v>470</v>
      </c>
      <c r="L40" s="145" t="s">
        <v>61</v>
      </c>
      <c r="M40" s="78">
        <f>K40*B40/4000</f>
        <v>0</v>
      </c>
      <c r="N40" s="146"/>
      <c r="O40" s="147"/>
      <c r="P40" s="145" t="s">
        <v>10</v>
      </c>
      <c r="Q40" s="447"/>
      <c r="R40" s="161"/>
      <c r="S40" s="148" t="s">
        <v>10</v>
      </c>
      <c r="T40" s="84">
        <f t="shared" si="3"/>
        <v>0</v>
      </c>
      <c r="U40" s="149"/>
      <c r="V40" s="149"/>
      <c r="W40" s="150"/>
      <c r="X40" s="151"/>
      <c r="Y40" s="446"/>
      <c r="Z40" s="216"/>
      <c r="AA40" s="217"/>
      <c r="AB40" s="361"/>
      <c r="AC40" s="471"/>
      <c r="AD40" s="472"/>
      <c r="AE40" s="472"/>
      <c r="AF40" s="472"/>
    </row>
    <row r="41" spans="1:32" s="143" customFormat="1" ht="69.95" customHeight="1" x14ac:dyDescent="0.15">
      <c r="A41" s="431" t="s">
        <v>177</v>
      </c>
      <c r="B41" s="182">
        <f>$I$5</f>
        <v>575</v>
      </c>
      <c r="C41" s="461" t="str">
        <f>$A$5</f>
        <v>BL</v>
      </c>
      <c r="D41" s="461"/>
      <c r="E41" s="461"/>
      <c r="F41" s="461" t="str">
        <f>$A$5</f>
        <v>BL</v>
      </c>
      <c r="G41" s="461"/>
      <c r="H41" s="461"/>
      <c r="I41" s="441" t="s">
        <v>60</v>
      </c>
      <c r="J41" s="76"/>
      <c r="K41" s="139">
        <v>10</v>
      </c>
      <c r="L41" s="77" t="s">
        <v>61</v>
      </c>
      <c r="M41" s="78">
        <f>K41*B41/4000</f>
        <v>1.4375</v>
      </c>
      <c r="N41" s="79"/>
      <c r="O41" s="78"/>
      <c r="P41" s="80" t="s">
        <v>10</v>
      </c>
      <c r="Q41" s="447"/>
      <c r="R41" s="78">
        <v>1</v>
      </c>
      <c r="S41" s="80" t="s">
        <v>10</v>
      </c>
      <c r="T41" s="81">
        <f t="shared" si="3"/>
        <v>-0.4375</v>
      </c>
      <c r="U41" s="82"/>
      <c r="V41" s="137"/>
      <c r="W41" s="78"/>
      <c r="X41" s="78"/>
      <c r="Y41" s="445" t="s">
        <v>94</v>
      </c>
      <c r="Z41" s="141"/>
      <c r="AA41" s="135"/>
      <c r="AB41" s="361"/>
    </row>
    <row r="42" spans="1:32" s="55" customFormat="1" ht="69.95" customHeight="1" x14ac:dyDescent="0.15">
      <c r="A42" s="432"/>
      <c r="B42" s="186">
        <f>$I$6</f>
        <v>0</v>
      </c>
      <c r="C42" s="395">
        <f>$A$6</f>
        <v>0</v>
      </c>
      <c r="D42" s="396"/>
      <c r="E42" s="397"/>
      <c r="F42" s="395">
        <f>$A$6</f>
        <v>0</v>
      </c>
      <c r="G42" s="396"/>
      <c r="H42" s="397"/>
      <c r="I42" s="442"/>
      <c r="J42" s="144"/>
      <c r="K42" s="139">
        <v>10</v>
      </c>
      <c r="L42" s="145" t="s">
        <v>61</v>
      </c>
      <c r="M42" s="78">
        <f>K42*B42/4000</f>
        <v>0</v>
      </c>
      <c r="N42" s="146"/>
      <c r="O42" s="147"/>
      <c r="P42" s="145" t="s">
        <v>10</v>
      </c>
      <c r="Q42" s="444"/>
      <c r="R42" s="161"/>
      <c r="S42" s="148" t="s">
        <v>10</v>
      </c>
      <c r="T42" s="84">
        <f t="shared" si="3"/>
        <v>0</v>
      </c>
      <c r="U42" s="149"/>
      <c r="V42" s="149"/>
      <c r="W42" s="150"/>
      <c r="X42" s="151"/>
      <c r="Y42" s="446"/>
      <c r="Z42" s="216"/>
      <c r="AA42" s="217"/>
      <c r="AB42" s="362"/>
      <c r="AC42" s="471"/>
      <c r="AD42" s="472"/>
      <c r="AE42" s="472"/>
      <c r="AF42" s="472"/>
    </row>
    <row r="43" spans="1:32" s="203" customFormat="1" ht="69.95" customHeight="1" x14ac:dyDescent="0.15">
      <c r="A43" s="611" t="s">
        <v>382</v>
      </c>
      <c r="B43" s="191">
        <f>$I$5</f>
        <v>575</v>
      </c>
      <c r="C43" s="465" t="str">
        <f>$A$5</f>
        <v>BL</v>
      </c>
      <c r="D43" s="465"/>
      <c r="E43" s="465"/>
      <c r="F43" s="465" t="str">
        <f>$A$5</f>
        <v>BL</v>
      </c>
      <c r="G43" s="465"/>
      <c r="H43" s="465"/>
      <c r="I43" s="433" t="s">
        <v>118</v>
      </c>
      <c r="J43" s="192"/>
      <c r="K43" s="193">
        <v>15</v>
      </c>
      <c r="L43" s="194" t="s">
        <v>61</v>
      </c>
      <c r="M43" s="195">
        <f>K43*B43/500</f>
        <v>17.25</v>
      </c>
      <c r="N43" s="196"/>
      <c r="O43" s="195"/>
      <c r="P43" s="197" t="s">
        <v>10</v>
      </c>
      <c r="Q43" s="435"/>
      <c r="R43" s="195"/>
      <c r="S43" s="197" t="s">
        <v>10</v>
      </c>
      <c r="T43" s="198">
        <f t="shared" si="3"/>
        <v>-17.25</v>
      </c>
      <c r="U43" s="199"/>
      <c r="V43" s="200"/>
      <c r="W43" s="195"/>
      <c r="X43" s="195"/>
      <c r="Y43" s="437" t="s">
        <v>94</v>
      </c>
      <c r="Z43" s="201"/>
      <c r="AA43" s="202"/>
      <c r="AB43" s="360"/>
    </row>
    <row r="44" spans="1:32" s="206" customFormat="1" ht="69.95" customHeight="1" x14ac:dyDescent="0.15">
      <c r="A44" s="612"/>
      <c r="B44" s="204">
        <f>$I$6</f>
        <v>0</v>
      </c>
      <c r="C44" s="453">
        <f>$A$6</f>
        <v>0</v>
      </c>
      <c r="D44" s="454"/>
      <c r="E44" s="455"/>
      <c r="F44" s="453">
        <f>$A$6</f>
        <v>0</v>
      </c>
      <c r="G44" s="454"/>
      <c r="H44" s="455"/>
      <c r="I44" s="434"/>
      <c r="J44" s="218"/>
      <c r="K44" s="193">
        <v>15</v>
      </c>
      <c r="L44" s="219" t="s">
        <v>61</v>
      </c>
      <c r="M44" s="195">
        <f>K44*B44/500</f>
        <v>0</v>
      </c>
      <c r="N44" s="220"/>
      <c r="O44" s="221"/>
      <c r="P44" s="219" t="s">
        <v>10</v>
      </c>
      <c r="Q44" s="436"/>
      <c r="R44" s="222"/>
      <c r="S44" s="215" t="s">
        <v>10</v>
      </c>
      <c r="T44" s="205">
        <f t="shared" si="3"/>
        <v>0</v>
      </c>
      <c r="U44" s="223"/>
      <c r="V44" s="223"/>
      <c r="W44" s="224"/>
      <c r="X44" s="225"/>
      <c r="Y44" s="438"/>
      <c r="Z44" s="226"/>
      <c r="AA44" s="227"/>
      <c r="AB44" s="362"/>
      <c r="AC44" s="567"/>
      <c r="AD44" s="568"/>
      <c r="AE44" s="568"/>
      <c r="AF44" s="568"/>
    </row>
    <row r="45" spans="1:32" s="55" customFormat="1" ht="69.95" customHeight="1" x14ac:dyDescent="0.15">
      <c r="A45" s="611" t="s">
        <v>173</v>
      </c>
      <c r="B45" s="191">
        <f t="shared" ref="B45" si="9">$I$5</f>
        <v>575</v>
      </c>
      <c r="C45" s="422" t="str">
        <f t="shared" ref="C45" si="10">$A$5</f>
        <v>BL</v>
      </c>
      <c r="D45" s="423"/>
      <c r="E45" s="424"/>
      <c r="F45" s="425"/>
      <c r="G45" s="423"/>
      <c r="H45" s="424"/>
      <c r="I45" s="433" t="s">
        <v>174</v>
      </c>
      <c r="J45" s="192"/>
      <c r="K45" s="193">
        <v>1</v>
      </c>
      <c r="L45" s="194" t="s">
        <v>65</v>
      </c>
      <c r="M45" s="195">
        <f t="shared" ref="M45:M46" si="11">K45*B45</f>
        <v>575</v>
      </c>
      <c r="N45" s="196"/>
      <c r="O45" s="195"/>
      <c r="P45" s="194" t="s">
        <v>65</v>
      </c>
      <c r="Q45" s="435"/>
      <c r="R45" s="195"/>
      <c r="S45" s="194" t="s">
        <v>65</v>
      </c>
      <c r="T45" s="205">
        <f t="shared" si="3"/>
        <v>-575</v>
      </c>
      <c r="U45" s="199"/>
      <c r="V45" s="199"/>
      <c r="W45" s="208"/>
      <c r="X45" s="198"/>
      <c r="Y45" s="437" t="s">
        <v>57</v>
      </c>
      <c r="Z45" s="231"/>
      <c r="AA45" s="232"/>
      <c r="AB45" s="360"/>
    </row>
    <row r="46" spans="1:32" s="55" customFormat="1" ht="69.95" customHeight="1" x14ac:dyDescent="0.15">
      <c r="A46" s="612"/>
      <c r="B46" s="204">
        <f>$I$6</f>
        <v>0</v>
      </c>
      <c r="C46" s="453">
        <f>$A$6</f>
        <v>0</v>
      </c>
      <c r="D46" s="454"/>
      <c r="E46" s="455"/>
      <c r="F46" s="425"/>
      <c r="G46" s="423"/>
      <c r="H46" s="424"/>
      <c r="I46" s="434"/>
      <c r="J46" s="192"/>
      <c r="K46" s="193">
        <v>1</v>
      </c>
      <c r="L46" s="194" t="s">
        <v>65</v>
      </c>
      <c r="M46" s="195">
        <f t="shared" si="11"/>
        <v>0</v>
      </c>
      <c r="N46" s="233"/>
      <c r="O46" s="195"/>
      <c r="P46" s="194" t="s">
        <v>65</v>
      </c>
      <c r="Q46" s="561"/>
      <c r="R46" s="195"/>
      <c r="S46" s="194" t="s">
        <v>65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361"/>
      <c r="AC46" s="142"/>
      <c r="AD46" s="179"/>
      <c r="AE46" s="179"/>
      <c r="AF46" s="179"/>
    </row>
    <row r="47" spans="1:32" s="55" customFormat="1" ht="69.95" customHeight="1" x14ac:dyDescent="0.15">
      <c r="A47" s="431" t="s">
        <v>396</v>
      </c>
      <c r="B47" s="182">
        <f t="shared" ref="B47:B51" si="12">$I$5</f>
        <v>575</v>
      </c>
      <c r="C47" s="368" t="str">
        <f t="shared" ref="C47:C51" si="13">$A$5</f>
        <v>BL</v>
      </c>
      <c r="D47" s="369"/>
      <c r="E47" s="370"/>
      <c r="F47" s="428" t="s">
        <v>395</v>
      </c>
      <c r="G47" s="429"/>
      <c r="H47" s="430"/>
      <c r="I47" s="441" t="s">
        <v>121</v>
      </c>
      <c r="J47" s="76"/>
      <c r="K47" s="139">
        <v>2</v>
      </c>
      <c r="L47" s="77" t="s">
        <v>63</v>
      </c>
      <c r="M47" s="78">
        <f t="shared" si="4"/>
        <v>1150</v>
      </c>
      <c r="N47" s="79"/>
      <c r="O47" s="78"/>
      <c r="P47" s="80" t="s">
        <v>63</v>
      </c>
      <c r="Q47" s="443"/>
      <c r="R47" s="78"/>
      <c r="S47" s="80" t="s">
        <v>63</v>
      </c>
      <c r="T47" s="84">
        <f t="shared" si="3"/>
        <v>-1150</v>
      </c>
      <c r="U47" s="82"/>
      <c r="V47" s="82"/>
      <c r="W47" s="83"/>
      <c r="X47" s="81"/>
      <c r="Y47" s="445" t="s">
        <v>64</v>
      </c>
      <c r="Z47" s="86"/>
      <c r="AA47" s="85"/>
      <c r="AB47" s="360"/>
    </row>
    <row r="48" spans="1:32" s="55" customFormat="1" ht="69.95" customHeight="1" x14ac:dyDescent="0.15">
      <c r="A48" s="432"/>
      <c r="B48" s="186">
        <f>$I$6</f>
        <v>0</v>
      </c>
      <c r="C48" s="368">
        <f>$A$6</f>
        <v>0</v>
      </c>
      <c r="D48" s="369"/>
      <c r="E48" s="370"/>
      <c r="F48" s="428" t="s">
        <v>395</v>
      </c>
      <c r="G48" s="429"/>
      <c r="H48" s="430"/>
      <c r="I48" s="442"/>
      <c r="J48" s="76"/>
      <c r="K48" s="139">
        <v>2</v>
      </c>
      <c r="L48" s="77" t="s">
        <v>63</v>
      </c>
      <c r="M48" s="78">
        <f t="shared" si="4"/>
        <v>0</v>
      </c>
      <c r="N48" s="140"/>
      <c r="O48" s="78"/>
      <c r="P48" s="80" t="s">
        <v>63</v>
      </c>
      <c r="Q48" s="447"/>
      <c r="R48" s="78"/>
      <c r="S48" s="80" t="s">
        <v>63</v>
      </c>
      <c r="T48" s="81">
        <f t="shared" si="3"/>
        <v>0</v>
      </c>
      <c r="U48" s="82"/>
      <c r="V48" s="137"/>
      <c r="W48" s="78"/>
      <c r="X48" s="78"/>
      <c r="Y48" s="446"/>
      <c r="Z48" s="141"/>
      <c r="AA48" s="135"/>
      <c r="AB48" s="361"/>
      <c r="AC48" s="142"/>
      <c r="AD48" s="179"/>
      <c r="AE48" s="179"/>
      <c r="AF48" s="179"/>
    </row>
    <row r="49" spans="1:32" s="55" customFormat="1" ht="69.95" customHeight="1" x14ac:dyDescent="0.15">
      <c r="A49" s="431" t="s">
        <v>397</v>
      </c>
      <c r="B49" s="182">
        <f t="shared" si="12"/>
        <v>575</v>
      </c>
      <c r="C49" s="368" t="str">
        <f t="shared" si="13"/>
        <v>BL</v>
      </c>
      <c r="D49" s="369"/>
      <c r="E49" s="370"/>
      <c r="F49" s="428"/>
      <c r="G49" s="429"/>
      <c r="H49" s="430"/>
      <c r="I49" s="441" t="s">
        <v>79</v>
      </c>
      <c r="J49" s="76"/>
      <c r="K49" s="136">
        <v>2</v>
      </c>
      <c r="L49" s="77" t="s">
        <v>386</v>
      </c>
      <c r="M49" s="78">
        <f t="shared" si="4"/>
        <v>1150</v>
      </c>
      <c r="N49" s="140"/>
      <c r="O49" s="78"/>
      <c r="P49" s="80"/>
      <c r="Q49" s="447"/>
      <c r="R49" s="78"/>
      <c r="S49" s="80"/>
      <c r="T49" s="84">
        <f t="shared" si="3"/>
        <v>-1150</v>
      </c>
      <c r="U49" s="82"/>
      <c r="V49" s="137"/>
      <c r="W49" s="78"/>
      <c r="X49" s="78"/>
      <c r="Y49" s="445" t="s">
        <v>479</v>
      </c>
      <c r="Z49" s="86"/>
      <c r="AA49" s="85"/>
      <c r="AB49" s="361"/>
      <c r="AC49" s="142"/>
      <c r="AD49" s="179"/>
      <c r="AE49" s="179"/>
      <c r="AF49" s="179"/>
    </row>
    <row r="50" spans="1:32" s="55" customFormat="1" ht="69.95" customHeight="1" x14ac:dyDescent="0.15">
      <c r="A50" s="432"/>
      <c r="B50" s="186">
        <f>$I$6</f>
        <v>0</v>
      </c>
      <c r="C50" s="368">
        <f>$A$6</f>
        <v>0</v>
      </c>
      <c r="D50" s="369"/>
      <c r="E50" s="370"/>
      <c r="F50" s="428"/>
      <c r="G50" s="429"/>
      <c r="H50" s="430"/>
      <c r="I50" s="442"/>
      <c r="J50" s="76"/>
      <c r="K50" s="136">
        <v>2</v>
      </c>
      <c r="L50" s="77" t="s">
        <v>386</v>
      </c>
      <c r="M50" s="78">
        <f t="shared" si="4"/>
        <v>0</v>
      </c>
      <c r="N50" s="140"/>
      <c r="O50" s="78"/>
      <c r="P50" s="80"/>
      <c r="Q50" s="447"/>
      <c r="R50" s="78"/>
      <c r="S50" s="80"/>
      <c r="T50" s="84">
        <f t="shared" si="3"/>
        <v>0</v>
      </c>
      <c r="U50" s="82"/>
      <c r="V50" s="137"/>
      <c r="W50" s="78"/>
      <c r="X50" s="78"/>
      <c r="Y50" s="446"/>
      <c r="Z50" s="86"/>
      <c r="AA50" s="85"/>
      <c r="AB50" s="361"/>
      <c r="AC50" s="142"/>
      <c r="AD50" s="179"/>
      <c r="AE50" s="179"/>
      <c r="AF50" s="179"/>
    </row>
    <row r="51" spans="1:32" s="55" customFormat="1" ht="69.95" customHeight="1" x14ac:dyDescent="0.15">
      <c r="A51" s="611" t="s">
        <v>385</v>
      </c>
      <c r="B51" s="191">
        <f t="shared" si="12"/>
        <v>575</v>
      </c>
      <c r="C51" s="422" t="str">
        <f t="shared" si="13"/>
        <v>BL</v>
      </c>
      <c r="D51" s="423"/>
      <c r="E51" s="424"/>
      <c r="F51" s="425"/>
      <c r="G51" s="426"/>
      <c r="H51" s="427"/>
      <c r="I51" s="433" t="s">
        <v>384</v>
      </c>
      <c r="J51" s="192"/>
      <c r="K51" s="304">
        <v>0.9</v>
      </c>
      <c r="L51" s="194" t="s">
        <v>63</v>
      </c>
      <c r="M51" s="195">
        <f t="shared" si="4"/>
        <v>517.5</v>
      </c>
      <c r="N51" s="196"/>
      <c r="O51" s="195"/>
      <c r="P51" s="197" t="s">
        <v>63</v>
      </c>
      <c r="Q51" s="307"/>
      <c r="R51" s="195"/>
      <c r="S51" s="197" t="s">
        <v>63</v>
      </c>
      <c r="T51" s="205">
        <f t="shared" si="3"/>
        <v>-517.5</v>
      </c>
      <c r="U51" s="199"/>
      <c r="V51" s="199"/>
      <c r="W51" s="208"/>
      <c r="X51" s="198"/>
      <c r="Y51" s="437" t="s">
        <v>64</v>
      </c>
      <c r="Z51" s="231"/>
      <c r="AA51" s="85"/>
      <c r="AB51" s="361"/>
    </row>
    <row r="52" spans="1:32" s="55" customFormat="1" ht="69.95" customHeight="1" x14ac:dyDescent="0.15">
      <c r="A52" s="612"/>
      <c r="B52" s="204">
        <f>$I$6</f>
        <v>0</v>
      </c>
      <c r="C52" s="422">
        <f>$A$6</f>
        <v>0</v>
      </c>
      <c r="D52" s="423"/>
      <c r="E52" s="424"/>
      <c r="F52" s="425"/>
      <c r="G52" s="426"/>
      <c r="H52" s="427"/>
      <c r="I52" s="434"/>
      <c r="J52" s="192"/>
      <c r="K52" s="304">
        <v>0.9</v>
      </c>
      <c r="L52" s="194" t="s">
        <v>63</v>
      </c>
      <c r="M52" s="195">
        <f t="shared" si="4"/>
        <v>0</v>
      </c>
      <c r="N52" s="233"/>
      <c r="O52" s="195"/>
      <c r="P52" s="197" t="s">
        <v>63</v>
      </c>
      <c r="Q52" s="341"/>
      <c r="R52" s="195"/>
      <c r="S52" s="197" t="s">
        <v>63</v>
      </c>
      <c r="T52" s="198">
        <f t="shared" si="3"/>
        <v>0</v>
      </c>
      <c r="U52" s="199"/>
      <c r="V52" s="200"/>
      <c r="W52" s="195"/>
      <c r="X52" s="195"/>
      <c r="Y52" s="438"/>
      <c r="Z52" s="201"/>
      <c r="AA52" s="135"/>
      <c r="AB52" s="362"/>
      <c r="AC52" s="142"/>
      <c r="AD52" s="179"/>
      <c r="AE52" s="179"/>
      <c r="AF52" s="179"/>
    </row>
    <row r="53" spans="1:32" s="55" customFormat="1" ht="54.95" customHeight="1" x14ac:dyDescent="0.15">
      <c r="A53" s="386" t="s">
        <v>398</v>
      </c>
      <c r="B53" s="87">
        <f>C11</f>
        <v>275</v>
      </c>
      <c r="C53" s="389" t="e">
        <f>#REF!</f>
        <v>#REF!</v>
      </c>
      <c r="D53" s="390"/>
      <c r="E53" s="391"/>
      <c r="F53" s="368"/>
      <c r="G53" s="369"/>
      <c r="H53" s="370"/>
      <c r="I53" s="152"/>
      <c r="J53" s="75"/>
      <c r="K53" s="139">
        <v>1</v>
      </c>
      <c r="L53" s="77" t="s">
        <v>63</v>
      </c>
      <c r="M53" s="88">
        <f t="shared" si="4"/>
        <v>275</v>
      </c>
      <c r="N53" s="89"/>
      <c r="O53" s="153"/>
      <c r="P53" s="88" t="s">
        <v>63</v>
      </c>
      <c r="Q53" s="443">
        <v>46207</v>
      </c>
      <c r="R53" s="153">
        <v>275</v>
      </c>
      <c r="S53" s="88" t="s">
        <v>63</v>
      </c>
      <c r="T53" s="154">
        <f t="shared" si="3"/>
        <v>0</v>
      </c>
      <c r="U53" s="129"/>
      <c r="V53" s="155"/>
      <c r="W53" s="154"/>
      <c r="X53" s="154"/>
      <c r="Y53" s="401" t="s">
        <v>72</v>
      </c>
      <c r="Z53" s="401"/>
      <c r="AA53" s="401"/>
      <c r="AB53" s="579" t="s">
        <v>478</v>
      </c>
    </row>
    <row r="54" spans="1:32" s="55" customFormat="1" ht="54.95" customHeight="1" x14ac:dyDescent="0.15">
      <c r="A54" s="387"/>
      <c r="B54" s="87">
        <f>D11</f>
        <v>240</v>
      </c>
      <c r="C54" s="392"/>
      <c r="D54" s="393"/>
      <c r="E54" s="394"/>
      <c r="F54" s="368"/>
      <c r="G54" s="369"/>
      <c r="H54" s="370"/>
      <c r="I54" s="152"/>
      <c r="J54" s="75"/>
      <c r="K54" s="156">
        <v>1</v>
      </c>
      <c r="L54" s="77" t="s">
        <v>63</v>
      </c>
      <c r="M54" s="88">
        <f t="shared" si="4"/>
        <v>240</v>
      </c>
      <c r="N54" s="89"/>
      <c r="O54" s="153"/>
      <c r="P54" s="88" t="s">
        <v>63</v>
      </c>
      <c r="Q54" s="447"/>
      <c r="R54" s="153">
        <v>240</v>
      </c>
      <c r="S54" s="88" t="s">
        <v>63</v>
      </c>
      <c r="T54" s="154">
        <f t="shared" si="3"/>
        <v>0</v>
      </c>
      <c r="U54" s="129"/>
      <c r="V54" s="155"/>
      <c r="W54" s="154"/>
      <c r="X54" s="154"/>
      <c r="Y54" s="402"/>
      <c r="Z54" s="402"/>
      <c r="AA54" s="402"/>
      <c r="AB54" s="580"/>
    </row>
    <row r="55" spans="1:32" s="55" customFormat="1" ht="54.95" customHeight="1" x14ac:dyDescent="0.15">
      <c r="A55" s="387"/>
      <c r="B55" s="87">
        <f>E11</f>
        <v>60</v>
      </c>
      <c r="C55" s="392"/>
      <c r="D55" s="393"/>
      <c r="E55" s="394"/>
      <c r="F55" s="368"/>
      <c r="G55" s="369"/>
      <c r="H55" s="370"/>
      <c r="I55" s="152"/>
      <c r="J55" s="75"/>
      <c r="K55" s="156">
        <v>1</v>
      </c>
      <c r="L55" s="77" t="s">
        <v>63</v>
      </c>
      <c r="M55" s="88">
        <f t="shared" si="4"/>
        <v>60</v>
      </c>
      <c r="N55" s="89"/>
      <c r="O55" s="153"/>
      <c r="P55" s="88" t="s">
        <v>63</v>
      </c>
      <c r="Q55" s="447"/>
      <c r="R55" s="153">
        <v>60</v>
      </c>
      <c r="S55" s="88" t="s">
        <v>63</v>
      </c>
      <c r="T55" s="154">
        <f t="shared" si="3"/>
        <v>0</v>
      </c>
      <c r="U55" s="129"/>
      <c r="V55" s="155"/>
      <c r="W55" s="154"/>
      <c r="X55" s="154"/>
      <c r="Y55" s="402"/>
      <c r="Z55" s="402"/>
      <c r="AA55" s="402"/>
      <c r="AB55" s="580"/>
    </row>
    <row r="56" spans="1:32" s="55" customFormat="1" ht="54.95" customHeight="1" x14ac:dyDescent="0.15">
      <c r="A56" s="387"/>
      <c r="B56" s="87">
        <f>F11</f>
        <v>0</v>
      </c>
      <c r="C56" s="392"/>
      <c r="D56" s="393"/>
      <c r="E56" s="394"/>
      <c r="F56" s="368"/>
      <c r="G56" s="369"/>
      <c r="H56" s="370"/>
      <c r="I56" s="152"/>
      <c r="J56" s="75"/>
      <c r="K56" s="156">
        <v>1</v>
      </c>
      <c r="L56" s="77" t="s">
        <v>63</v>
      </c>
      <c r="M56" s="88">
        <f t="shared" si="4"/>
        <v>0</v>
      </c>
      <c r="N56" s="89"/>
      <c r="O56" s="153"/>
      <c r="P56" s="88" t="s">
        <v>63</v>
      </c>
      <c r="Q56" s="447"/>
      <c r="R56" s="153"/>
      <c r="S56" s="88" t="s">
        <v>63</v>
      </c>
      <c r="T56" s="154">
        <f t="shared" si="3"/>
        <v>0</v>
      </c>
      <c r="U56" s="129"/>
      <c r="V56" s="155"/>
      <c r="W56" s="154"/>
      <c r="X56" s="154"/>
      <c r="Y56" s="402"/>
      <c r="Z56" s="402"/>
      <c r="AA56" s="402"/>
      <c r="AB56" s="580"/>
    </row>
    <row r="57" spans="1:32" s="55" customFormat="1" ht="54.95" customHeight="1" x14ac:dyDescent="0.15">
      <c r="A57" s="388"/>
      <c r="B57" s="87">
        <f>G11</f>
        <v>0</v>
      </c>
      <c r="C57" s="395"/>
      <c r="D57" s="396"/>
      <c r="E57" s="397"/>
      <c r="F57" s="368"/>
      <c r="G57" s="369"/>
      <c r="H57" s="370"/>
      <c r="I57" s="152"/>
      <c r="J57" s="75"/>
      <c r="K57" s="156">
        <v>1</v>
      </c>
      <c r="L57" s="77" t="s">
        <v>63</v>
      </c>
      <c r="M57" s="88">
        <f t="shared" si="4"/>
        <v>0</v>
      </c>
      <c r="N57" s="89"/>
      <c r="O57" s="153"/>
      <c r="P57" s="88" t="s">
        <v>63</v>
      </c>
      <c r="Q57" s="444"/>
      <c r="R57" s="153"/>
      <c r="S57" s="88" t="s">
        <v>63</v>
      </c>
      <c r="T57" s="154">
        <f t="shared" si="3"/>
        <v>0</v>
      </c>
      <c r="U57" s="129"/>
      <c r="V57" s="155"/>
      <c r="W57" s="154"/>
      <c r="X57" s="154"/>
      <c r="Y57" s="403"/>
      <c r="Z57" s="403"/>
      <c r="AA57" s="403"/>
      <c r="AB57" s="581"/>
    </row>
    <row r="58" spans="1:32" s="55" customFormat="1" ht="54.95" customHeight="1" x14ac:dyDescent="0.15">
      <c r="A58" s="386" t="s">
        <v>399</v>
      </c>
      <c r="B58" s="87">
        <f>C5</f>
        <v>275</v>
      </c>
      <c r="C58" s="461" t="str">
        <f>A5</f>
        <v>BL</v>
      </c>
      <c r="D58" s="461"/>
      <c r="E58" s="461"/>
      <c r="F58" s="368"/>
      <c r="G58" s="369"/>
      <c r="H58" s="370"/>
      <c r="I58" s="152"/>
      <c r="J58" s="152"/>
      <c r="K58" s="156">
        <v>1</v>
      </c>
      <c r="L58" s="77" t="s">
        <v>63</v>
      </c>
      <c r="M58" s="88">
        <f t="shared" si="4"/>
        <v>275</v>
      </c>
      <c r="N58" s="89"/>
      <c r="O58" s="153"/>
      <c r="P58" s="88" t="s">
        <v>63</v>
      </c>
      <c r="Q58" s="443">
        <v>46207</v>
      </c>
      <c r="R58" s="153">
        <v>275</v>
      </c>
      <c r="S58" s="88" t="s">
        <v>63</v>
      </c>
      <c r="T58" s="154">
        <f t="shared" si="3"/>
        <v>0</v>
      </c>
      <c r="U58" s="157"/>
      <c r="V58" s="158"/>
      <c r="W58" s="154"/>
      <c r="X58" s="154"/>
      <c r="Y58" s="582" t="s">
        <v>72</v>
      </c>
      <c r="Z58" s="582"/>
      <c r="AA58" s="582"/>
      <c r="AB58" s="579" t="s">
        <v>478</v>
      </c>
    </row>
    <row r="59" spans="1:32" s="55" customFormat="1" ht="54.95" customHeight="1" x14ac:dyDescent="0.15">
      <c r="A59" s="387"/>
      <c r="B59" s="87">
        <f>D5</f>
        <v>240</v>
      </c>
      <c r="C59" s="461"/>
      <c r="D59" s="461"/>
      <c r="E59" s="461"/>
      <c r="F59" s="368"/>
      <c r="G59" s="369"/>
      <c r="H59" s="370"/>
      <c r="I59" s="152"/>
      <c r="J59" s="152"/>
      <c r="K59" s="156">
        <v>1</v>
      </c>
      <c r="L59" s="77" t="s">
        <v>63</v>
      </c>
      <c r="M59" s="88">
        <f t="shared" si="4"/>
        <v>240</v>
      </c>
      <c r="N59" s="89"/>
      <c r="O59" s="153"/>
      <c r="P59" s="88" t="s">
        <v>63</v>
      </c>
      <c r="Q59" s="447"/>
      <c r="R59" s="153">
        <v>240</v>
      </c>
      <c r="S59" s="88" t="s">
        <v>63</v>
      </c>
      <c r="T59" s="154">
        <f t="shared" si="3"/>
        <v>0</v>
      </c>
      <c r="U59" s="157"/>
      <c r="V59" s="158"/>
      <c r="W59" s="154"/>
      <c r="X59" s="154"/>
      <c r="Y59" s="582"/>
      <c r="Z59" s="582"/>
      <c r="AA59" s="582"/>
      <c r="AB59" s="580"/>
    </row>
    <row r="60" spans="1:32" s="55" customFormat="1" ht="54.95" customHeight="1" x14ac:dyDescent="0.15">
      <c r="A60" s="387"/>
      <c r="B60" s="87">
        <f>E5</f>
        <v>60</v>
      </c>
      <c r="C60" s="461"/>
      <c r="D60" s="461"/>
      <c r="E60" s="461"/>
      <c r="F60" s="368"/>
      <c r="G60" s="369"/>
      <c r="H60" s="370"/>
      <c r="I60" s="152"/>
      <c r="J60" s="152"/>
      <c r="K60" s="156">
        <v>1</v>
      </c>
      <c r="L60" s="77" t="s">
        <v>63</v>
      </c>
      <c r="M60" s="88">
        <f t="shared" si="4"/>
        <v>60</v>
      </c>
      <c r="N60" s="89"/>
      <c r="O60" s="153"/>
      <c r="P60" s="88" t="s">
        <v>63</v>
      </c>
      <c r="Q60" s="447"/>
      <c r="R60" s="153">
        <v>60</v>
      </c>
      <c r="S60" s="88" t="s">
        <v>63</v>
      </c>
      <c r="T60" s="154">
        <f t="shared" si="3"/>
        <v>0</v>
      </c>
      <c r="U60" s="157"/>
      <c r="V60" s="158"/>
      <c r="W60" s="154"/>
      <c r="X60" s="154"/>
      <c r="Y60" s="582"/>
      <c r="Z60" s="582"/>
      <c r="AA60" s="582"/>
      <c r="AB60" s="580"/>
    </row>
    <row r="61" spans="1:32" s="55" customFormat="1" ht="54.95" customHeight="1" x14ac:dyDescent="0.15">
      <c r="A61" s="387"/>
      <c r="B61" s="87">
        <f>C6</f>
        <v>0</v>
      </c>
      <c r="C61" s="461">
        <f>A6</f>
        <v>0</v>
      </c>
      <c r="D61" s="461"/>
      <c r="E61" s="461"/>
      <c r="F61" s="368"/>
      <c r="G61" s="369"/>
      <c r="H61" s="370"/>
      <c r="I61" s="152"/>
      <c r="J61" s="152"/>
      <c r="K61" s="156">
        <v>1</v>
      </c>
      <c r="L61" s="77" t="s">
        <v>63</v>
      </c>
      <c r="M61" s="88">
        <f t="shared" si="4"/>
        <v>0</v>
      </c>
      <c r="N61" s="89"/>
      <c r="O61" s="153"/>
      <c r="P61" s="88" t="s">
        <v>63</v>
      </c>
      <c r="Q61" s="447"/>
      <c r="R61" s="77"/>
      <c r="S61" s="88" t="s">
        <v>63</v>
      </c>
      <c r="T61" s="154">
        <f t="shared" si="3"/>
        <v>0</v>
      </c>
      <c r="U61" s="157"/>
      <c r="V61" s="158"/>
      <c r="W61" s="154"/>
      <c r="X61" s="154"/>
      <c r="Y61" s="582" t="s">
        <v>72</v>
      </c>
      <c r="Z61" s="582"/>
      <c r="AA61" s="582"/>
      <c r="AB61" s="580"/>
    </row>
    <row r="62" spans="1:32" s="55" customFormat="1" ht="54.95" customHeight="1" x14ac:dyDescent="0.15">
      <c r="A62" s="387"/>
      <c r="B62" s="87">
        <f>D6</f>
        <v>0</v>
      </c>
      <c r="C62" s="461"/>
      <c r="D62" s="461"/>
      <c r="E62" s="461"/>
      <c r="F62" s="368"/>
      <c r="G62" s="369"/>
      <c r="H62" s="370"/>
      <c r="I62" s="152"/>
      <c r="J62" s="152"/>
      <c r="K62" s="156">
        <v>1</v>
      </c>
      <c r="L62" s="77" t="s">
        <v>63</v>
      </c>
      <c r="M62" s="88">
        <f t="shared" si="4"/>
        <v>0</v>
      </c>
      <c r="N62" s="89"/>
      <c r="O62" s="153"/>
      <c r="P62" s="88" t="s">
        <v>63</v>
      </c>
      <c r="Q62" s="447"/>
      <c r="R62" s="77"/>
      <c r="S62" s="88" t="s">
        <v>63</v>
      </c>
      <c r="T62" s="154">
        <f t="shared" si="3"/>
        <v>0</v>
      </c>
      <c r="U62" s="157"/>
      <c r="V62" s="158"/>
      <c r="W62" s="154"/>
      <c r="X62" s="154"/>
      <c r="Y62" s="582"/>
      <c r="Z62" s="582"/>
      <c r="AA62" s="582"/>
      <c r="AB62" s="580"/>
    </row>
    <row r="63" spans="1:32" s="55" customFormat="1" ht="54.95" customHeight="1" x14ac:dyDescent="0.15">
      <c r="A63" s="387"/>
      <c r="B63" s="87">
        <f>E6</f>
        <v>0</v>
      </c>
      <c r="C63" s="461"/>
      <c r="D63" s="461"/>
      <c r="E63" s="461"/>
      <c r="F63" s="368"/>
      <c r="G63" s="369"/>
      <c r="H63" s="370"/>
      <c r="I63" s="152"/>
      <c r="J63" s="152"/>
      <c r="K63" s="156">
        <v>1</v>
      </c>
      <c r="L63" s="77" t="s">
        <v>63</v>
      </c>
      <c r="M63" s="88">
        <f t="shared" si="4"/>
        <v>0</v>
      </c>
      <c r="N63" s="89"/>
      <c r="O63" s="153"/>
      <c r="P63" s="88" t="s">
        <v>63</v>
      </c>
      <c r="Q63" s="447"/>
      <c r="R63" s="153"/>
      <c r="S63" s="88" t="s">
        <v>63</v>
      </c>
      <c r="T63" s="154">
        <f>R63-M63</f>
        <v>0</v>
      </c>
      <c r="U63" s="157"/>
      <c r="V63" s="158"/>
      <c r="W63" s="154"/>
      <c r="X63" s="154"/>
      <c r="Y63" s="582"/>
      <c r="Z63" s="582"/>
      <c r="AA63" s="582"/>
      <c r="AB63" s="580"/>
    </row>
    <row r="64" spans="1:32" s="55" customFormat="1" ht="54.95" customHeight="1" x14ac:dyDescent="0.15">
      <c r="A64" s="387"/>
      <c r="B64" s="87">
        <f>C7</f>
        <v>0</v>
      </c>
      <c r="C64" s="392">
        <f>A7</f>
        <v>0</v>
      </c>
      <c r="D64" s="393"/>
      <c r="E64" s="394"/>
      <c r="F64" s="368"/>
      <c r="G64" s="369"/>
      <c r="H64" s="370"/>
      <c r="I64" s="152"/>
      <c r="J64" s="152"/>
      <c r="K64" s="156">
        <v>1</v>
      </c>
      <c r="L64" s="77" t="s">
        <v>63</v>
      </c>
      <c r="M64" s="88">
        <f t="shared" si="4"/>
        <v>0</v>
      </c>
      <c r="N64" s="89"/>
      <c r="O64" s="153"/>
      <c r="P64" s="88" t="s">
        <v>63</v>
      </c>
      <c r="Q64" s="447"/>
      <c r="R64" s="153"/>
      <c r="S64" s="88" t="s">
        <v>63</v>
      </c>
      <c r="T64" s="154">
        <f>R64-M64</f>
        <v>0</v>
      </c>
      <c r="U64" s="157"/>
      <c r="V64" s="158"/>
      <c r="W64" s="154"/>
      <c r="X64" s="154"/>
      <c r="Y64" s="582" t="s">
        <v>72</v>
      </c>
      <c r="Z64" s="582"/>
      <c r="AA64" s="582"/>
      <c r="AB64" s="580"/>
    </row>
    <row r="65" spans="1:28" s="55" customFormat="1" ht="54.95" customHeight="1" x14ac:dyDescent="0.15">
      <c r="A65" s="387"/>
      <c r="B65" s="87">
        <f>D7</f>
        <v>0</v>
      </c>
      <c r="C65" s="392"/>
      <c r="D65" s="393"/>
      <c r="E65" s="394"/>
      <c r="F65" s="368"/>
      <c r="G65" s="369"/>
      <c r="H65" s="370"/>
      <c r="I65" s="152"/>
      <c r="J65" s="152"/>
      <c r="K65" s="156">
        <v>1</v>
      </c>
      <c r="L65" s="77" t="s">
        <v>63</v>
      </c>
      <c r="M65" s="88">
        <f t="shared" si="4"/>
        <v>0</v>
      </c>
      <c r="N65" s="89"/>
      <c r="O65" s="153"/>
      <c r="P65" s="88" t="s">
        <v>63</v>
      </c>
      <c r="Q65" s="447"/>
      <c r="R65" s="153"/>
      <c r="S65" s="88" t="s">
        <v>63</v>
      </c>
      <c r="T65" s="154">
        <f>R65-M65</f>
        <v>0</v>
      </c>
      <c r="U65" s="157"/>
      <c r="V65" s="158"/>
      <c r="W65" s="154"/>
      <c r="X65" s="154"/>
      <c r="Y65" s="582"/>
      <c r="Z65" s="582"/>
      <c r="AA65" s="582"/>
      <c r="AB65" s="580"/>
    </row>
    <row r="66" spans="1:28" s="55" customFormat="1" ht="54.95" customHeight="1" x14ac:dyDescent="0.15">
      <c r="A66" s="387"/>
      <c r="B66" s="87">
        <f>E7</f>
        <v>0</v>
      </c>
      <c r="C66" s="392"/>
      <c r="D66" s="393"/>
      <c r="E66" s="394"/>
      <c r="F66" s="368"/>
      <c r="G66" s="369"/>
      <c r="H66" s="370"/>
      <c r="I66" s="152"/>
      <c r="J66" s="152"/>
      <c r="K66" s="156">
        <v>1</v>
      </c>
      <c r="L66" s="77" t="s">
        <v>63</v>
      </c>
      <c r="M66" s="88">
        <f t="shared" si="4"/>
        <v>0</v>
      </c>
      <c r="N66" s="89"/>
      <c r="O66" s="153"/>
      <c r="P66" s="88" t="s">
        <v>63</v>
      </c>
      <c r="Q66" s="444"/>
      <c r="R66" s="77"/>
      <c r="S66" s="88" t="s">
        <v>63</v>
      </c>
      <c r="T66" s="154">
        <f>R66-M66</f>
        <v>0</v>
      </c>
      <c r="U66" s="157"/>
      <c r="V66" s="158"/>
      <c r="W66" s="154"/>
      <c r="X66" s="154"/>
      <c r="Y66" s="582"/>
      <c r="Z66" s="582"/>
      <c r="AA66" s="582"/>
      <c r="AB66" s="581"/>
    </row>
    <row r="67" spans="1:28" s="55" customFormat="1" ht="54.95" customHeight="1" x14ac:dyDescent="0.15">
      <c r="A67" s="386" t="s">
        <v>69</v>
      </c>
      <c r="B67" s="87">
        <f>C5</f>
        <v>275</v>
      </c>
      <c r="C67" s="461" t="str">
        <f>A5</f>
        <v>BL</v>
      </c>
      <c r="D67" s="461"/>
      <c r="E67" s="461"/>
      <c r="F67" s="368"/>
      <c r="G67" s="369"/>
      <c r="H67" s="370"/>
      <c r="I67" s="152"/>
      <c r="J67" s="152"/>
      <c r="K67" s="156">
        <v>1</v>
      </c>
      <c r="L67" s="77" t="s">
        <v>63</v>
      </c>
      <c r="M67" s="88">
        <f t="shared" si="4"/>
        <v>275</v>
      </c>
      <c r="N67" s="89"/>
      <c r="O67" s="153"/>
      <c r="P67" s="88" t="s">
        <v>63</v>
      </c>
      <c r="Q67" s="443"/>
      <c r="R67" s="153"/>
      <c r="S67" s="88" t="s">
        <v>63</v>
      </c>
      <c r="T67" s="154">
        <f t="shared" si="3"/>
        <v>-275</v>
      </c>
      <c r="U67" s="583"/>
      <c r="V67" s="158"/>
      <c r="W67" s="154"/>
      <c r="X67" s="154"/>
      <c r="Y67" s="401" t="s">
        <v>67</v>
      </c>
      <c r="Z67" s="401"/>
      <c r="AA67" s="401"/>
      <c r="AB67" s="579"/>
    </row>
    <row r="68" spans="1:28" s="55" customFormat="1" ht="54.95" customHeight="1" x14ac:dyDescent="0.15">
      <c r="A68" s="387"/>
      <c r="B68" s="87">
        <f>D5</f>
        <v>240</v>
      </c>
      <c r="C68" s="461"/>
      <c r="D68" s="461"/>
      <c r="E68" s="461"/>
      <c r="F68" s="368"/>
      <c r="G68" s="369"/>
      <c r="H68" s="370"/>
      <c r="I68" s="152"/>
      <c r="J68" s="152"/>
      <c r="K68" s="156">
        <v>1</v>
      </c>
      <c r="L68" s="77" t="s">
        <v>63</v>
      </c>
      <c r="M68" s="88">
        <f t="shared" si="4"/>
        <v>240</v>
      </c>
      <c r="N68" s="89"/>
      <c r="O68" s="153"/>
      <c r="P68" s="88" t="s">
        <v>63</v>
      </c>
      <c r="Q68" s="447"/>
      <c r="R68" s="153"/>
      <c r="S68" s="88" t="s">
        <v>63</v>
      </c>
      <c r="T68" s="154">
        <f t="shared" si="3"/>
        <v>-240</v>
      </c>
      <c r="U68" s="584"/>
      <c r="V68" s="158"/>
      <c r="W68" s="154"/>
      <c r="X68" s="154"/>
      <c r="Y68" s="402"/>
      <c r="Z68" s="402"/>
      <c r="AA68" s="402"/>
      <c r="AB68" s="580"/>
    </row>
    <row r="69" spans="1:28" s="55" customFormat="1" ht="54.95" customHeight="1" x14ac:dyDescent="0.15">
      <c r="A69" s="387"/>
      <c r="B69" s="87">
        <f>E5</f>
        <v>60</v>
      </c>
      <c r="C69" s="461"/>
      <c r="D69" s="461"/>
      <c r="E69" s="461"/>
      <c r="F69" s="368"/>
      <c r="G69" s="369"/>
      <c r="H69" s="370"/>
      <c r="I69" s="152"/>
      <c r="J69" s="152"/>
      <c r="K69" s="156">
        <v>1</v>
      </c>
      <c r="L69" s="77" t="s">
        <v>63</v>
      </c>
      <c r="M69" s="88">
        <f t="shared" si="4"/>
        <v>60</v>
      </c>
      <c r="N69" s="89"/>
      <c r="O69" s="153"/>
      <c r="P69" s="88" t="s">
        <v>63</v>
      </c>
      <c r="Q69" s="447"/>
      <c r="R69" s="153"/>
      <c r="S69" s="88" t="s">
        <v>63</v>
      </c>
      <c r="T69" s="154">
        <f t="shared" si="3"/>
        <v>-60</v>
      </c>
      <c r="U69" s="584"/>
      <c r="V69" s="158"/>
      <c r="W69" s="154"/>
      <c r="X69" s="154"/>
      <c r="Y69" s="402"/>
      <c r="Z69" s="402"/>
      <c r="AA69" s="402"/>
      <c r="AB69" s="580"/>
    </row>
    <row r="70" spans="1:28" s="55" customFormat="1" ht="54.95" customHeight="1" x14ac:dyDescent="0.15">
      <c r="A70" s="387"/>
      <c r="B70" s="87">
        <f>C6</f>
        <v>0</v>
      </c>
      <c r="C70" s="461">
        <f>A6</f>
        <v>0</v>
      </c>
      <c r="D70" s="461"/>
      <c r="E70" s="461"/>
      <c r="F70" s="368"/>
      <c r="G70" s="369"/>
      <c r="H70" s="370"/>
      <c r="I70" s="152"/>
      <c r="J70" s="152"/>
      <c r="K70" s="156">
        <v>1</v>
      </c>
      <c r="L70" s="77" t="s">
        <v>63</v>
      </c>
      <c r="M70" s="88">
        <f t="shared" si="4"/>
        <v>0</v>
      </c>
      <c r="N70" s="89"/>
      <c r="O70" s="153"/>
      <c r="P70" s="88" t="s">
        <v>63</v>
      </c>
      <c r="Q70" s="447"/>
      <c r="R70" s="77"/>
      <c r="S70" s="88" t="s">
        <v>63</v>
      </c>
      <c r="T70" s="154">
        <f t="shared" si="3"/>
        <v>0</v>
      </c>
      <c r="U70" s="584"/>
      <c r="V70" s="158"/>
      <c r="W70" s="154"/>
      <c r="X70" s="154"/>
      <c r="Y70" s="402"/>
      <c r="Z70" s="401"/>
      <c r="AA70" s="401"/>
      <c r="AB70" s="580"/>
    </row>
    <row r="71" spans="1:28" s="55" customFormat="1" ht="54.95" customHeight="1" x14ac:dyDescent="0.15">
      <c r="A71" s="387"/>
      <c r="B71" s="87">
        <f>D6</f>
        <v>0</v>
      </c>
      <c r="C71" s="461"/>
      <c r="D71" s="461"/>
      <c r="E71" s="461"/>
      <c r="F71" s="368"/>
      <c r="G71" s="369"/>
      <c r="H71" s="370"/>
      <c r="I71" s="152"/>
      <c r="J71" s="152"/>
      <c r="K71" s="156">
        <v>1</v>
      </c>
      <c r="L71" s="77" t="s">
        <v>63</v>
      </c>
      <c r="M71" s="88">
        <f t="shared" si="4"/>
        <v>0</v>
      </c>
      <c r="N71" s="89"/>
      <c r="O71" s="153"/>
      <c r="P71" s="88" t="s">
        <v>63</v>
      </c>
      <c r="Q71" s="447"/>
      <c r="R71" s="77"/>
      <c r="S71" s="88" t="s">
        <v>63</v>
      </c>
      <c r="T71" s="154">
        <f t="shared" si="3"/>
        <v>0</v>
      </c>
      <c r="U71" s="585"/>
      <c r="V71" s="158"/>
      <c r="W71" s="154"/>
      <c r="X71" s="154"/>
      <c r="Y71" s="402"/>
      <c r="Z71" s="402"/>
      <c r="AA71" s="402"/>
      <c r="AB71" s="580"/>
    </row>
    <row r="72" spans="1:28" s="55" customFormat="1" ht="54.95" customHeight="1" x14ac:dyDescent="0.15">
      <c r="A72" s="387"/>
      <c r="B72" s="87">
        <f>E6</f>
        <v>0</v>
      </c>
      <c r="C72" s="461"/>
      <c r="D72" s="461"/>
      <c r="E72" s="461"/>
      <c r="F72" s="368"/>
      <c r="G72" s="369"/>
      <c r="H72" s="370"/>
      <c r="I72" s="152"/>
      <c r="J72" s="152"/>
      <c r="K72" s="156">
        <v>1</v>
      </c>
      <c r="L72" s="77" t="s">
        <v>63</v>
      </c>
      <c r="M72" s="88">
        <f t="shared" si="4"/>
        <v>0</v>
      </c>
      <c r="N72" s="89"/>
      <c r="O72" s="153"/>
      <c r="P72" s="88" t="s">
        <v>63</v>
      </c>
      <c r="Q72" s="447"/>
      <c r="R72" s="153"/>
      <c r="S72" s="88" t="s">
        <v>63</v>
      </c>
      <c r="T72" s="154">
        <f t="shared" si="3"/>
        <v>0</v>
      </c>
      <c r="U72" s="157"/>
      <c r="V72" s="158"/>
      <c r="W72" s="154"/>
      <c r="X72" s="154"/>
      <c r="Y72" s="402"/>
      <c r="Z72" s="402"/>
      <c r="AA72" s="402"/>
      <c r="AB72" s="580"/>
    </row>
    <row r="73" spans="1:28" s="55" customFormat="1" ht="54.95" customHeight="1" x14ac:dyDescent="0.15">
      <c r="A73" s="387"/>
      <c r="B73" s="87">
        <f>C7</f>
        <v>0</v>
      </c>
      <c r="C73" s="461">
        <f>A7</f>
        <v>0</v>
      </c>
      <c r="D73" s="461"/>
      <c r="E73" s="461"/>
      <c r="F73" s="368"/>
      <c r="G73" s="369"/>
      <c r="H73" s="370"/>
      <c r="I73" s="152"/>
      <c r="J73" s="152"/>
      <c r="K73" s="156">
        <v>1</v>
      </c>
      <c r="L73" s="77" t="s">
        <v>63</v>
      </c>
      <c r="M73" s="88">
        <f t="shared" si="4"/>
        <v>0</v>
      </c>
      <c r="N73" s="89"/>
      <c r="O73" s="153"/>
      <c r="P73" s="88" t="s">
        <v>63</v>
      </c>
      <c r="Q73" s="447"/>
      <c r="R73" s="153"/>
      <c r="S73" s="88" t="s">
        <v>63</v>
      </c>
      <c r="T73" s="154">
        <f t="shared" si="3"/>
        <v>0</v>
      </c>
      <c r="U73" s="157"/>
      <c r="V73" s="158"/>
      <c r="W73" s="154"/>
      <c r="X73" s="154"/>
      <c r="Y73" s="402"/>
      <c r="Z73" s="401"/>
      <c r="AA73" s="401"/>
      <c r="AB73" s="580"/>
    </row>
    <row r="74" spans="1:28" s="55" customFormat="1" ht="54.95" customHeight="1" x14ac:dyDescent="0.15">
      <c r="A74" s="387"/>
      <c r="B74" s="87">
        <f>D7</f>
        <v>0</v>
      </c>
      <c r="C74" s="461"/>
      <c r="D74" s="461"/>
      <c r="E74" s="461"/>
      <c r="F74" s="368"/>
      <c r="G74" s="369"/>
      <c r="H74" s="370"/>
      <c r="I74" s="152"/>
      <c r="J74" s="152"/>
      <c r="K74" s="156">
        <v>1</v>
      </c>
      <c r="L74" s="77" t="s">
        <v>63</v>
      </c>
      <c r="M74" s="88">
        <f t="shared" si="4"/>
        <v>0</v>
      </c>
      <c r="N74" s="89"/>
      <c r="O74" s="153"/>
      <c r="P74" s="88" t="s">
        <v>63</v>
      </c>
      <c r="Q74" s="447"/>
      <c r="R74" s="153"/>
      <c r="S74" s="88" t="s">
        <v>63</v>
      </c>
      <c r="T74" s="154">
        <f t="shared" si="3"/>
        <v>0</v>
      </c>
      <c r="U74" s="157"/>
      <c r="V74" s="158"/>
      <c r="W74" s="154"/>
      <c r="X74" s="154"/>
      <c r="Y74" s="402"/>
      <c r="Z74" s="402"/>
      <c r="AA74" s="402"/>
      <c r="AB74" s="580"/>
    </row>
    <row r="75" spans="1:28" s="55" customFormat="1" ht="54.95" customHeight="1" x14ac:dyDescent="0.15">
      <c r="A75" s="387"/>
      <c r="B75" s="87">
        <f>E7</f>
        <v>0</v>
      </c>
      <c r="C75" s="461"/>
      <c r="D75" s="461"/>
      <c r="E75" s="461"/>
      <c r="F75" s="368"/>
      <c r="G75" s="369"/>
      <c r="H75" s="370"/>
      <c r="I75" s="152"/>
      <c r="J75" s="152"/>
      <c r="K75" s="156">
        <v>1</v>
      </c>
      <c r="L75" s="77" t="s">
        <v>63</v>
      </c>
      <c r="M75" s="88">
        <f t="shared" si="4"/>
        <v>0</v>
      </c>
      <c r="N75" s="89"/>
      <c r="O75" s="153"/>
      <c r="P75" s="88" t="s">
        <v>63</v>
      </c>
      <c r="Q75" s="444"/>
      <c r="R75" s="77"/>
      <c r="S75" s="88" t="s">
        <v>63</v>
      </c>
      <c r="T75" s="154">
        <f t="shared" si="3"/>
        <v>0</v>
      </c>
      <c r="U75" s="157"/>
      <c r="V75" s="158"/>
      <c r="W75" s="154"/>
      <c r="X75" s="154"/>
      <c r="Y75" s="403"/>
      <c r="Z75" s="402"/>
      <c r="AA75" s="403"/>
      <c r="AB75" s="581"/>
    </row>
    <row r="76" spans="1:28" s="55" customFormat="1" ht="54.95" customHeight="1" x14ac:dyDescent="0.15">
      <c r="A76" s="386" t="s">
        <v>70</v>
      </c>
      <c r="B76" s="87">
        <f>C11</f>
        <v>275</v>
      </c>
      <c r="C76" s="389" t="s">
        <v>71</v>
      </c>
      <c r="D76" s="390"/>
      <c r="E76" s="391"/>
      <c r="F76" s="368"/>
      <c r="G76" s="369"/>
      <c r="H76" s="370"/>
      <c r="I76" s="152"/>
      <c r="J76" s="90"/>
      <c r="K76" s="156">
        <v>1</v>
      </c>
      <c r="L76" s="77" t="s">
        <v>63</v>
      </c>
      <c r="M76" s="88">
        <f t="shared" si="4"/>
        <v>275</v>
      </c>
      <c r="N76" s="89"/>
      <c r="O76" s="153"/>
      <c r="P76" s="88" t="s">
        <v>63</v>
      </c>
      <c r="Q76" s="443">
        <v>46207</v>
      </c>
      <c r="R76" s="93"/>
      <c r="S76" s="88" t="s">
        <v>63</v>
      </c>
      <c r="T76" s="154">
        <f t="shared" si="3"/>
        <v>-275</v>
      </c>
      <c r="U76" s="91"/>
      <c r="V76" s="159"/>
      <c r="W76" s="159"/>
      <c r="X76" s="159"/>
      <c r="Y76" s="401" t="s">
        <v>94</v>
      </c>
      <c r="Z76" s="416"/>
      <c r="AA76" s="416"/>
      <c r="AB76" s="419" t="s">
        <v>478</v>
      </c>
    </row>
    <row r="77" spans="1:28" s="55" customFormat="1" ht="54.95" customHeight="1" x14ac:dyDescent="0.15">
      <c r="A77" s="387"/>
      <c r="B77" s="87">
        <f>D11</f>
        <v>240</v>
      </c>
      <c r="C77" s="392"/>
      <c r="D77" s="393"/>
      <c r="E77" s="394"/>
      <c r="F77" s="368"/>
      <c r="G77" s="369"/>
      <c r="H77" s="370"/>
      <c r="I77" s="152"/>
      <c r="J77" s="90"/>
      <c r="K77" s="156">
        <v>1</v>
      </c>
      <c r="L77" s="77" t="s">
        <v>63</v>
      </c>
      <c r="M77" s="88">
        <f t="shared" si="4"/>
        <v>240</v>
      </c>
      <c r="N77" s="89"/>
      <c r="O77" s="153"/>
      <c r="P77" s="88" t="s">
        <v>63</v>
      </c>
      <c r="Q77" s="447"/>
      <c r="R77" s="93"/>
      <c r="S77" s="88" t="s">
        <v>63</v>
      </c>
      <c r="T77" s="154">
        <f t="shared" si="3"/>
        <v>-240</v>
      </c>
      <c r="U77" s="91"/>
      <c r="V77" s="159"/>
      <c r="W77" s="159"/>
      <c r="X77" s="159"/>
      <c r="Y77" s="402"/>
      <c r="Z77" s="417"/>
      <c r="AA77" s="417"/>
      <c r="AB77" s="420"/>
    </row>
    <row r="78" spans="1:28" s="55" customFormat="1" ht="54.95" customHeight="1" x14ac:dyDescent="0.15">
      <c r="A78" s="387"/>
      <c r="B78" s="87">
        <f>E11</f>
        <v>60</v>
      </c>
      <c r="C78" s="392"/>
      <c r="D78" s="393"/>
      <c r="E78" s="394"/>
      <c r="F78" s="368"/>
      <c r="G78" s="369"/>
      <c r="H78" s="370"/>
      <c r="I78" s="152"/>
      <c r="J78" s="90"/>
      <c r="K78" s="156">
        <v>1</v>
      </c>
      <c r="L78" s="77" t="s">
        <v>63</v>
      </c>
      <c r="M78" s="88">
        <f t="shared" si="4"/>
        <v>60</v>
      </c>
      <c r="N78" s="89"/>
      <c r="O78" s="153"/>
      <c r="P78" s="88" t="s">
        <v>63</v>
      </c>
      <c r="Q78" s="447"/>
      <c r="R78" s="93"/>
      <c r="S78" s="88" t="s">
        <v>63</v>
      </c>
      <c r="T78" s="154">
        <f t="shared" si="3"/>
        <v>-60</v>
      </c>
      <c r="U78" s="91"/>
      <c r="V78" s="159"/>
      <c r="W78" s="159"/>
      <c r="X78" s="159"/>
      <c r="Y78" s="402"/>
      <c r="Z78" s="417"/>
      <c r="AA78" s="417"/>
      <c r="AB78" s="420"/>
    </row>
    <row r="79" spans="1:28" s="55" customFormat="1" ht="54.95" customHeight="1" x14ac:dyDescent="0.15">
      <c r="A79" s="388"/>
      <c r="B79" s="87">
        <f>F11</f>
        <v>0</v>
      </c>
      <c r="C79" s="395"/>
      <c r="D79" s="396"/>
      <c r="E79" s="397"/>
      <c r="F79" s="368"/>
      <c r="G79" s="369"/>
      <c r="H79" s="370"/>
      <c r="I79" s="152"/>
      <c r="J79" s="90"/>
      <c r="K79" s="156"/>
      <c r="L79" s="77" t="s">
        <v>63</v>
      </c>
      <c r="M79" s="88">
        <f t="shared" si="4"/>
        <v>0</v>
      </c>
      <c r="N79" s="89"/>
      <c r="O79" s="153"/>
      <c r="P79" s="88" t="s">
        <v>63</v>
      </c>
      <c r="Q79" s="444"/>
      <c r="R79" s="162"/>
      <c r="S79" s="88" t="s">
        <v>63</v>
      </c>
      <c r="T79" s="154">
        <f t="shared" si="3"/>
        <v>0</v>
      </c>
      <c r="U79" s="91"/>
      <c r="V79" s="159"/>
      <c r="W79" s="159"/>
      <c r="X79" s="159"/>
      <c r="Y79" s="403"/>
      <c r="Z79" s="418"/>
      <c r="AA79" s="418"/>
      <c r="AB79" s="421"/>
    </row>
    <row r="80" spans="1:28" s="176" customFormat="1" ht="54.95" customHeight="1" x14ac:dyDescent="0.15">
      <c r="A80" s="92" t="s">
        <v>73</v>
      </c>
      <c r="B80" s="164">
        <f>I11</f>
        <v>575</v>
      </c>
      <c r="C80" s="371" t="s">
        <v>71</v>
      </c>
      <c r="D80" s="372"/>
      <c r="E80" s="373"/>
      <c r="F80" s="371"/>
      <c r="G80" s="372"/>
      <c r="H80" s="373"/>
      <c r="I80" s="165"/>
      <c r="J80" s="166"/>
      <c r="K80" s="167">
        <v>1</v>
      </c>
      <c r="L80" s="168" t="s">
        <v>63</v>
      </c>
      <c r="M80" s="88">
        <f t="shared" si="4"/>
        <v>575</v>
      </c>
      <c r="N80" s="170"/>
      <c r="O80" s="170"/>
      <c r="P80" s="169" t="s">
        <v>63</v>
      </c>
      <c r="Q80" s="363">
        <v>46207</v>
      </c>
      <c r="R80" s="165">
        <v>575</v>
      </c>
      <c r="S80" s="169" t="s">
        <v>63</v>
      </c>
      <c r="T80" s="154">
        <f t="shared" si="3"/>
        <v>0</v>
      </c>
      <c r="U80" s="170"/>
      <c r="V80" s="172"/>
      <c r="W80" s="172"/>
      <c r="X80" s="172"/>
      <c r="Y80" s="173" t="s">
        <v>72</v>
      </c>
      <c r="Z80" s="174"/>
      <c r="AA80" s="175"/>
      <c r="AB80" s="586" t="s">
        <v>478</v>
      </c>
    </row>
    <row r="81" spans="1:29" s="55" customFormat="1" ht="54.95" customHeight="1" x14ac:dyDescent="0.15">
      <c r="A81" s="92" t="s">
        <v>480</v>
      </c>
      <c r="B81" s="87">
        <f>I11</f>
        <v>575</v>
      </c>
      <c r="C81" s="368" t="s">
        <v>71</v>
      </c>
      <c r="D81" s="369"/>
      <c r="E81" s="370"/>
      <c r="F81" s="368"/>
      <c r="G81" s="369"/>
      <c r="H81" s="370"/>
      <c r="I81" s="93"/>
      <c r="J81" s="90"/>
      <c r="K81" s="156">
        <v>1</v>
      </c>
      <c r="L81" s="77" t="s">
        <v>63</v>
      </c>
      <c r="M81" s="88">
        <f>K81*B81</f>
        <v>575</v>
      </c>
      <c r="N81" s="91"/>
      <c r="O81" s="91"/>
      <c r="P81" s="169" t="s">
        <v>63</v>
      </c>
      <c r="Q81" s="364"/>
      <c r="R81" s="165">
        <v>575</v>
      </c>
      <c r="S81" s="169" t="s">
        <v>63</v>
      </c>
      <c r="T81" s="154">
        <f t="shared" si="3"/>
        <v>0</v>
      </c>
      <c r="U81" s="91"/>
      <c r="V81" s="91"/>
      <c r="W81" s="91"/>
      <c r="X81" s="91"/>
      <c r="Y81" s="160" t="s">
        <v>72</v>
      </c>
      <c r="Z81" s="94"/>
      <c r="AA81" s="95"/>
      <c r="AB81" s="587"/>
    </row>
    <row r="82" spans="1:29" s="55" customFormat="1" ht="54.95" customHeight="1" x14ac:dyDescent="0.15">
      <c r="A82" s="96" t="s">
        <v>74</v>
      </c>
      <c r="B82" s="87">
        <f>I11</f>
        <v>575</v>
      </c>
      <c r="C82" s="368" t="s">
        <v>71</v>
      </c>
      <c r="D82" s="369"/>
      <c r="E82" s="370"/>
      <c r="F82" s="368"/>
      <c r="G82" s="369"/>
      <c r="H82" s="370"/>
      <c r="I82" s="93"/>
      <c r="J82" s="93"/>
      <c r="K82" s="156">
        <v>1</v>
      </c>
      <c r="L82" s="77" t="s">
        <v>63</v>
      </c>
      <c r="M82" s="88">
        <f t="shared" si="4"/>
        <v>575</v>
      </c>
      <c r="N82" s="91"/>
      <c r="O82" s="91"/>
      <c r="P82" s="89" t="s">
        <v>63</v>
      </c>
      <c r="Q82" s="365"/>
      <c r="R82" s="93">
        <v>575</v>
      </c>
      <c r="S82" s="89" t="s">
        <v>63</v>
      </c>
      <c r="T82" s="154">
        <f t="shared" si="3"/>
        <v>0</v>
      </c>
      <c r="U82" s="91"/>
      <c r="V82" s="91"/>
      <c r="W82" s="91"/>
      <c r="X82" s="91"/>
      <c r="Y82" s="160" t="s">
        <v>72</v>
      </c>
      <c r="Z82" s="97"/>
      <c r="AA82" s="98"/>
      <c r="AB82" s="588"/>
    </row>
    <row r="83" spans="1:29" x14ac:dyDescent="0.15">
      <c r="A83" s="177"/>
      <c r="B83" s="366"/>
      <c r="C83" s="366"/>
      <c r="D83" s="177"/>
      <c r="E83" s="177"/>
      <c r="F83" s="100"/>
      <c r="G83" s="100"/>
      <c r="H83" s="100"/>
      <c r="I83" s="177"/>
      <c r="J83" s="177"/>
      <c r="K83" s="101"/>
      <c r="L83" s="102"/>
      <c r="M83" s="103"/>
      <c r="N83" s="104"/>
      <c r="O83" s="104"/>
      <c r="P83" s="177"/>
      <c r="Q83" s="105"/>
      <c r="R83" s="105"/>
      <c r="S83" s="106"/>
      <c r="T83" s="107"/>
      <c r="U83" s="108"/>
      <c r="V83" s="108"/>
      <c r="W83" s="109"/>
      <c r="X83" s="107"/>
      <c r="Y83" s="110"/>
      <c r="Z83" s="111"/>
      <c r="AA83" s="111"/>
    </row>
    <row r="84" spans="1:29" x14ac:dyDescent="0.15">
      <c r="A84" s="177"/>
      <c r="B84" s="366"/>
      <c r="C84" s="366"/>
      <c r="D84" s="177"/>
      <c r="E84" s="177"/>
      <c r="F84" s="367"/>
      <c r="G84" s="367"/>
      <c r="H84" s="367"/>
      <c r="I84" s="177"/>
      <c r="J84" s="177"/>
      <c r="K84" s="101"/>
      <c r="L84" s="102"/>
      <c r="M84" s="103"/>
      <c r="N84" s="104"/>
      <c r="O84" s="104"/>
      <c r="P84" s="177"/>
      <c r="Q84" s="105"/>
      <c r="R84" s="105"/>
      <c r="S84" s="106"/>
      <c r="T84" s="107"/>
      <c r="U84" s="108"/>
      <c r="V84" s="108"/>
      <c r="W84" s="109"/>
      <c r="X84" s="107"/>
      <c r="Y84" s="112"/>
      <c r="Z84" s="111"/>
      <c r="AA84" s="111"/>
    </row>
    <row r="85" spans="1:29" x14ac:dyDescent="0.15">
      <c r="J85" s="177"/>
    </row>
    <row r="86" spans="1:29" x14ac:dyDescent="0.15">
      <c r="J86" s="177"/>
    </row>
    <row r="93" spans="1:29" s="114" customFormat="1" x14ac:dyDescent="0.15">
      <c r="A93" s="1"/>
      <c r="B93" s="113"/>
      <c r="C93" s="1"/>
      <c r="D93" s="1"/>
      <c r="E93" s="1"/>
      <c r="F93" s="1"/>
      <c r="G93" s="1"/>
      <c r="H93" s="1"/>
      <c r="I93" s="1"/>
      <c r="J93" s="1"/>
      <c r="L93" s="115"/>
      <c r="M93" s="116"/>
      <c r="N93" s="117"/>
      <c r="O93" s="117"/>
      <c r="P93" s="1"/>
      <c r="Q93" s="118"/>
      <c r="R93" s="118"/>
      <c r="S93" s="115"/>
      <c r="T93" s="119"/>
      <c r="U93" s="1"/>
      <c r="V93" s="1"/>
      <c r="W93" s="120"/>
      <c r="X93" s="121"/>
      <c r="Y93" s="1"/>
      <c r="Z93" s="1"/>
      <c r="AA93" s="1"/>
      <c r="AB93" s="1"/>
      <c r="AC93" s="1"/>
    </row>
    <row r="94" spans="1:29" s="114" customFormat="1" x14ac:dyDescent="0.15">
      <c r="A94" s="1"/>
      <c r="B94" s="113"/>
      <c r="C94" s="1"/>
      <c r="D94" s="1"/>
      <c r="E94" s="1"/>
      <c r="F94" s="1"/>
      <c r="G94" s="1"/>
      <c r="H94" s="1"/>
      <c r="I94" s="1"/>
      <c r="J94" s="1"/>
      <c r="L94" s="115"/>
      <c r="M94" s="116"/>
      <c r="N94" s="117"/>
      <c r="O94" s="117"/>
      <c r="P94" s="1"/>
      <c r="Q94" s="118"/>
      <c r="R94" s="118"/>
      <c r="S94" s="115"/>
      <c r="T94" s="119"/>
      <c r="U94" s="1"/>
      <c r="V94" s="1"/>
      <c r="W94" s="120"/>
      <c r="X94" s="121"/>
      <c r="Y94" s="1"/>
      <c r="Z94" s="1"/>
      <c r="AA94" s="1"/>
      <c r="AB94" s="1"/>
      <c r="AC94" s="1"/>
    </row>
  </sheetData>
  <mergeCells count="310">
    <mergeCell ref="Q19:Q20"/>
    <mergeCell ref="AB19:AB20"/>
    <mergeCell ref="AB47:AB48"/>
    <mergeCell ref="AB49:AB50"/>
    <mergeCell ref="AB51:AB52"/>
    <mergeCell ref="B83:C83"/>
    <mergeCell ref="B84:C84"/>
    <mergeCell ref="F84:H84"/>
    <mergeCell ref="AA76:AA79"/>
    <mergeCell ref="AA73:AA75"/>
    <mergeCell ref="Z67:Z69"/>
    <mergeCell ref="AA67:AA69"/>
    <mergeCell ref="AA58:AA60"/>
    <mergeCell ref="AA61:AA63"/>
    <mergeCell ref="F62:H62"/>
    <mergeCell ref="AB76:AB79"/>
    <mergeCell ref="F77:H77"/>
    <mergeCell ref="F78:H78"/>
    <mergeCell ref="F79:H79"/>
    <mergeCell ref="C80:E80"/>
    <mergeCell ref="F80:H80"/>
    <mergeCell ref="Q80:Q82"/>
    <mergeCell ref="AB80:AB82"/>
    <mergeCell ref="C81:E81"/>
    <mergeCell ref="F81:H81"/>
    <mergeCell ref="C82:E82"/>
    <mergeCell ref="F82:H82"/>
    <mergeCell ref="A76:A79"/>
    <mergeCell ref="C76:E79"/>
    <mergeCell ref="F76:H76"/>
    <mergeCell ref="Q76:Q79"/>
    <mergeCell ref="Y76:Y79"/>
    <mergeCell ref="Z76:Z79"/>
    <mergeCell ref="A67:A75"/>
    <mergeCell ref="AB67:AB75"/>
    <mergeCell ref="F68:H68"/>
    <mergeCell ref="F69:H69"/>
    <mergeCell ref="C70:E72"/>
    <mergeCell ref="F70:H70"/>
    <mergeCell ref="Z70:Z72"/>
    <mergeCell ref="AA70:AA72"/>
    <mergeCell ref="F71:H71"/>
    <mergeCell ref="C67:E69"/>
    <mergeCell ref="F67:H67"/>
    <mergeCell ref="Q67:Q75"/>
    <mergeCell ref="U67:U71"/>
    <mergeCell ref="Y67:Y75"/>
    <mergeCell ref="F72:H72"/>
    <mergeCell ref="C73:E75"/>
    <mergeCell ref="F73:H73"/>
    <mergeCell ref="Z73:Z75"/>
    <mergeCell ref="F74:H74"/>
    <mergeCell ref="F75:H75"/>
    <mergeCell ref="AB58:AB66"/>
    <mergeCell ref="F59:H59"/>
    <mergeCell ref="F60:H60"/>
    <mergeCell ref="C61:E63"/>
    <mergeCell ref="F61:H61"/>
    <mergeCell ref="Y61:Y63"/>
    <mergeCell ref="Z61:Z63"/>
    <mergeCell ref="A58:A66"/>
    <mergeCell ref="C58:E60"/>
    <mergeCell ref="F58:H58"/>
    <mergeCell ref="Q58:Q66"/>
    <mergeCell ref="Y58:Y60"/>
    <mergeCell ref="Z58:Z60"/>
    <mergeCell ref="F63:H63"/>
    <mergeCell ref="C64:E66"/>
    <mergeCell ref="F64:H64"/>
    <mergeCell ref="Y64:Y66"/>
    <mergeCell ref="Z64:Z66"/>
    <mergeCell ref="AA64:AA66"/>
    <mergeCell ref="F65:H65"/>
    <mergeCell ref="F66:H66"/>
    <mergeCell ref="AB53:AB57"/>
    <mergeCell ref="F54:H54"/>
    <mergeCell ref="F55:H55"/>
    <mergeCell ref="F56:H56"/>
    <mergeCell ref="F57:H57"/>
    <mergeCell ref="A53:A57"/>
    <mergeCell ref="C53:E57"/>
    <mergeCell ref="F53:H53"/>
    <mergeCell ref="Q53:Q57"/>
    <mergeCell ref="Y53:Y57"/>
    <mergeCell ref="Z53:Z57"/>
    <mergeCell ref="AA53:AA57"/>
    <mergeCell ref="A47:A48"/>
    <mergeCell ref="C47:E47"/>
    <mergeCell ref="F47:H47"/>
    <mergeCell ref="I47:I48"/>
    <mergeCell ref="Y47:Y48"/>
    <mergeCell ref="A51:A52"/>
    <mergeCell ref="C51:E51"/>
    <mergeCell ref="F51:H51"/>
    <mergeCell ref="I51:I52"/>
    <mergeCell ref="Y51:Y52"/>
    <mergeCell ref="C52:E52"/>
    <mergeCell ref="F52:H52"/>
    <mergeCell ref="C48:E48"/>
    <mergeCell ref="F48:H48"/>
    <mergeCell ref="A49:A50"/>
    <mergeCell ref="C49:E49"/>
    <mergeCell ref="F49:H49"/>
    <mergeCell ref="I49:I50"/>
    <mergeCell ref="Q47:Q48"/>
    <mergeCell ref="Q49:Q50"/>
    <mergeCell ref="Y49:Y50"/>
    <mergeCell ref="C50:E50"/>
    <mergeCell ref="F50:H50"/>
    <mergeCell ref="AB43:AB44"/>
    <mergeCell ref="C44:E44"/>
    <mergeCell ref="F44:H44"/>
    <mergeCell ref="AC44:AF44"/>
    <mergeCell ref="A45:A46"/>
    <mergeCell ref="C45:E45"/>
    <mergeCell ref="F45:H45"/>
    <mergeCell ref="I45:I46"/>
    <mergeCell ref="Q45:Q46"/>
    <mergeCell ref="Y45:Y46"/>
    <mergeCell ref="A43:A44"/>
    <mergeCell ref="C43:E43"/>
    <mergeCell ref="F43:H43"/>
    <mergeCell ref="I43:I44"/>
    <mergeCell ref="Q43:Q44"/>
    <mergeCell ref="Y43:Y44"/>
    <mergeCell ref="AB45:AB46"/>
    <mergeCell ref="C46:E46"/>
    <mergeCell ref="F46:H46"/>
    <mergeCell ref="A41:A42"/>
    <mergeCell ref="C41:E41"/>
    <mergeCell ref="F41:H41"/>
    <mergeCell ref="I41:I42"/>
    <mergeCell ref="Y41:Y42"/>
    <mergeCell ref="C42:E42"/>
    <mergeCell ref="F42:H42"/>
    <mergeCell ref="AC42:AF42"/>
    <mergeCell ref="AB37:AB42"/>
    <mergeCell ref="C38:E38"/>
    <mergeCell ref="F38:H38"/>
    <mergeCell ref="AC38:AF38"/>
    <mergeCell ref="A39:A40"/>
    <mergeCell ref="C39:E39"/>
    <mergeCell ref="F39:H39"/>
    <mergeCell ref="I39:I40"/>
    <mergeCell ref="Y39:Y40"/>
    <mergeCell ref="C40:E40"/>
    <mergeCell ref="A37:A38"/>
    <mergeCell ref="C37:E37"/>
    <mergeCell ref="F37:H37"/>
    <mergeCell ref="I37:I38"/>
    <mergeCell ref="Q37:Q42"/>
    <mergeCell ref="Y37:Y38"/>
    <mergeCell ref="F40:H40"/>
    <mergeCell ref="AC34:AF34"/>
    <mergeCell ref="A35:A36"/>
    <mergeCell ref="C35:E35"/>
    <mergeCell ref="F35:H35"/>
    <mergeCell ref="I35:I36"/>
    <mergeCell ref="Y35:Y36"/>
    <mergeCell ref="AB35:AB36"/>
    <mergeCell ref="C36:E36"/>
    <mergeCell ref="F36:H36"/>
    <mergeCell ref="AC40:AF40"/>
    <mergeCell ref="Q35:Q36"/>
    <mergeCell ref="A33:A34"/>
    <mergeCell ref="C33:E33"/>
    <mergeCell ref="F33:H33"/>
    <mergeCell ref="I33:I34"/>
    <mergeCell ref="Q33:Q34"/>
    <mergeCell ref="Y33:Y34"/>
    <mergeCell ref="AB33:AB34"/>
    <mergeCell ref="C34:E34"/>
    <mergeCell ref="F34:H34"/>
    <mergeCell ref="AC28:AF28"/>
    <mergeCell ref="A29:A30"/>
    <mergeCell ref="C29:E29"/>
    <mergeCell ref="F29:H29"/>
    <mergeCell ref="I29:I30"/>
    <mergeCell ref="Q29:Q32"/>
    <mergeCell ref="Y29:Y30"/>
    <mergeCell ref="AB29:AB32"/>
    <mergeCell ref="C30:E30"/>
    <mergeCell ref="F30:H30"/>
    <mergeCell ref="AC30:AF30"/>
    <mergeCell ref="A31:A32"/>
    <mergeCell ref="C31:E31"/>
    <mergeCell ref="F31:H31"/>
    <mergeCell ref="I31:I32"/>
    <mergeCell ref="Y31:Y32"/>
    <mergeCell ref="C32:E32"/>
    <mergeCell ref="F32:H32"/>
    <mergeCell ref="AC32:AF32"/>
    <mergeCell ref="AB25:AB26"/>
    <mergeCell ref="C26:E26"/>
    <mergeCell ref="F26:H26"/>
    <mergeCell ref="A27:A28"/>
    <mergeCell ref="C27:E27"/>
    <mergeCell ref="F27:H27"/>
    <mergeCell ref="I27:I28"/>
    <mergeCell ref="Q27:Q28"/>
    <mergeCell ref="Y27:Y28"/>
    <mergeCell ref="AB27:AB28"/>
    <mergeCell ref="A25:A26"/>
    <mergeCell ref="C25:E25"/>
    <mergeCell ref="F25:H25"/>
    <mergeCell ref="I25:I26"/>
    <mergeCell ref="Q25:Q26"/>
    <mergeCell ref="Y25:Y26"/>
    <mergeCell ref="C28:E28"/>
    <mergeCell ref="F28:H28"/>
    <mergeCell ref="F13:H13"/>
    <mergeCell ref="A19:A20"/>
    <mergeCell ref="C19:E19"/>
    <mergeCell ref="F19:H19"/>
    <mergeCell ref="I19:I20"/>
    <mergeCell ref="Y19:Y20"/>
    <mergeCell ref="C20:E20"/>
    <mergeCell ref="F20:H20"/>
    <mergeCell ref="AB21:AB24"/>
    <mergeCell ref="C22:E22"/>
    <mergeCell ref="F22:H22"/>
    <mergeCell ref="A23:A24"/>
    <mergeCell ref="C23:E23"/>
    <mergeCell ref="F23:H23"/>
    <mergeCell ref="I23:I24"/>
    <mergeCell ref="Y23:Y24"/>
    <mergeCell ref="C24:E24"/>
    <mergeCell ref="F24:H24"/>
    <mergeCell ref="A21:A22"/>
    <mergeCell ref="C21:E21"/>
    <mergeCell ref="F21:H21"/>
    <mergeCell ref="I21:I22"/>
    <mergeCell ref="Q21:Q24"/>
    <mergeCell ref="Y21:Y22"/>
    <mergeCell ref="AB15:AB16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AB17:AB18"/>
    <mergeCell ref="C18:E18"/>
    <mergeCell ref="F18:H18"/>
    <mergeCell ref="K13:L13"/>
    <mergeCell ref="N13:P13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5" orientation="portrait" r:id="rId1"/>
  <headerFooter alignWithMargins="0"/>
  <rowBreaks count="1" manualBreakCount="1">
    <brk id="57" max="27" man="1"/>
  </rowBreaks>
  <colBreaks count="1" manualBreakCount="1">
    <brk id="2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5C3C-5BF0-4FFD-AAA4-90C63BD9FED0}">
  <sheetPr>
    <pageSetUpPr fitToPage="1"/>
  </sheetPr>
  <dimension ref="A1:AF96"/>
  <sheetViews>
    <sheetView view="pageBreakPreview" topLeftCell="A73" zoomScale="75" zoomScaleNormal="100" zoomScaleSheetLayoutView="75" workbookViewId="0">
      <selection activeCell="I81" sqref="I81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400</v>
      </c>
      <c r="C2" s="548"/>
      <c r="D2" s="548"/>
      <c r="E2" s="548"/>
      <c r="F2" s="548"/>
      <c r="G2" s="549"/>
      <c r="H2" s="180" t="s">
        <v>1</v>
      </c>
      <c r="I2" s="550">
        <f>I11</f>
        <v>841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153</v>
      </c>
      <c r="B5" s="480"/>
      <c r="C5" s="182">
        <v>400</v>
      </c>
      <c r="D5" s="182">
        <v>350</v>
      </c>
      <c r="E5" s="182">
        <v>91</v>
      </c>
      <c r="F5" s="182"/>
      <c r="G5" s="182"/>
      <c r="H5" s="542" t="s">
        <v>24</v>
      </c>
      <c r="I5" s="524">
        <f t="shared" ref="I5:I11" si="0">SUM(C5:G5)</f>
        <v>841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46192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92"/>
      <c r="L9" s="291"/>
      <c r="M9" s="295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400</v>
      </c>
      <c r="D11" s="181">
        <f>SUM(D5:D10)</f>
        <v>350</v>
      </c>
      <c r="E11" s="181">
        <f>SUM(E5:E10)</f>
        <v>91</v>
      </c>
      <c r="F11" s="181">
        <f>SUM(F5:F10)</f>
        <v>0</v>
      </c>
      <c r="G11" s="181">
        <f>SUM(G5:G10)</f>
        <v>0</v>
      </c>
      <c r="H11" s="182"/>
      <c r="I11" s="481">
        <f t="shared" si="0"/>
        <v>841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46296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408</v>
      </c>
      <c r="D12" s="43">
        <f>D11*1.02</f>
        <v>357</v>
      </c>
      <c r="E12" s="43">
        <f>E11*1.02</f>
        <v>92.820000000000007</v>
      </c>
      <c r="F12" s="43">
        <f>F11*1.02</f>
        <v>0</v>
      </c>
      <c r="G12" s="43">
        <f>G11*1.02</f>
        <v>0</v>
      </c>
      <c r="H12" s="44"/>
      <c r="I12" s="486">
        <f>I11*1.02</f>
        <v>857.82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5" si="1">$I$5</f>
        <v>841</v>
      </c>
      <c r="C15" s="474" t="str">
        <f t="shared" ref="C15:C25" si="2">$A$5</f>
        <v>GR</v>
      </c>
      <c r="D15" s="475"/>
      <c r="E15" s="476"/>
      <c r="F15" s="474"/>
      <c r="G15" s="475"/>
      <c r="H15" s="476"/>
      <c r="I15" s="477" t="s">
        <v>133</v>
      </c>
      <c r="J15" s="65" t="s">
        <v>6</v>
      </c>
      <c r="K15" s="66">
        <v>1.45</v>
      </c>
      <c r="L15" s="67" t="s">
        <v>7</v>
      </c>
      <c r="M15" s="68">
        <f>K15*B15</f>
        <v>1219.45</v>
      </c>
      <c r="N15" s="69"/>
      <c r="O15" s="70"/>
      <c r="P15" s="67" t="s">
        <v>7</v>
      </c>
      <c r="Q15" s="478">
        <v>46200</v>
      </c>
      <c r="R15" s="122">
        <v>1220.2</v>
      </c>
      <c r="S15" s="71" t="s">
        <v>7</v>
      </c>
      <c r="T15" s="123">
        <f t="shared" ref="T15:T84" si="3">R15-M15</f>
        <v>0.75</v>
      </c>
      <c r="U15" s="72"/>
      <c r="V15" s="72"/>
      <c r="W15" s="73"/>
      <c r="X15" s="74"/>
      <c r="Y15" s="479" t="s">
        <v>329</v>
      </c>
      <c r="Z15" s="63"/>
      <c r="AA15" s="64"/>
      <c r="AB15" s="566" t="s">
        <v>467</v>
      </c>
      <c r="AC15" s="471"/>
      <c r="AD15" s="472"/>
      <c r="AE15" s="472"/>
      <c r="AF15" s="472"/>
    </row>
    <row r="16" spans="1:32" s="55" customFormat="1" ht="69.95" customHeight="1" x14ac:dyDescent="0.15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442"/>
      <c r="J16" s="76" t="s">
        <v>6</v>
      </c>
      <c r="K16" s="83">
        <v>1.45</v>
      </c>
      <c r="L16" s="77" t="s">
        <v>7</v>
      </c>
      <c r="M16" s="78">
        <f t="shared" ref="M16:M84" si="4">K16*B16</f>
        <v>0</v>
      </c>
      <c r="N16" s="79"/>
      <c r="O16" s="128"/>
      <c r="P16" s="77" t="s">
        <v>7</v>
      </c>
      <c r="Q16" s="444"/>
      <c r="R16" s="130"/>
      <c r="S16" s="75" t="s">
        <v>7</v>
      </c>
      <c r="T16" s="81">
        <f t="shared" si="3"/>
        <v>0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841</v>
      </c>
      <c r="C17" s="461" t="str">
        <f t="shared" si="2"/>
        <v>GR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80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206" customFormat="1" ht="69.95" customHeight="1" x14ac:dyDescent="0.15">
      <c r="A19" s="611" t="s">
        <v>389</v>
      </c>
      <c r="B19" s="191">
        <f t="shared" ref="B19" si="5">$I$5</f>
        <v>841</v>
      </c>
      <c r="C19" s="465" t="str">
        <f t="shared" ref="C19" si="6">$A$5</f>
        <v>GR</v>
      </c>
      <c r="D19" s="465"/>
      <c r="E19" s="465"/>
      <c r="F19" s="465"/>
      <c r="G19" s="465"/>
      <c r="H19" s="465"/>
      <c r="I19" s="433" t="s">
        <v>8</v>
      </c>
      <c r="J19" s="192" t="s">
        <v>6</v>
      </c>
      <c r="K19" s="209">
        <v>0.05</v>
      </c>
      <c r="L19" s="194" t="s">
        <v>7</v>
      </c>
      <c r="M19" s="195">
        <f t="shared" si="4"/>
        <v>42.050000000000004</v>
      </c>
      <c r="N19" s="196"/>
      <c r="O19" s="195"/>
      <c r="P19" s="197" t="s">
        <v>7</v>
      </c>
      <c r="Q19" s="299"/>
      <c r="R19" s="195"/>
      <c r="S19" s="197" t="s">
        <v>7</v>
      </c>
      <c r="T19" s="198">
        <f t="shared" si="3"/>
        <v>-42.050000000000004</v>
      </c>
      <c r="U19" s="199"/>
      <c r="V19" s="200"/>
      <c r="W19" s="195"/>
      <c r="X19" s="195"/>
      <c r="Y19" s="437" t="s">
        <v>93</v>
      </c>
      <c r="Z19" s="235"/>
      <c r="AA19" s="202"/>
      <c r="AB19" s="237"/>
      <c r="AC19" s="229"/>
      <c r="AD19" s="230"/>
      <c r="AE19" s="230"/>
      <c r="AF19" s="230"/>
    </row>
    <row r="20" spans="1:32" s="206" customFormat="1" ht="69.95" customHeight="1" x14ac:dyDescent="0.15">
      <c r="A20" s="612"/>
      <c r="B20" s="191">
        <f>$I$6</f>
        <v>0</v>
      </c>
      <c r="C20" s="465">
        <f>$A$6</f>
        <v>0</v>
      </c>
      <c r="D20" s="465"/>
      <c r="E20" s="465"/>
      <c r="F20" s="465"/>
      <c r="G20" s="465"/>
      <c r="H20" s="465"/>
      <c r="I20" s="434"/>
      <c r="J20" s="192" t="s">
        <v>6</v>
      </c>
      <c r="K20" s="209">
        <v>0.05</v>
      </c>
      <c r="L20" s="194" t="s">
        <v>7</v>
      </c>
      <c r="M20" s="195">
        <f t="shared" si="4"/>
        <v>0</v>
      </c>
      <c r="N20" s="196"/>
      <c r="O20" s="210"/>
      <c r="P20" s="194" t="s">
        <v>7</v>
      </c>
      <c r="Q20" s="299"/>
      <c r="R20" s="236"/>
      <c r="S20" s="207" t="s">
        <v>7</v>
      </c>
      <c r="T20" s="198">
        <f t="shared" si="3"/>
        <v>0</v>
      </c>
      <c r="U20" s="211"/>
      <c r="V20" s="211"/>
      <c r="W20" s="212"/>
      <c r="X20" s="213"/>
      <c r="Y20" s="438"/>
      <c r="Z20" s="214"/>
      <c r="AA20" s="202"/>
      <c r="AB20" s="237"/>
      <c r="AC20" s="229"/>
      <c r="AD20" s="230"/>
      <c r="AE20" s="230"/>
      <c r="AF20" s="230"/>
    </row>
    <row r="21" spans="1:32" s="55" customFormat="1" ht="69.95" customHeight="1" x14ac:dyDescent="0.15">
      <c r="A21" s="431" t="s">
        <v>401</v>
      </c>
      <c r="B21" s="182">
        <f t="shared" si="1"/>
        <v>841</v>
      </c>
      <c r="C21" s="461" t="str">
        <f t="shared" si="2"/>
        <v>GR</v>
      </c>
      <c r="D21" s="461"/>
      <c r="E21" s="461"/>
      <c r="F21" s="461"/>
      <c r="G21" s="461"/>
      <c r="H21" s="461"/>
      <c r="I21" s="441" t="s">
        <v>8</v>
      </c>
      <c r="J21" s="76" t="s">
        <v>6</v>
      </c>
      <c r="K21" s="136">
        <v>0.74</v>
      </c>
      <c r="L21" s="77" t="s">
        <v>7</v>
      </c>
      <c r="M21" s="78">
        <f t="shared" si="4"/>
        <v>622.34</v>
      </c>
      <c r="N21" s="79"/>
      <c r="O21" s="78"/>
      <c r="P21" s="80" t="s">
        <v>7</v>
      </c>
      <c r="Q21" s="443">
        <v>46207</v>
      </c>
      <c r="R21" s="78">
        <v>623</v>
      </c>
      <c r="S21" s="80" t="s">
        <v>7</v>
      </c>
      <c r="T21" s="81">
        <f t="shared" si="3"/>
        <v>0.65999999999996817</v>
      </c>
      <c r="U21" s="82"/>
      <c r="V21" s="137"/>
      <c r="W21" s="78"/>
      <c r="X21" s="78"/>
      <c r="Y21" s="445" t="s">
        <v>93</v>
      </c>
      <c r="Z21" s="138"/>
      <c r="AA21" s="135"/>
      <c r="AB21" s="360" t="s">
        <v>478</v>
      </c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$I$6</f>
        <v>0</v>
      </c>
      <c r="C22" s="461">
        <f>$A$6</f>
        <v>0</v>
      </c>
      <c r="D22" s="461"/>
      <c r="E22" s="461"/>
      <c r="F22" s="461"/>
      <c r="G22" s="461"/>
      <c r="H22" s="461"/>
      <c r="I22" s="442"/>
      <c r="J22" s="76" t="s">
        <v>6</v>
      </c>
      <c r="K22" s="136">
        <v>0.74</v>
      </c>
      <c r="L22" s="77" t="s">
        <v>7</v>
      </c>
      <c r="M22" s="78">
        <f t="shared" si="4"/>
        <v>0</v>
      </c>
      <c r="N22" s="79"/>
      <c r="O22" s="128"/>
      <c r="P22" s="77" t="s">
        <v>7</v>
      </c>
      <c r="Q22" s="447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228"/>
      <c r="AA22" s="228"/>
      <c r="AB22" s="361"/>
      <c r="AC22" s="178"/>
      <c r="AD22" s="179"/>
      <c r="AE22" s="179"/>
      <c r="AF22" s="179"/>
    </row>
    <row r="23" spans="1:32" s="55" customFormat="1" ht="69.95" customHeight="1" x14ac:dyDescent="0.15">
      <c r="A23" s="431" t="s">
        <v>391</v>
      </c>
      <c r="B23" s="182">
        <f t="shared" si="1"/>
        <v>841</v>
      </c>
      <c r="C23" s="461" t="str">
        <f t="shared" si="2"/>
        <v>GR</v>
      </c>
      <c r="D23" s="461"/>
      <c r="E23" s="461"/>
      <c r="F23" s="461"/>
      <c r="G23" s="461"/>
      <c r="H23" s="461"/>
      <c r="I23" s="441" t="s">
        <v>144</v>
      </c>
      <c r="J23" s="76" t="s">
        <v>6</v>
      </c>
      <c r="K23" s="136">
        <v>0.52</v>
      </c>
      <c r="L23" s="77" t="s">
        <v>7</v>
      </c>
      <c r="M23" s="78">
        <f t="shared" si="4"/>
        <v>437.32</v>
      </c>
      <c r="N23" s="79"/>
      <c r="O23" s="78"/>
      <c r="P23" s="80" t="s">
        <v>7</v>
      </c>
      <c r="Q23" s="447"/>
      <c r="R23" s="78">
        <v>438</v>
      </c>
      <c r="S23" s="80" t="s">
        <v>7</v>
      </c>
      <c r="T23" s="81">
        <f t="shared" si="3"/>
        <v>0.68000000000000682</v>
      </c>
      <c r="U23" s="82"/>
      <c r="V23" s="137"/>
      <c r="W23" s="78"/>
      <c r="X23" s="78"/>
      <c r="Y23" s="445" t="s">
        <v>93</v>
      </c>
      <c r="Z23" s="138"/>
      <c r="AA23" s="135"/>
      <c r="AB23" s="361"/>
      <c r="AC23" s="178"/>
      <c r="AD23" s="179"/>
      <c r="AE23" s="179"/>
      <c r="AF23" s="179"/>
    </row>
    <row r="24" spans="1:32" s="55" customFormat="1" ht="69.95" customHeight="1" x14ac:dyDescent="0.15">
      <c r="A24" s="432"/>
      <c r="B24" s="182">
        <f>$I$6</f>
        <v>0</v>
      </c>
      <c r="C24" s="461">
        <f>$A$6</f>
        <v>0</v>
      </c>
      <c r="D24" s="461"/>
      <c r="E24" s="461"/>
      <c r="F24" s="461"/>
      <c r="G24" s="461"/>
      <c r="H24" s="461"/>
      <c r="I24" s="442"/>
      <c r="J24" s="76" t="s">
        <v>6</v>
      </c>
      <c r="K24" s="136">
        <v>0.52</v>
      </c>
      <c r="L24" s="77" t="s">
        <v>7</v>
      </c>
      <c r="M24" s="78">
        <f t="shared" si="4"/>
        <v>0</v>
      </c>
      <c r="N24" s="79"/>
      <c r="O24" s="128"/>
      <c r="P24" s="77" t="s">
        <v>7</v>
      </c>
      <c r="Q24" s="444"/>
      <c r="R24" s="130"/>
      <c r="S24" s="75" t="s">
        <v>7</v>
      </c>
      <c r="T24" s="81">
        <f t="shared" si="3"/>
        <v>0</v>
      </c>
      <c r="U24" s="131"/>
      <c r="V24" s="131"/>
      <c r="W24" s="132"/>
      <c r="X24" s="133"/>
      <c r="Y24" s="446"/>
      <c r="Z24" s="228"/>
      <c r="AA24" s="228"/>
      <c r="AB24" s="362"/>
      <c r="AC24" s="178"/>
      <c r="AD24" s="179"/>
      <c r="AE24" s="179"/>
      <c r="AF24" s="179"/>
    </row>
    <row r="25" spans="1:32" s="55" customFormat="1" ht="69.95" customHeight="1" x14ac:dyDescent="0.15">
      <c r="A25" s="431" t="s">
        <v>402</v>
      </c>
      <c r="B25" s="182">
        <f t="shared" si="1"/>
        <v>841</v>
      </c>
      <c r="C25" s="461" t="str">
        <f t="shared" si="2"/>
        <v>GR</v>
      </c>
      <c r="D25" s="461"/>
      <c r="E25" s="461"/>
      <c r="F25" s="461"/>
      <c r="G25" s="461"/>
      <c r="H25" s="461"/>
      <c r="I25" s="441" t="s">
        <v>58</v>
      </c>
      <c r="J25" s="76" t="s">
        <v>6</v>
      </c>
      <c r="K25" s="136">
        <v>1.1299999999999999</v>
      </c>
      <c r="L25" s="77" t="s">
        <v>7</v>
      </c>
      <c r="M25" s="81">
        <f t="shared" si="4"/>
        <v>950.32999999999993</v>
      </c>
      <c r="N25" s="79"/>
      <c r="O25" s="78"/>
      <c r="P25" s="80" t="s">
        <v>7</v>
      </c>
      <c r="Q25" s="443">
        <v>46207</v>
      </c>
      <c r="R25" s="81">
        <v>950</v>
      </c>
      <c r="S25" s="80" t="s">
        <v>7</v>
      </c>
      <c r="T25" s="81">
        <f t="shared" si="3"/>
        <v>-0.32999999999992724</v>
      </c>
      <c r="U25" s="82"/>
      <c r="V25" s="137"/>
      <c r="W25" s="78"/>
      <c r="X25" s="78"/>
      <c r="Y25" s="445" t="s">
        <v>59</v>
      </c>
      <c r="Z25" s="138"/>
      <c r="AA25" s="135"/>
      <c r="AB25" s="360" t="s">
        <v>475</v>
      </c>
      <c r="AC25" s="178"/>
      <c r="AD25" s="179"/>
      <c r="AE25" s="179"/>
      <c r="AF25" s="179"/>
    </row>
    <row r="26" spans="1:32" s="55" customFormat="1" ht="69.95" customHeight="1" x14ac:dyDescent="0.15">
      <c r="A26" s="432"/>
      <c r="B26" s="182">
        <f>$I$6</f>
        <v>0</v>
      </c>
      <c r="C26" s="461">
        <f>$A$6</f>
        <v>0</v>
      </c>
      <c r="D26" s="461"/>
      <c r="E26" s="461"/>
      <c r="F26" s="461"/>
      <c r="G26" s="461"/>
      <c r="H26" s="461"/>
      <c r="I26" s="442"/>
      <c r="J26" s="76" t="s">
        <v>6</v>
      </c>
      <c r="K26" s="136">
        <v>1.1299999999999999</v>
      </c>
      <c r="L26" s="77" t="s">
        <v>7</v>
      </c>
      <c r="M26" s="78">
        <f t="shared" si="4"/>
        <v>0</v>
      </c>
      <c r="N26" s="79"/>
      <c r="O26" s="128"/>
      <c r="P26" s="77" t="s">
        <v>7</v>
      </c>
      <c r="Q26" s="444"/>
      <c r="R26" s="294"/>
      <c r="S26" s="75" t="s">
        <v>7</v>
      </c>
      <c r="T26" s="81">
        <f t="shared" si="3"/>
        <v>0</v>
      </c>
      <c r="U26" s="131"/>
      <c r="V26" s="131"/>
      <c r="W26" s="132"/>
      <c r="X26" s="133"/>
      <c r="Y26" s="446"/>
      <c r="Z26" s="134"/>
      <c r="AA26" s="135"/>
      <c r="AB26" s="362"/>
      <c r="AC26" s="178"/>
      <c r="AD26" s="179"/>
      <c r="AE26" s="179"/>
      <c r="AF26" s="179"/>
    </row>
    <row r="27" spans="1:32" s="203" customFormat="1" ht="69.95" customHeight="1" x14ac:dyDescent="0.15">
      <c r="A27" s="431" t="s">
        <v>403</v>
      </c>
      <c r="B27" s="182">
        <f>$I$5</f>
        <v>841</v>
      </c>
      <c r="C27" s="461" t="str">
        <f>$A$5</f>
        <v>GR</v>
      </c>
      <c r="D27" s="461"/>
      <c r="E27" s="461"/>
      <c r="F27" s="461"/>
      <c r="G27" s="461"/>
      <c r="H27" s="461"/>
      <c r="I27" s="441" t="s">
        <v>58</v>
      </c>
      <c r="J27" s="76" t="s">
        <v>6</v>
      </c>
      <c r="K27" s="136">
        <v>0.09</v>
      </c>
      <c r="L27" s="77" t="s">
        <v>7</v>
      </c>
      <c r="M27" s="78">
        <f>K27*B27</f>
        <v>75.69</v>
      </c>
      <c r="N27" s="79"/>
      <c r="O27" s="78"/>
      <c r="P27" s="80" t="s">
        <v>7</v>
      </c>
      <c r="Q27" s="443">
        <v>46207</v>
      </c>
      <c r="R27" s="78">
        <v>76</v>
      </c>
      <c r="S27" s="80" t="s">
        <v>9</v>
      </c>
      <c r="T27" s="81">
        <f t="shared" si="3"/>
        <v>0.31000000000000227</v>
      </c>
      <c r="U27" s="82"/>
      <c r="V27" s="137"/>
      <c r="W27" s="78"/>
      <c r="X27" s="78"/>
      <c r="Y27" s="445" t="s">
        <v>59</v>
      </c>
      <c r="Z27" s="141"/>
      <c r="AA27" s="135"/>
      <c r="AB27" s="360" t="s">
        <v>475</v>
      </c>
    </row>
    <row r="28" spans="1:32" s="203" customFormat="1" ht="69.95" customHeight="1" x14ac:dyDescent="0.15">
      <c r="A28" s="432"/>
      <c r="B28" s="182">
        <f>$I$6</f>
        <v>0</v>
      </c>
      <c r="C28" s="461">
        <f>$A$6</f>
        <v>0</v>
      </c>
      <c r="D28" s="461"/>
      <c r="E28" s="461"/>
      <c r="F28" s="461"/>
      <c r="G28" s="461"/>
      <c r="H28" s="461"/>
      <c r="I28" s="442"/>
      <c r="J28" s="76" t="s">
        <v>6</v>
      </c>
      <c r="K28" s="83">
        <v>0.09</v>
      </c>
      <c r="L28" s="77" t="s">
        <v>7</v>
      </c>
      <c r="M28" s="78">
        <f>K28*B28</f>
        <v>0</v>
      </c>
      <c r="N28" s="79"/>
      <c r="O28" s="128"/>
      <c r="P28" s="77" t="s">
        <v>7</v>
      </c>
      <c r="Q28" s="444"/>
      <c r="R28" s="137"/>
      <c r="S28" s="75" t="s">
        <v>9</v>
      </c>
      <c r="T28" s="81">
        <f t="shared" si="3"/>
        <v>0</v>
      </c>
      <c r="U28" s="131"/>
      <c r="V28" s="131"/>
      <c r="W28" s="132"/>
      <c r="X28" s="133"/>
      <c r="Y28" s="446"/>
      <c r="Z28" s="134"/>
      <c r="AA28" s="135"/>
      <c r="AB28" s="362"/>
      <c r="AC28" s="466"/>
      <c r="AD28" s="467"/>
      <c r="AE28" s="467"/>
      <c r="AF28" s="467"/>
    </row>
    <row r="29" spans="1:32" s="143" customFormat="1" ht="69.95" customHeight="1" x14ac:dyDescent="0.15">
      <c r="A29" s="464" t="s">
        <v>394</v>
      </c>
      <c r="B29" s="182">
        <f>$I$5</f>
        <v>841</v>
      </c>
      <c r="C29" s="461" t="str">
        <f>$A$5</f>
        <v>GR</v>
      </c>
      <c r="D29" s="461"/>
      <c r="E29" s="461"/>
      <c r="F29" s="461"/>
      <c r="G29" s="461"/>
      <c r="H29" s="461"/>
      <c r="I29" s="441" t="s">
        <v>76</v>
      </c>
      <c r="J29" s="76"/>
      <c r="K29" s="136">
        <v>1.7</v>
      </c>
      <c r="L29" s="77" t="s">
        <v>7</v>
      </c>
      <c r="M29" s="78">
        <f>K29*B29/100</f>
        <v>14.297000000000001</v>
      </c>
      <c r="N29" s="79"/>
      <c r="O29" s="78"/>
      <c r="P29" s="80" t="s">
        <v>7</v>
      </c>
      <c r="Q29" s="443">
        <v>46207</v>
      </c>
      <c r="R29" s="78">
        <v>15</v>
      </c>
      <c r="S29" s="80" t="s">
        <v>9</v>
      </c>
      <c r="T29" s="81">
        <f t="shared" si="3"/>
        <v>0.7029999999999994</v>
      </c>
      <c r="U29" s="82"/>
      <c r="V29" s="137"/>
      <c r="W29" s="78"/>
      <c r="X29" s="78"/>
      <c r="Y29" s="445" t="s">
        <v>94</v>
      </c>
      <c r="Z29" s="141"/>
      <c r="AA29" s="135"/>
      <c r="AB29" s="360" t="s">
        <v>478</v>
      </c>
    </row>
    <row r="30" spans="1:32" s="143" customFormat="1" ht="69.95" customHeight="1" x14ac:dyDescent="0.15">
      <c r="A30" s="464"/>
      <c r="B30" s="182">
        <f>$I$6</f>
        <v>0</v>
      </c>
      <c r="C30" s="461">
        <f>$A$6</f>
        <v>0</v>
      </c>
      <c r="D30" s="461"/>
      <c r="E30" s="461"/>
      <c r="F30" s="461"/>
      <c r="G30" s="461"/>
      <c r="H30" s="461"/>
      <c r="I30" s="442"/>
      <c r="J30" s="76"/>
      <c r="K30" s="136">
        <v>1.7</v>
      </c>
      <c r="L30" s="77" t="s">
        <v>7</v>
      </c>
      <c r="M30" s="78">
        <f>K30*B30/100</f>
        <v>0</v>
      </c>
      <c r="N30" s="79"/>
      <c r="O30" s="128"/>
      <c r="P30" s="77" t="s">
        <v>7</v>
      </c>
      <c r="Q30" s="444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1"/>
      <c r="AC30" s="577"/>
      <c r="AD30" s="578"/>
      <c r="AE30" s="578"/>
      <c r="AF30" s="578"/>
    </row>
    <row r="31" spans="1:32" s="143" customFormat="1" ht="69.95" customHeight="1" x14ac:dyDescent="0.15">
      <c r="A31" s="431" t="s">
        <v>404</v>
      </c>
      <c r="B31" s="182">
        <f>$I$5</f>
        <v>841</v>
      </c>
      <c r="C31" s="461" t="str">
        <f>$A$5</f>
        <v>GR</v>
      </c>
      <c r="D31" s="461"/>
      <c r="E31" s="461"/>
      <c r="F31" s="368"/>
      <c r="G31" s="369"/>
      <c r="H31" s="370"/>
      <c r="I31" s="441" t="s">
        <v>252</v>
      </c>
      <c r="J31" s="76"/>
      <c r="K31" s="136">
        <v>18</v>
      </c>
      <c r="L31" s="77" t="s">
        <v>7</v>
      </c>
      <c r="M31" s="78">
        <f>K31*B31/100</f>
        <v>151.38</v>
      </c>
      <c r="N31" s="79"/>
      <c r="O31" s="128"/>
      <c r="P31" s="77" t="s">
        <v>7</v>
      </c>
      <c r="Q31" s="443">
        <v>46207</v>
      </c>
      <c r="R31" s="137">
        <v>303</v>
      </c>
      <c r="S31" s="75" t="s">
        <v>405</v>
      </c>
      <c r="T31" s="81">
        <f t="shared" si="3"/>
        <v>151.62</v>
      </c>
      <c r="U31" s="131"/>
      <c r="V31" s="131"/>
      <c r="W31" s="132"/>
      <c r="X31" s="133"/>
      <c r="Y31" s="445" t="s">
        <v>481</v>
      </c>
      <c r="Z31" s="134"/>
      <c r="AA31" s="135"/>
      <c r="AB31" s="361"/>
      <c r="AC31" s="345"/>
      <c r="AD31" s="346"/>
      <c r="AE31" s="346"/>
      <c r="AF31" s="346"/>
    </row>
    <row r="32" spans="1:32" s="143" customFormat="1" ht="69.95" customHeight="1" x14ac:dyDescent="0.15">
      <c r="A32" s="432"/>
      <c r="B32" s="182">
        <f>$I$6</f>
        <v>0</v>
      </c>
      <c r="C32" s="461">
        <f>$A$6</f>
        <v>0</v>
      </c>
      <c r="D32" s="461"/>
      <c r="E32" s="461"/>
      <c r="F32" s="368"/>
      <c r="G32" s="369"/>
      <c r="H32" s="370"/>
      <c r="I32" s="442"/>
      <c r="J32" s="76"/>
      <c r="K32" s="136">
        <v>18</v>
      </c>
      <c r="L32" s="77" t="s">
        <v>7</v>
      </c>
      <c r="M32" s="78">
        <f>K32*B32/100</f>
        <v>0</v>
      </c>
      <c r="N32" s="79"/>
      <c r="O32" s="128"/>
      <c r="P32" s="77" t="s">
        <v>7</v>
      </c>
      <c r="Q32" s="444"/>
      <c r="R32" s="137"/>
      <c r="S32" s="75" t="s">
        <v>405</v>
      </c>
      <c r="T32" s="81">
        <f t="shared" si="3"/>
        <v>0</v>
      </c>
      <c r="U32" s="131"/>
      <c r="V32" s="131"/>
      <c r="W32" s="132"/>
      <c r="X32" s="133"/>
      <c r="Y32" s="446"/>
      <c r="Z32" s="134"/>
      <c r="AA32" s="135"/>
      <c r="AB32" s="361"/>
      <c r="AC32" s="345"/>
      <c r="AD32" s="346"/>
      <c r="AE32" s="346"/>
      <c r="AF32" s="346"/>
    </row>
    <row r="33" spans="1:32" s="143" customFormat="1" ht="69.95" customHeight="1" x14ac:dyDescent="0.15">
      <c r="A33" s="464" t="s">
        <v>145</v>
      </c>
      <c r="B33" s="182">
        <f>$I$5</f>
        <v>841</v>
      </c>
      <c r="C33" s="461" t="str">
        <f>$A$5</f>
        <v>GR</v>
      </c>
      <c r="D33" s="461"/>
      <c r="E33" s="461"/>
      <c r="F33" s="461"/>
      <c r="G33" s="461"/>
      <c r="H33" s="461"/>
      <c r="I33" s="441" t="s">
        <v>76</v>
      </c>
      <c r="J33" s="76"/>
      <c r="K33" s="136">
        <v>5.7</v>
      </c>
      <c r="L33" s="77" t="s">
        <v>7</v>
      </c>
      <c r="M33" s="78">
        <f t="shared" ref="M33:M34" si="7">K33*B33/50</f>
        <v>95.873999999999995</v>
      </c>
      <c r="N33" s="79"/>
      <c r="O33" s="78"/>
      <c r="P33" s="80" t="s">
        <v>7</v>
      </c>
      <c r="Q33" s="447">
        <v>46207</v>
      </c>
      <c r="R33" s="78">
        <v>96</v>
      </c>
      <c r="S33" s="80" t="s">
        <v>9</v>
      </c>
      <c r="T33" s="81">
        <f t="shared" si="3"/>
        <v>0.12600000000000477</v>
      </c>
      <c r="U33" s="82"/>
      <c r="V33" s="137"/>
      <c r="W33" s="78"/>
      <c r="X33" s="78"/>
      <c r="Y33" s="445" t="s">
        <v>94</v>
      </c>
      <c r="Z33" s="141"/>
      <c r="AA33" s="135"/>
      <c r="AB33" s="361"/>
    </row>
    <row r="34" spans="1:32" s="143" customFormat="1" ht="69.95" customHeight="1" x14ac:dyDescent="0.15">
      <c r="A34" s="464"/>
      <c r="B34" s="182">
        <f>$I$6</f>
        <v>0</v>
      </c>
      <c r="C34" s="461">
        <f>$A$6</f>
        <v>0</v>
      </c>
      <c r="D34" s="461"/>
      <c r="E34" s="461"/>
      <c r="F34" s="461"/>
      <c r="G34" s="461"/>
      <c r="H34" s="461"/>
      <c r="I34" s="442"/>
      <c r="J34" s="76"/>
      <c r="K34" s="136">
        <v>5.7</v>
      </c>
      <c r="L34" s="77" t="s">
        <v>7</v>
      </c>
      <c r="M34" s="78">
        <f t="shared" si="7"/>
        <v>0</v>
      </c>
      <c r="N34" s="79"/>
      <c r="O34" s="128"/>
      <c r="P34" s="77" t="s">
        <v>7</v>
      </c>
      <c r="Q34" s="444"/>
      <c r="R34" s="137"/>
      <c r="S34" s="75" t="s">
        <v>9</v>
      </c>
      <c r="T34" s="81">
        <f t="shared" si="3"/>
        <v>0</v>
      </c>
      <c r="U34" s="131"/>
      <c r="V34" s="131"/>
      <c r="W34" s="132"/>
      <c r="X34" s="133"/>
      <c r="Y34" s="446"/>
      <c r="Z34" s="134"/>
      <c r="AA34" s="135"/>
      <c r="AB34" s="362"/>
      <c r="AC34" s="577"/>
      <c r="AD34" s="578"/>
      <c r="AE34" s="578"/>
      <c r="AF34" s="578"/>
    </row>
    <row r="35" spans="1:32" s="203" customFormat="1" ht="69.95" customHeight="1" x14ac:dyDescent="0.15">
      <c r="A35" s="464" t="s">
        <v>406</v>
      </c>
      <c r="B35" s="182">
        <f>$I$5</f>
        <v>841</v>
      </c>
      <c r="C35" s="461" t="str">
        <f>$A$5</f>
        <v>GR</v>
      </c>
      <c r="D35" s="461"/>
      <c r="E35" s="461"/>
      <c r="F35" s="461" t="s">
        <v>407</v>
      </c>
      <c r="G35" s="461"/>
      <c r="H35" s="461"/>
      <c r="I35" s="441" t="s">
        <v>174</v>
      </c>
      <c r="J35" s="76"/>
      <c r="K35" s="136">
        <v>1</v>
      </c>
      <c r="L35" s="77" t="s">
        <v>65</v>
      </c>
      <c r="M35" s="78">
        <f>K35*B35</f>
        <v>841</v>
      </c>
      <c r="N35" s="79"/>
      <c r="O35" s="78"/>
      <c r="P35" s="80" t="s">
        <v>7</v>
      </c>
      <c r="Q35" s="443">
        <v>46207</v>
      </c>
      <c r="R35" s="78">
        <v>841</v>
      </c>
      <c r="S35" s="80" t="s">
        <v>9</v>
      </c>
      <c r="T35" s="81">
        <f t="shared" si="3"/>
        <v>0</v>
      </c>
      <c r="U35" s="82"/>
      <c r="V35" s="137"/>
      <c r="W35" s="78"/>
      <c r="X35" s="78"/>
      <c r="Y35" s="445" t="s">
        <v>57</v>
      </c>
      <c r="Z35" s="141"/>
      <c r="AA35" s="135"/>
      <c r="AB35" s="360" t="s">
        <v>475</v>
      </c>
    </row>
    <row r="36" spans="1:32" s="203" customFormat="1" ht="69.95" customHeight="1" x14ac:dyDescent="0.15">
      <c r="A36" s="464"/>
      <c r="B36" s="182">
        <f>$I$6</f>
        <v>0</v>
      </c>
      <c r="C36" s="461">
        <f>$A$6</f>
        <v>0</v>
      </c>
      <c r="D36" s="461"/>
      <c r="E36" s="461"/>
      <c r="F36" s="461" t="s">
        <v>407</v>
      </c>
      <c r="G36" s="461"/>
      <c r="H36" s="461"/>
      <c r="I36" s="442"/>
      <c r="J36" s="76"/>
      <c r="K36" s="83">
        <v>1</v>
      </c>
      <c r="L36" s="77" t="s">
        <v>65</v>
      </c>
      <c r="M36" s="78">
        <f t="shared" ref="M36:M38" si="8">K36*B36</f>
        <v>0</v>
      </c>
      <c r="N36" s="79"/>
      <c r="O36" s="128"/>
      <c r="P36" s="77" t="s">
        <v>7</v>
      </c>
      <c r="Q36" s="444"/>
      <c r="R36" s="137"/>
      <c r="S36" s="75" t="s">
        <v>9</v>
      </c>
      <c r="T36" s="81">
        <f t="shared" si="3"/>
        <v>0</v>
      </c>
      <c r="U36" s="131"/>
      <c r="V36" s="131"/>
      <c r="W36" s="132"/>
      <c r="X36" s="133"/>
      <c r="Y36" s="446"/>
      <c r="Z36" s="134"/>
      <c r="AA36" s="135"/>
      <c r="AB36" s="362"/>
      <c r="AC36" s="466"/>
      <c r="AD36" s="467"/>
      <c r="AE36" s="467"/>
      <c r="AF36" s="467"/>
    </row>
    <row r="37" spans="1:32" s="203" customFormat="1" ht="69.95" customHeight="1" x14ac:dyDescent="0.15">
      <c r="A37" s="431" t="s">
        <v>380</v>
      </c>
      <c r="B37" s="182">
        <f>$I$5</f>
        <v>841</v>
      </c>
      <c r="C37" s="461" t="str">
        <f>$A$5</f>
        <v>GR</v>
      </c>
      <c r="D37" s="461"/>
      <c r="E37" s="461"/>
      <c r="F37" s="368"/>
      <c r="G37" s="369"/>
      <c r="H37" s="370"/>
      <c r="I37" s="441"/>
      <c r="J37" s="76"/>
      <c r="K37" s="83">
        <v>1</v>
      </c>
      <c r="L37" s="77" t="s">
        <v>381</v>
      </c>
      <c r="M37" s="78">
        <f t="shared" si="8"/>
        <v>841</v>
      </c>
      <c r="N37" s="79"/>
      <c r="O37" s="128"/>
      <c r="P37" s="77" t="s">
        <v>7</v>
      </c>
      <c r="Q37" s="443">
        <v>46207</v>
      </c>
      <c r="R37" s="137">
        <v>841</v>
      </c>
      <c r="S37" s="75" t="s">
        <v>9</v>
      </c>
      <c r="T37" s="81">
        <f t="shared" si="3"/>
        <v>0</v>
      </c>
      <c r="U37" s="131"/>
      <c r="V37" s="131"/>
      <c r="W37" s="132"/>
      <c r="X37" s="133"/>
      <c r="Y37" s="445" t="s">
        <v>482</v>
      </c>
      <c r="Z37" s="134"/>
      <c r="AA37" s="135"/>
      <c r="AB37" s="360" t="s">
        <v>475</v>
      </c>
      <c r="AC37" s="334"/>
      <c r="AD37" s="335"/>
      <c r="AE37" s="335"/>
      <c r="AF37" s="335"/>
    </row>
    <row r="38" spans="1:32" s="203" customFormat="1" ht="69.95" customHeight="1" x14ac:dyDescent="0.15">
      <c r="A38" s="432"/>
      <c r="B38" s="182">
        <f>$I$6</f>
        <v>0</v>
      </c>
      <c r="C38" s="461">
        <f>$A$6</f>
        <v>0</v>
      </c>
      <c r="D38" s="461"/>
      <c r="E38" s="461"/>
      <c r="F38" s="368"/>
      <c r="G38" s="369"/>
      <c r="H38" s="370"/>
      <c r="I38" s="442"/>
      <c r="J38" s="76"/>
      <c r="K38" s="83">
        <v>1</v>
      </c>
      <c r="L38" s="77" t="s">
        <v>381</v>
      </c>
      <c r="M38" s="78">
        <f t="shared" si="8"/>
        <v>0</v>
      </c>
      <c r="N38" s="79"/>
      <c r="O38" s="128"/>
      <c r="P38" s="77" t="s">
        <v>7</v>
      </c>
      <c r="Q38" s="444"/>
      <c r="R38" s="137"/>
      <c r="S38" s="75" t="s">
        <v>9</v>
      </c>
      <c r="T38" s="81">
        <f t="shared" si="3"/>
        <v>0</v>
      </c>
      <c r="U38" s="131"/>
      <c r="V38" s="131"/>
      <c r="W38" s="132"/>
      <c r="X38" s="133"/>
      <c r="Y38" s="446"/>
      <c r="Z38" s="134"/>
      <c r="AA38" s="135"/>
      <c r="AB38" s="362"/>
      <c r="AC38" s="334"/>
      <c r="AD38" s="335"/>
      <c r="AE38" s="335"/>
      <c r="AF38" s="335"/>
    </row>
    <row r="39" spans="1:32" s="143" customFormat="1" ht="69.95" customHeight="1" x14ac:dyDescent="0.15">
      <c r="A39" s="431" t="s">
        <v>88</v>
      </c>
      <c r="B39" s="182">
        <f>$I$5</f>
        <v>841</v>
      </c>
      <c r="C39" s="461" t="str">
        <f>$A$5</f>
        <v>GR</v>
      </c>
      <c r="D39" s="461"/>
      <c r="E39" s="461"/>
      <c r="F39" s="461" t="str">
        <f>$A$5</f>
        <v>GR</v>
      </c>
      <c r="G39" s="461"/>
      <c r="H39" s="461"/>
      <c r="I39" s="441" t="s">
        <v>62</v>
      </c>
      <c r="J39" s="76"/>
      <c r="K39" s="139">
        <v>230</v>
      </c>
      <c r="L39" s="77" t="s">
        <v>61</v>
      </c>
      <c r="M39" s="78">
        <f t="shared" ref="M39:M40" si="9">K39*B39/2500</f>
        <v>77.372</v>
      </c>
      <c r="N39" s="79"/>
      <c r="O39" s="78"/>
      <c r="P39" s="80" t="s">
        <v>10</v>
      </c>
      <c r="Q39" s="443">
        <v>46207</v>
      </c>
      <c r="R39" s="78">
        <v>78</v>
      </c>
      <c r="S39" s="80" t="s">
        <v>10</v>
      </c>
      <c r="T39" s="81">
        <f>R39-M39</f>
        <v>0.62800000000000011</v>
      </c>
      <c r="U39" s="82"/>
      <c r="V39" s="137"/>
      <c r="W39" s="78"/>
      <c r="X39" s="78"/>
      <c r="Y39" s="445" t="s">
        <v>94</v>
      </c>
      <c r="Z39" s="141"/>
      <c r="AA39" s="135"/>
      <c r="AB39" s="360" t="s">
        <v>478</v>
      </c>
    </row>
    <row r="40" spans="1:32" s="55" customFormat="1" ht="69.95" customHeight="1" x14ac:dyDescent="0.15">
      <c r="A40" s="432"/>
      <c r="B40" s="186">
        <f>$I$6</f>
        <v>0</v>
      </c>
      <c r="C40" s="395">
        <f>$A$6</f>
        <v>0</v>
      </c>
      <c r="D40" s="396"/>
      <c r="E40" s="397"/>
      <c r="F40" s="395">
        <f>$A$6</f>
        <v>0</v>
      </c>
      <c r="G40" s="396"/>
      <c r="H40" s="397"/>
      <c r="I40" s="442"/>
      <c r="J40" s="144"/>
      <c r="K40" s="139">
        <v>230</v>
      </c>
      <c r="L40" s="145" t="s">
        <v>61</v>
      </c>
      <c r="M40" s="78">
        <f t="shared" si="9"/>
        <v>0</v>
      </c>
      <c r="N40" s="146"/>
      <c r="O40" s="147"/>
      <c r="P40" s="145" t="s">
        <v>10</v>
      </c>
      <c r="Q40" s="444"/>
      <c r="R40" s="161"/>
      <c r="S40" s="148" t="s">
        <v>10</v>
      </c>
      <c r="T40" s="84">
        <f>R40-M40</f>
        <v>0</v>
      </c>
      <c r="U40" s="149"/>
      <c r="V40" s="149"/>
      <c r="W40" s="150"/>
      <c r="X40" s="151"/>
      <c r="Y40" s="446"/>
      <c r="Z40" s="216"/>
      <c r="AA40" s="217"/>
      <c r="AB40" s="361"/>
      <c r="AC40" s="471"/>
      <c r="AD40" s="472"/>
      <c r="AE40" s="472"/>
      <c r="AF40" s="472"/>
    </row>
    <row r="41" spans="1:32" s="143" customFormat="1" ht="69.95" customHeight="1" x14ac:dyDescent="0.15">
      <c r="A41" s="431" t="s">
        <v>87</v>
      </c>
      <c r="B41" s="182">
        <f>$I$5</f>
        <v>841</v>
      </c>
      <c r="C41" s="461" t="str">
        <f>$A$5</f>
        <v>GR</v>
      </c>
      <c r="D41" s="461"/>
      <c r="E41" s="461"/>
      <c r="F41" s="461" t="str">
        <f>$A$5</f>
        <v>GR</v>
      </c>
      <c r="G41" s="461"/>
      <c r="H41" s="461"/>
      <c r="I41" s="441" t="s">
        <v>60</v>
      </c>
      <c r="J41" s="76"/>
      <c r="K41" s="139">
        <v>470</v>
      </c>
      <c r="L41" s="77" t="s">
        <v>61</v>
      </c>
      <c r="M41" s="78">
        <f>K41*B41/4000</f>
        <v>98.817499999999995</v>
      </c>
      <c r="N41" s="79"/>
      <c r="O41" s="78"/>
      <c r="P41" s="80" t="s">
        <v>10</v>
      </c>
      <c r="Q41" s="447">
        <v>46207</v>
      </c>
      <c r="R41" s="78">
        <v>99</v>
      </c>
      <c r="S41" s="80" t="s">
        <v>10</v>
      </c>
      <c r="T41" s="81">
        <f t="shared" si="3"/>
        <v>0.18250000000000455</v>
      </c>
      <c r="U41" s="82"/>
      <c r="V41" s="137"/>
      <c r="W41" s="78"/>
      <c r="X41" s="78"/>
      <c r="Y41" s="445" t="s">
        <v>94</v>
      </c>
      <c r="Z41" s="141"/>
      <c r="AA41" s="135"/>
      <c r="AB41" s="361"/>
    </row>
    <row r="42" spans="1:32" s="55" customFormat="1" ht="69.95" customHeight="1" x14ac:dyDescent="0.15">
      <c r="A42" s="432"/>
      <c r="B42" s="186">
        <f>$I$6</f>
        <v>0</v>
      </c>
      <c r="C42" s="395">
        <f>$A$6</f>
        <v>0</v>
      </c>
      <c r="D42" s="396"/>
      <c r="E42" s="397"/>
      <c r="F42" s="395">
        <f>$A$6</f>
        <v>0</v>
      </c>
      <c r="G42" s="396"/>
      <c r="H42" s="397"/>
      <c r="I42" s="442"/>
      <c r="J42" s="144"/>
      <c r="K42" s="139">
        <v>470</v>
      </c>
      <c r="L42" s="145" t="s">
        <v>61</v>
      </c>
      <c r="M42" s="78">
        <f>K42*B42/4000</f>
        <v>0</v>
      </c>
      <c r="N42" s="146"/>
      <c r="O42" s="147"/>
      <c r="P42" s="145" t="s">
        <v>10</v>
      </c>
      <c r="Q42" s="447"/>
      <c r="R42" s="161"/>
      <c r="S42" s="148" t="s">
        <v>10</v>
      </c>
      <c r="T42" s="84">
        <f t="shared" si="3"/>
        <v>0</v>
      </c>
      <c r="U42" s="149"/>
      <c r="V42" s="149"/>
      <c r="W42" s="150"/>
      <c r="X42" s="151"/>
      <c r="Y42" s="446"/>
      <c r="Z42" s="216"/>
      <c r="AA42" s="217"/>
      <c r="AB42" s="362"/>
      <c r="AC42" s="471"/>
      <c r="AD42" s="472"/>
      <c r="AE42" s="472"/>
      <c r="AF42" s="472"/>
    </row>
    <row r="43" spans="1:32" s="143" customFormat="1" ht="69.95" customHeight="1" x14ac:dyDescent="0.15">
      <c r="A43" s="611" t="s">
        <v>177</v>
      </c>
      <c r="B43" s="191">
        <f>$I$5</f>
        <v>841</v>
      </c>
      <c r="C43" s="465" t="str">
        <f>$A$5</f>
        <v>GR</v>
      </c>
      <c r="D43" s="465"/>
      <c r="E43" s="465"/>
      <c r="F43" s="465" t="str">
        <f>$A$5</f>
        <v>GR</v>
      </c>
      <c r="G43" s="465"/>
      <c r="H43" s="465"/>
      <c r="I43" s="433" t="s">
        <v>60</v>
      </c>
      <c r="J43" s="192"/>
      <c r="K43" s="193">
        <v>10</v>
      </c>
      <c r="L43" s="194" t="s">
        <v>61</v>
      </c>
      <c r="M43" s="195">
        <f>K43*B43/4000</f>
        <v>2.1025</v>
      </c>
      <c r="N43" s="196"/>
      <c r="O43" s="195"/>
      <c r="P43" s="197" t="s">
        <v>10</v>
      </c>
      <c r="Q43" s="307"/>
      <c r="R43" s="195"/>
      <c r="S43" s="197" t="s">
        <v>10</v>
      </c>
      <c r="T43" s="198">
        <f t="shared" si="3"/>
        <v>-2.1025</v>
      </c>
      <c r="U43" s="199"/>
      <c r="V43" s="200"/>
      <c r="W43" s="195"/>
      <c r="X43" s="195"/>
      <c r="Y43" s="437" t="s">
        <v>94</v>
      </c>
      <c r="Z43" s="201"/>
      <c r="AA43" s="202"/>
      <c r="AB43" s="361" t="s">
        <v>478</v>
      </c>
    </row>
    <row r="44" spans="1:32" s="55" customFormat="1" ht="69.95" customHeight="1" x14ac:dyDescent="0.15">
      <c r="A44" s="612"/>
      <c r="B44" s="204">
        <f>$I$6</f>
        <v>0</v>
      </c>
      <c r="C44" s="453">
        <f>$A$6</f>
        <v>0</v>
      </c>
      <c r="D44" s="454"/>
      <c r="E44" s="455"/>
      <c r="F44" s="453">
        <f>$A$6</f>
        <v>0</v>
      </c>
      <c r="G44" s="454"/>
      <c r="H44" s="455"/>
      <c r="I44" s="434"/>
      <c r="J44" s="218"/>
      <c r="K44" s="193">
        <v>10</v>
      </c>
      <c r="L44" s="219" t="s">
        <v>61</v>
      </c>
      <c r="M44" s="195">
        <f>K44*B44/4000</f>
        <v>0</v>
      </c>
      <c r="N44" s="220"/>
      <c r="O44" s="221"/>
      <c r="P44" s="219" t="s">
        <v>10</v>
      </c>
      <c r="Q44" s="341"/>
      <c r="R44" s="222"/>
      <c r="S44" s="215" t="s">
        <v>10</v>
      </c>
      <c r="T44" s="205">
        <f t="shared" si="3"/>
        <v>0</v>
      </c>
      <c r="U44" s="223"/>
      <c r="V44" s="223"/>
      <c r="W44" s="224"/>
      <c r="X44" s="225"/>
      <c r="Y44" s="438"/>
      <c r="Z44" s="226"/>
      <c r="AA44" s="227"/>
      <c r="AB44" s="362"/>
      <c r="AC44" s="471"/>
      <c r="AD44" s="472"/>
      <c r="AE44" s="472"/>
      <c r="AF44" s="472"/>
    </row>
    <row r="45" spans="1:32" s="203" customFormat="1" ht="69.95" customHeight="1" x14ac:dyDescent="0.15">
      <c r="A45" s="611" t="s">
        <v>382</v>
      </c>
      <c r="B45" s="191">
        <f>$I$5</f>
        <v>841</v>
      </c>
      <c r="C45" s="465" t="str">
        <f>$A$5</f>
        <v>GR</v>
      </c>
      <c r="D45" s="465"/>
      <c r="E45" s="465"/>
      <c r="F45" s="465" t="str">
        <f>$A$5</f>
        <v>GR</v>
      </c>
      <c r="G45" s="465"/>
      <c r="H45" s="465"/>
      <c r="I45" s="433" t="s">
        <v>118</v>
      </c>
      <c r="J45" s="192"/>
      <c r="K45" s="193">
        <v>15</v>
      </c>
      <c r="L45" s="194" t="s">
        <v>61</v>
      </c>
      <c r="M45" s="195">
        <f>K45*B45/500</f>
        <v>25.23</v>
      </c>
      <c r="N45" s="196"/>
      <c r="O45" s="195"/>
      <c r="P45" s="197" t="s">
        <v>10</v>
      </c>
      <c r="Q45" s="435"/>
      <c r="R45" s="195"/>
      <c r="S45" s="197" t="s">
        <v>10</v>
      </c>
      <c r="T45" s="198">
        <f t="shared" si="3"/>
        <v>-25.23</v>
      </c>
      <c r="U45" s="199"/>
      <c r="V45" s="200"/>
      <c r="W45" s="195"/>
      <c r="X45" s="195"/>
      <c r="Y45" s="437" t="s">
        <v>94</v>
      </c>
      <c r="Z45" s="201"/>
      <c r="AA45" s="202"/>
      <c r="AB45" s="360"/>
    </row>
    <row r="46" spans="1:32" s="206" customFormat="1" ht="69.95" customHeight="1" x14ac:dyDescent="0.15">
      <c r="A46" s="612"/>
      <c r="B46" s="204">
        <f>$I$6</f>
        <v>0</v>
      </c>
      <c r="C46" s="453">
        <f>$A$6</f>
        <v>0</v>
      </c>
      <c r="D46" s="454"/>
      <c r="E46" s="455"/>
      <c r="F46" s="453">
        <f>$A$6</f>
        <v>0</v>
      </c>
      <c r="G46" s="454"/>
      <c r="H46" s="455"/>
      <c r="I46" s="434"/>
      <c r="J46" s="218"/>
      <c r="K46" s="193">
        <v>15</v>
      </c>
      <c r="L46" s="219" t="s">
        <v>61</v>
      </c>
      <c r="M46" s="195">
        <f>K46*B46/500</f>
        <v>0</v>
      </c>
      <c r="N46" s="220"/>
      <c r="O46" s="221"/>
      <c r="P46" s="219" t="s">
        <v>10</v>
      </c>
      <c r="Q46" s="436"/>
      <c r="R46" s="222"/>
      <c r="S46" s="215" t="s">
        <v>10</v>
      </c>
      <c r="T46" s="205">
        <f t="shared" si="3"/>
        <v>0</v>
      </c>
      <c r="U46" s="223"/>
      <c r="V46" s="223"/>
      <c r="W46" s="224"/>
      <c r="X46" s="225"/>
      <c r="Y46" s="438"/>
      <c r="Z46" s="226"/>
      <c r="AA46" s="227"/>
      <c r="AB46" s="362"/>
      <c r="AC46" s="567"/>
      <c r="AD46" s="568"/>
      <c r="AE46" s="568"/>
      <c r="AF46" s="568"/>
    </row>
    <row r="47" spans="1:32" s="55" customFormat="1" ht="69.95" customHeight="1" x14ac:dyDescent="0.15">
      <c r="A47" s="611" t="s">
        <v>173</v>
      </c>
      <c r="B47" s="191">
        <f t="shared" ref="B47" si="10">$I$5</f>
        <v>841</v>
      </c>
      <c r="C47" s="422" t="str">
        <f t="shared" ref="C47" si="11">$A$5</f>
        <v>GR</v>
      </c>
      <c r="D47" s="423"/>
      <c r="E47" s="424"/>
      <c r="F47" s="425"/>
      <c r="G47" s="423"/>
      <c r="H47" s="424"/>
      <c r="I47" s="433" t="s">
        <v>174</v>
      </c>
      <c r="J47" s="192"/>
      <c r="K47" s="193">
        <v>1</v>
      </c>
      <c r="L47" s="194" t="s">
        <v>65</v>
      </c>
      <c r="M47" s="195">
        <f t="shared" ref="M47:M48" si="12">K47*B47</f>
        <v>841</v>
      </c>
      <c r="N47" s="196"/>
      <c r="O47" s="195"/>
      <c r="P47" s="194" t="s">
        <v>65</v>
      </c>
      <c r="Q47" s="435"/>
      <c r="R47" s="195"/>
      <c r="S47" s="194" t="s">
        <v>65</v>
      </c>
      <c r="T47" s="205">
        <f t="shared" si="3"/>
        <v>-841</v>
      </c>
      <c r="U47" s="199"/>
      <c r="V47" s="199"/>
      <c r="W47" s="208"/>
      <c r="X47" s="198"/>
      <c r="Y47" s="437" t="s">
        <v>57</v>
      </c>
      <c r="Z47" s="231"/>
      <c r="AA47" s="232"/>
      <c r="AB47" s="360"/>
    </row>
    <row r="48" spans="1:32" s="55" customFormat="1" ht="69.95" customHeight="1" x14ac:dyDescent="0.15">
      <c r="A48" s="612"/>
      <c r="B48" s="204">
        <f>$I$6</f>
        <v>0</v>
      </c>
      <c r="C48" s="453">
        <f>$A$6</f>
        <v>0</v>
      </c>
      <c r="D48" s="454"/>
      <c r="E48" s="455"/>
      <c r="F48" s="425"/>
      <c r="G48" s="423"/>
      <c r="H48" s="424"/>
      <c r="I48" s="434"/>
      <c r="J48" s="192"/>
      <c r="K48" s="193">
        <v>1</v>
      </c>
      <c r="L48" s="194" t="s">
        <v>65</v>
      </c>
      <c r="M48" s="195">
        <f t="shared" si="12"/>
        <v>0</v>
      </c>
      <c r="N48" s="233"/>
      <c r="O48" s="195"/>
      <c r="P48" s="194" t="s">
        <v>65</v>
      </c>
      <c r="Q48" s="561"/>
      <c r="R48" s="195"/>
      <c r="S48" s="194" t="s">
        <v>65</v>
      </c>
      <c r="T48" s="198">
        <f t="shared" si="3"/>
        <v>0</v>
      </c>
      <c r="U48" s="199"/>
      <c r="V48" s="200"/>
      <c r="W48" s="195"/>
      <c r="X48" s="195"/>
      <c r="Y48" s="438"/>
      <c r="Z48" s="201"/>
      <c r="AA48" s="202"/>
      <c r="AB48" s="361"/>
      <c r="AC48" s="142"/>
      <c r="AD48" s="179"/>
      <c r="AE48" s="179"/>
      <c r="AF48" s="179"/>
    </row>
    <row r="49" spans="1:32" s="55" customFormat="1" ht="69.95" customHeight="1" x14ac:dyDescent="0.15">
      <c r="A49" s="431" t="s">
        <v>409</v>
      </c>
      <c r="B49" s="182">
        <f t="shared" ref="B49:B53" si="13">$I$5</f>
        <v>841</v>
      </c>
      <c r="C49" s="368" t="str">
        <f t="shared" ref="C49:C53" si="14">$A$5</f>
        <v>GR</v>
      </c>
      <c r="D49" s="369"/>
      <c r="E49" s="370"/>
      <c r="F49" s="428" t="s">
        <v>408</v>
      </c>
      <c r="G49" s="429"/>
      <c r="H49" s="430"/>
      <c r="I49" s="441" t="s">
        <v>113</v>
      </c>
      <c r="J49" s="76"/>
      <c r="K49" s="139">
        <v>13</v>
      </c>
      <c r="L49" s="77" t="s">
        <v>63</v>
      </c>
      <c r="M49" s="78">
        <f t="shared" si="4"/>
        <v>10933</v>
      </c>
      <c r="N49" s="79"/>
      <c r="O49" s="78"/>
      <c r="P49" s="80" t="s">
        <v>63</v>
      </c>
      <c r="Q49" s="443"/>
      <c r="R49" s="78"/>
      <c r="S49" s="80" t="s">
        <v>63</v>
      </c>
      <c r="T49" s="84">
        <f t="shared" si="3"/>
        <v>-10933</v>
      </c>
      <c r="U49" s="82"/>
      <c r="V49" s="82"/>
      <c r="W49" s="83"/>
      <c r="X49" s="81"/>
      <c r="Y49" s="445" t="s">
        <v>64</v>
      </c>
      <c r="Z49" s="86"/>
      <c r="AA49" s="85"/>
      <c r="AB49" s="360"/>
    </row>
    <row r="50" spans="1:32" s="55" customFormat="1" ht="69.95" customHeight="1" x14ac:dyDescent="0.15">
      <c r="A50" s="432"/>
      <c r="B50" s="186">
        <f>$I$6</f>
        <v>0</v>
      </c>
      <c r="C50" s="368">
        <f>$A$6</f>
        <v>0</v>
      </c>
      <c r="D50" s="369"/>
      <c r="E50" s="370"/>
      <c r="F50" s="428" t="s">
        <v>408</v>
      </c>
      <c r="G50" s="429"/>
      <c r="H50" s="430"/>
      <c r="I50" s="442"/>
      <c r="J50" s="76"/>
      <c r="K50" s="139">
        <v>13</v>
      </c>
      <c r="L50" s="77" t="s">
        <v>63</v>
      </c>
      <c r="M50" s="78">
        <f t="shared" si="4"/>
        <v>0</v>
      </c>
      <c r="N50" s="140"/>
      <c r="O50" s="78"/>
      <c r="P50" s="80" t="s">
        <v>63</v>
      </c>
      <c r="Q50" s="447"/>
      <c r="R50" s="78"/>
      <c r="S50" s="80" t="s">
        <v>63</v>
      </c>
      <c r="T50" s="81">
        <f t="shared" si="3"/>
        <v>0</v>
      </c>
      <c r="U50" s="82"/>
      <c r="V50" s="137"/>
      <c r="W50" s="78"/>
      <c r="X50" s="78"/>
      <c r="Y50" s="446"/>
      <c r="Z50" s="141"/>
      <c r="AA50" s="135"/>
      <c r="AB50" s="361"/>
      <c r="AC50" s="142"/>
      <c r="AD50" s="179"/>
      <c r="AE50" s="179"/>
      <c r="AF50" s="179"/>
    </row>
    <row r="51" spans="1:32" s="55" customFormat="1" ht="69.95" customHeight="1" x14ac:dyDescent="0.15">
      <c r="A51" s="611" t="s">
        <v>397</v>
      </c>
      <c r="B51" s="191">
        <f t="shared" si="13"/>
        <v>841</v>
      </c>
      <c r="C51" s="422" t="str">
        <f t="shared" si="14"/>
        <v>GR</v>
      </c>
      <c r="D51" s="423"/>
      <c r="E51" s="424"/>
      <c r="F51" s="425"/>
      <c r="G51" s="426"/>
      <c r="H51" s="427"/>
      <c r="I51" s="433" t="s">
        <v>79</v>
      </c>
      <c r="J51" s="192"/>
      <c r="K51" s="209">
        <v>2</v>
      </c>
      <c r="L51" s="194" t="s">
        <v>386</v>
      </c>
      <c r="M51" s="195">
        <f t="shared" si="4"/>
        <v>1682</v>
      </c>
      <c r="N51" s="233"/>
      <c r="O51" s="195"/>
      <c r="P51" s="197"/>
      <c r="Q51" s="561"/>
      <c r="R51" s="195"/>
      <c r="S51" s="197"/>
      <c r="T51" s="205">
        <f t="shared" si="3"/>
        <v>-1682</v>
      </c>
      <c r="U51" s="199"/>
      <c r="V51" s="200"/>
      <c r="W51" s="195"/>
      <c r="X51" s="195"/>
      <c r="Y51" s="437"/>
      <c r="Z51" s="231"/>
      <c r="AA51" s="232"/>
      <c r="AB51" s="361"/>
      <c r="AC51" s="142"/>
      <c r="AD51" s="179"/>
      <c r="AE51" s="179"/>
      <c r="AF51" s="179"/>
    </row>
    <row r="52" spans="1:32" s="55" customFormat="1" ht="69.95" customHeight="1" x14ac:dyDescent="0.15">
      <c r="A52" s="612"/>
      <c r="B52" s="204">
        <f>$I$6</f>
        <v>0</v>
      </c>
      <c r="C52" s="422">
        <f>$A$6</f>
        <v>0</v>
      </c>
      <c r="D52" s="423"/>
      <c r="E52" s="424"/>
      <c r="F52" s="425"/>
      <c r="G52" s="426"/>
      <c r="H52" s="427"/>
      <c r="I52" s="434"/>
      <c r="J52" s="192"/>
      <c r="K52" s="209">
        <v>2</v>
      </c>
      <c r="L52" s="194" t="s">
        <v>386</v>
      </c>
      <c r="M52" s="195">
        <f t="shared" si="4"/>
        <v>0</v>
      </c>
      <c r="N52" s="233"/>
      <c r="O52" s="195"/>
      <c r="P52" s="197"/>
      <c r="Q52" s="561"/>
      <c r="R52" s="195"/>
      <c r="S52" s="197"/>
      <c r="T52" s="205">
        <f t="shared" si="3"/>
        <v>0</v>
      </c>
      <c r="U52" s="199"/>
      <c r="V52" s="200"/>
      <c r="W52" s="195"/>
      <c r="X52" s="195"/>
      <c r="Y52" s="438"/>
      <c r="Z52" s="231"/>
      <c r="AA52" s="232"/>
      <c r="AB52" s="361"/>
      <c r="AC52" s="142"/>
      <c r="AD52" s="179"/>
      <c r="AE52" s="179"/>
      <c r="AF52" s="179"/>
    </row>
    <row r="53" spans="1:32" s="55" customFormat="1" ht="69.95" customHeight="1" x14ac:dyDescent="0.15">
      <c r="A53" s="611" t="s">
        <v>385</v>
      </c>
      <c r="B53" s="191">
        <f t="shared" si="13"/>
        <v>841</v>
      </c>
      <c r="C53" s="422" t="str">
        <f t="shared" si="14"/>
        <v>GR</v>
      </c>
      <c r="D53" s="423"/>
      <c r="E53" s="424"/>
      <c r="F53" s="425"/>
      <c r="G53" s="426"/>
      <c r="H53" s="427"/>
      <c r="I53" s="433" t="s">
        <v>384</v>
      </c>
      <c r="J53" s="192"/>
      <c r="K53" s="304">
        <v>0.9</v>
      </c>
      <c r="L53" s="194" t="s">
        <v>63</v>
      </c>
      <c r="M53" s="195">
        <f t="shared" si="4"/>
        <v>756.9</v>
      </c>
      <c r="N53" s="196"/>
      <c r="O53" s="195"/>
      <c r="P53" s="197" t="s">
        <v>63</v>
      </c>
      <c r="Q53" s="307"/>
      <c r="R53" s="195"/>
      <c r="S53" s="197" t="s">
        <v>63</v>
      </c>
      <c r="T53" s="205">
        <f t="shared" si="3"/>
        <v>-756.9</v>
      </c>
      <c r="U53" s="199"/>
      <c r="V53" s="199"/>
      <c r="W53" s="208"/>
      <c r="X53" s="198"/>
      <c r="Y53" s="437" t="s">
        <v>64</v>
      </c>
      <c r="Z53" s="231"/>
      <c r="AA53" s="85"/>
      <c r="AB53" s="361"/>
    </row>
    <row r="54" spans="1:32" s="55" customFormat="1" ht="69.95" customHeight="1" x14ac:dyDescent="0.15">
      <c r="A54" s="612"/>
      <c r="B54" s="204">
        <f>$I$6</f>
        <v>0</v>
      </c>
      <c r="C54" s="422">
        <f>$A$6</f>
        <v>0</v>
      </c>
      <c r="D54" s="423"/>
      <c r="E54" s="424"/>
      <c r="F54" s="425"/>
      <c r="G54" s="426"/>
      <c r="H54" s="427"/>
      <c r="I54" s="434"/>
      <c r="J54" s="192"/>
      <c r="K54" s="304">
        <v>0.9</v>
      </c>
      <c r="L54" s="194" t="s">
        <v>63</v>
      </c>
      <c r="M54" s="195">
        <f t="shared" si="4"/>
        <v>0</v>
      </c>
      <c r="N54" s="233"/>
      <c r="O54" s="195"/>
      <c r="P54" s="197" t="s">
        <v>63</v>
      </c>
      <c r="Q54" s="341"/>
      <c r="R54" s="195"/>
      <c r="S54" s="197" t="s">
        <v>63</v>
      </c>
      <c r="T54" s="198">
        <f t="shared" si="3"/>
        <v>0</v>
      </c>
      <c r="U54" s="199"/>
      <c r="V54" s="200"/>
      <c r="W54" s="195"/>
      <c r="X54" s="195"/>
      <c r="Y54" s="438"/>
      <c r="Z54" s="201"/>
      <c r="AA54" s="135"/>
      <c r="AB54" s="362"/>
      <c r="AC54" s="142"/>
      <c r="AD54" s="179"/>
      <c r="AE54" s="179"/>
      <c r="AF54" s="179"/>
    </row>
    <row r="55" spans="1:32" s="55" customFormat="1" ht="54.95" customHeight="1" x14ac:dyDescent="0.15">
      <c r="A55" s="386" t="s">
        <v>66</v>
      </c>
      <c r="B55" s="87">
        <f>C11</f>
        <v>400</v>
      </c>
      <c r="C55" s="389" t="e">
        <f>#REF!</f>
        <v>#REF!</v>
      </c>
      <c r="D55" s="390"/>
      <c r="E55" s="391"/>
      <c r="F55" s="368" t="s">
        <v>98</v>
      </c>
      <c r="G55" s="369"/>
      <c r="H55" s="370"/>
      <c r="I55" s="623" t="s">
        <v>410</v>
      </c>
      <c r="J55" s="75"/>
      <c r="K55" s="139">
        <v>1</v>
      </c>
      <c r="L55" s="77" t="s">
        <v>63</v>
      </c>
      <c r="M55" s="88">
        <f t="shared" si="4"/>
        <v>400</v>
      </c>
      <c r="N55" s="89"/>
      <c r="O55" s="153"/>
      <c r="P55" s="88" t="s">
        <v>63</v>
      </c>
      <c r="Q55" s="443">
        <v>46207</v>
      </c>
      <c r="R55" s="153">
        <v>841</v>
      </c>
      <c r="S55" s="88" t="s">
        <v>63</v>
      </c>
      <c r="T55" s="154">
        <f t="shared" si="3"/>
        <v>441</v>
      </c>
      <c r="U55" s="129"/>
      <c r="V55" s="155"/>
      <c r="W55" s="154"/>
      <c r="X55" s="154"/>
      <c r="Y55" s="401" t="s">
        <v>72</v>
      </c>
      <c r="Z55" s="401"/>
      <c r="AA55" s="401"/>
      <c r="AB55" s="579" t="s">
        <v>478</v>
      </c>
    </row>
    <row r="56" spans="1:32" s="55" customFormat="1" ht="54.95" customHeight="1" x14ac:dyDescent="0.15">
      <c r="A56" s="387"/>
      <c r="B56" s="87">
        <f>D11</f>
        <v>350</v>
      </c>
      <c r="C56" s="392"/>
      <c r="D56" s="393"/>
      <c r="E56" s="394"/>
      <c r="F56" s="368" t="s">
        <v>98</v>
      </c>
      <c r="G56" s="369"/>
      <c r="H56" s="370"/>
      <c r="I56" s="624"/>
      <c r="J56" s="75"/>
      <c r="K56" s="156">
        <v>1</v>
      </c>
      <c r="L56" s="77" t="s">
        <v>63</v>
      </c>
      <c r="M56" s="88">
        <f t="shared" si="4"/>
        <v>350</v>
      </c>
      <c r="N56" s="89"/>
      <c r="O56" s="153"/>
      <c r="P56" s="88" t="s">
        <v>63</v>
      </c>
      <c r="Q56" s="447"/>
      <c r="R56" s="153"/>
      <c r="S56" s="88" t="s">
        <v>63</v>
      </c>
      <c r="T56" s="154">
        <f t="shared" si="3"/>
        <v>-350</v>
      </c>
      <c r="U56" s="129"/>
      <c r="V56" s="155"/>
      <c r="W56" s="154"/>
      <c r="X56" s="154"/>
      <c r="Y56" s="402"/>
      <c r="Z56" s="402"/>
      <c r="AA56" s="402"/>
      <c r="AB56" s="580"/>
    </row>
    <row r="57" spans="1:32" s="55" customFormat="1" ht="54.95" customHeight="1" x14ac:dyDescent="0.15">
      <c r="A57" s="387"/>
      <c r="B57" s="87">
        <f>E11</f>
        <v>91</v>
      </c>
      <c r="C57" s="392"/>
      <c r="D57" s="393"/>
      <c r="E57" s="394"/>
      <c r="F57" s="368" t="s">
        <v>98</v>
      </c>
      <c r="G57" s="369"/>
      <c r="H57" s="370"/>
      <c r="I57" s="624"/>
      <c r="J57" s="75"/>
      <c r="K57" s="156">
        <v>1</v>
      </c>
      <c r="L57" s="77" t="s">
        <v>63</v>
      </c>
      <c r="M57" s="88">
        <f t="shared" si="4"/>
        <v>91</v>
      </c>
      <c r="N57" s="89"/>
      <c r="O57" s="153"/>
      <c r="P57" s="88" t="s">
        <v>63</v>
      </c>
      <c r="Q57" s="447"/>
      <c r="R57" s="153"/>
      <c r="S57" s="88" t="s">
        <v>63</v>
      </c>
      <c r="T57" s="154">
        <f t="shared" si="3"/>
        <v>-91</v>
      </c>
      <c r="U57" s="129"/>
      <c r="V57" s="155"/>
      <c r="W57" s="154"/>
      <c r="X57" s="154"/>
      <c r="Y57" s="402"/>
      <c r="Z57" s="402"/>
      <c r="AA57" s="402"/>
      <c r="AB57" s="580"/>
    </row>
    <row r="58" spans="1:32" s="55" customFormat="1" ht="54.95" customHeight="1" x14ac:dyDescent="0.15">
      <c r="A58" s="387"/>
      <c r="B58" s="87">
        <f>F11</f>
        <v>0</v>
      </c>
      <c r="C58" s="392"/>
      <c r="D58" s="393"/>
      <c r="E58" s="394"/>
      <c r="F58" s="368" t="s">
        <v>98</v>
      </c>
      <c r="G58" s="369"/>
      <c r="H58" s="370"/>
      <c r="I58" s="624"/>
      <c r="J58" s="75"/>
      <c r="K58" s="156">
        <v>1</v>
      </c>
      <c r="L58" s="77" t="s">
        <v>63</v>
      </c>
      <c r="M58" s="88">
        <f t="shared" si="4"/>
        <v>0</v>
      </c>
      <c r="N58" s="89"/>
      <c r="O58" s="153"/>
      <c r="P58" s="88" t="s">
        <v>63</v>
      </c>
      <c r="Q58" s="447"/>
      <c r="R58" s="153"/>
      <c r="S58" s="88" t="s">
        <v>63</v>
      </c>
      <c r="T58" s="154">
        <f t="shared" si="3"/>
        <v>0</v>
      </c>
      <c r="U58" s="129"/>
      <c r="V58" s="155"/>
      <c r="W58" s="154"/>
      <c r="X58" s="154"/>
      <c r="Y58" s="402"/>
      <c r="Z58" s="402"/>
      <c r="AA58" s="402"/>
      <c r="AB58" s="580"/>
    </row>
    <row r="59" spans="1:32" s="55" customFormat="1" ht="54.95" customHeight="1" x14ac:dyDescent="0.15">
      <c r="A59" s="388"/>
      <c r="B59" s="87">
        <f>G11</f>
        <v>0</v>
      </c>
      <c r="C59" s="395"/>
      <c r="D59" s="396"/>
      <c r="E59" s="397"/>
      <c r="F59" s="368" t="s">
        <v>98</v>
      </c>
      <c r="G59" s="369"/>
      <c r="H59" s="370"/>
      <c r="I59" s="625"/>
      <c r="J59" s="75"/>
      <c r="K59" s="156">
        <v>1</v>
      </c>
      <c r="L59" s="77" t="s">
        <v>63</v>
      </c>
      <c r="M59" s="88">
        <f t="shared" si="4"/>
        <v>0</v>
      </c>
      <c r="N59" s="89"/>
      <c r="O59" s="153"/>
      <c r="P59" s="88" t="s">
        <v>63</v>
      </c>
      <c r="Q59" s="444"/>
      <c r="R59" s="153"/>
      <c r="S59" s="88" t="s">
        <v>63</v>
      </c>
      <c r="T59" s="154">
        <f t="shared" si="3"/>
        <v>0</v>
      </c>
      <c r="U59" s="129"/>
      <c r="V59" s="155"/>
      <c r="W59" s="154"/>
      <c r="X59" s="154"/>
      <c r="Y59" s="403"/>
      <c r="Z59" s="403"/>
      <c r="AA59" s="403"/>
      <c r="AB59" s="581"/>
    </row>
    <row r="60" spans="1:32" s="55" customFormat="1" ht="54.95" customHeight="1" x14ac:dyDescent="0.15">
      <c r="A60" s="386" t="s">
        <v>399</v>
      </c>
      <c r="B60" s="87">
        <f>C5</f>
        <v>400</v>
      </c>
      <c r="C60" s="461" t="str">
        <f>A5</f>
        <v>GR</v>
      </c>
      <c r="D60" s="461"/>
      <c r="E60" s="461"/>
      <c r="F60" s="368"/>
      <c r="G60" s="369"/>
      <c r="H60" s="370"/>
      <c r="I60" s="152"/>
      <c r="J60" s="152"/>
      <c r="K60" s="156">
        <v>1</v>
      </c>
      <c r="L60" s="77" t="s">
        <v>63</v>
      </c>
      <c r="M60" s="88">
        <f t="shared" si="4"/>
        <v>400</v>
      </c>
      <c r="N60" s="89"/>
      <c r="O60" s="153"/>
      <c r="P60" s="88" t="s">
        <v>63</v>
      </c>
      <c r="Q60" s="443">
        <v>46207</v>
      </c>
      <c r="R60" s="153">
        <v>841</v>
      </c>
      <c r="S60" s="88" t="s">
        <v>63</v>
      </c>
      <c r="T60" s="154">
        <f t="shared" si="3"/>
        <v>441</v>
      </c>
      <c r="U60" s="157"/>
      <c r="V60" s="158"/>
      <c r="W60" s="154"/>
      <c r="X60" s="154"/>
      <c r="Y60" s="582" t="s">
        <v>72</v>
      </c>
      <c r="Z60" s="582"/>
      <c r="AA60" s="582"/>
      <c r="AB60" s="579" t="s">
        <v>478</v>
      </c>
    </row>
    <row r="61" spans="1:32" s="55" customFormat="1" ht="54.95" customHeight="1" x14ac:dyDescent="0.15">
      <c r="A61" s="387"/>
      <c r="B61" s="87">
        <f>D5</f>
        <v>350</v>
      </c>
      <c r="C61" s="461"/>
      <c r="D61" s="461"/>
      <c r="E61" s="461"/>
      <c r="F61" s="368"/>
      <c r="G61" s="369"/>
      <c r="H61" s="370"/>
      <c r="I61" s="152"/>
      <c r="J61" s="152"/>
      <c r="K61" s="156">
        <v>1</v>
      </c>
      <c r="L61" s="77" t="s">
        <v>63</v>
      </c>
      <c r="M61" s="88">
        <f t="shared" si="4"/>
        <v>350</v>
      </c>
      <c r="N61" s="89"/>
      <c r="O61" s="153"/>
      <c r="P61" s="88" t="s">
        <v>63</v>
      </c>
      <c r="Q61" s="447"/>
      <c r="R61" s="153"/>
      <c r="S61" s="88" t="s">
        <v>63</v>
      </c>
      <c r="T61" s="154">
        <f t="shared" si="3"/>
        <v>-350</v>
      </c>
      <c r="U61" s="157"/>
      <c r="V61" s="158"/>
      <c r="W61" s="154"/>
      <c r="X61" s="154"/>
      <c r="Y61" s="582"/>
      <c r="Z61" s="582"/>
      <c r="AA61" s="582"/>
      <c r="AB61" s="580"/>
    </row>
    <row r="62" spans="1:32" s="55" customFormat="1" ht="54.95" customHeight="1" x14ac:dyDescent="0.15">
      <c r="A62" s="387"/>
      <c r="B62" s="87">
        <f>E5</f>
        <v>91</v>
      </c>
      <c r="C62" s="461"/>
      <c r="D62" s="461"/>
      <c r="E62" s="461"/>
      <c r="F62" s="368"/>
      <c r="G62" s="369"/>
      <c r="H62" s="370"/>
      <c r="I62" s="152"/>
      <c r="J62" s="152"/>
      <c r="K62" s="156">
        <v>1</v>
      </c>
      <c r="L62" s="77" t="s">
        <v>63</v>
      </c>
      <c r="M62" s="88">
        <f t="shared" si="4"/>
        <v>91</v>
      </c>
      <c r="N62" s="89"/>
      <c r="O62" s="153"/>
      <c r="P62" s="88" t="s">
        <v>63</v>
      </c>
      <c r="Q62" s="447"/>
      <c r="R62" s="153"/>
      <c r="S62" s="88" t="s">
        <v>63</v>
      </c>
      <c r="T62" s="154">
        <f t="shared" si="3"/>
        <v>-91</v>
      </c>
      <c r="U62" s="157"/>
      <c r="V62" s="158"/>
      <c r="W62" s="154"/>
      <c r="X62" s="154"/>
      <c r="Y62" s="582"/>
      <c r="Z62" s="582"/>
      <c r="AA62" s="582"/>
      <c r="AB62" s="580"/>
    </row>
    <row r="63" spans="1:32" s="55" customFormat="1" ht="54.95" customHeight="1" x14ac:dyDescent="0.15">
      <c r="A63" s="387"/>
      <c r="B63" s="87">
        <f>C6</f>
        <v>0</v>
      </c>
      <c r="C63" s="461">
        <f>A6</f>
        <v>0</v>
      </c>
      <c r="D63" s="461"/>
      <c r="E63" s="461"/>
      <c r="F63" s="368"/>
      <c r="G63" s="369"/>
      <c r="H63" s="370"/>
      <c r="I63" s="152"/>
      <c r="J63" s="152"/>
      <c r="K63" s="156">
        <v>1</v>
      </c>
      <c r="L63" s="77" t="s">
        <v>63</v>
      </c>
      <c r="M63" s="88">
        <f t="shared" si="4"/>
        <v>0</v>
      </c>
      <c r="N63" s="89"/>
      <c r="O63" s="153"/>
      <c r="P63" s="88" t="s">
        <v>63</v>
      </c>
      <c r="Q63" s="447"/>
      <c r="R63" s="77"/>
      <c r="S63" s="88" t="s">
        <v>63</v>
      </c>
      <c r="T63" s="154">
        <f t="shared" si="3"/>
        <v>0</v>
      </c>
      <c r="U63" s="157"/>
      <c r="V63" s="158"/>
      <c r="W63" s="154"/>
      <c r="X63" s="154"/>
      <c r="Y63" s="582" t="s">
        <v>72</v>
      </c>
      <c r="Z63" s="582"/>
      <c r="AA63" s="582"/>
      <c r="AB63" s="580"/>
    </row>
    <row r="64" spans="1:32" s="55" customFormat="1" ht="54.95" customHeight="1" x14ac:dyDescent="0.15">
      <c r="A64" s="387"/>
      <c r="B64" s="87">
        <f>D6</f>
        <v>0</v>
      </c>
      <c r="C64" s="461"/>
      <c r="D64" s="461"/>
      <c r="E64" s="461"/>
      <c r="F64" s="368"/>
      <c r="G64" s="369"/>
      <c r="H64" s="370"/>
      <c r="I64" s="152"/>
      <c r="J64" s="152"/>
      <c r="K64" s="156">
        <v>1</v>
      </c>
      <c r="L64" s="77" t="s">
        <v>63</v>
      </c>
      <c r="M64" s="88">
        <f t="shared" si="4"/>
        <v>0</v>
      </c>
      <c r="N64" s="89"/>
      <c r="O64" s="153"/>
      <c r="P64" s="88" t="s">
        <v>63</v>
      </c>
      <c r="Q64" s="447"/>
      <c r="R64" s="77"/>
      <c r="S64" s="88" t="s">
        <v>63</v>
      </c>
      <c r="T64" s="154">
        <f t="shared" si="3"/>
        <v>0</v>
      </c>
      <c r="U64" s="157"/>
      <c r="V64" s="158"/>
      <c r="W64" s="154"/>
      <c r="X64" s="154"/>
      <c r="Y64" s="582"/>
      <c r="Z64" s="582"/>
      <c r="AA64" s="582"/>
      <c r="AB64" s="580"/>
    </row>
    <row r="65" spans="1:28" s="55" customFormat="1" ht="54.95" customHeight="1" x14ac:dyDescent="0.15">
      <c r="A65" s="387"/>
      <c r="B65" s="87">
        <f>E6</f>
        <v>0</v>
      </c>
      <c r="C65" s="461"/>
      <c r="D65" s="461"/>
      <c r="E65" s="461"/>
      <c r="F65" s="368"/>
      <c r="G65" s="369"/>
      <c r="H65" s="370"/>
      <c r="I65" s="152"/>
      <c r="J65" s="152"/>
      <c r="K65" s="156">
        <v>1</v>
      </c>
      <c r="L65" s="77" t="s">
        <v>63</v>
      </c>
      <c r="M65" s="88">
        <f t="shared" si="4"/>
        <v>0</v>
      </c>
      <c r="N65" s="89"/>
      <c r="O65" s="153"/>
      <c r="P65" s="88" t="s">
        <v>63</v>
      </c>
      <c r="Q65" s="447"/>
      <c r="R65" s="153"/>
      <c r="S65" s="88" t="s">
        <v>63</v>
      </c>
      <c r="T65" s="154">
        <f>R65-M65</f>
        <v>0</v>
      </c>
      <c r="U65" s="157"/>
      <c r="V65" s="158"/>
      <c r="W65" s="154"/>
      <c r="X65" s="154"/>
      <c r="Y65" s="582"/>
      <c r="Z65" s="582"/>
      <c r="AA65" s="582"/>
      <c r="AB65" s="580"/>
    </row>
    <row r="66" spans="1:28" s="55" customFormat="1" ht="54.95" customHeight="1" x14ac:dyDescent="0.15">
      <c r="A66" s="387"/>
      <c r="B66" s="87">
        <f>C7</f>
        <v>0</v>
      </c>
      <c r="C66" s="392">
        <f>A7</f>
        <v>0</v>
      </c>
      <c r="D66" s="393"/>
      <c r="E66" s="394"/>
      <c r="F66" s="368"/>
      <c r="G66" s="369"/>
      <c r="H66" s="370"/>
      <c r="I66" s="152"/>
      <c r="J66" s="152"/>
      <c r="K66" s="156">
        <v>1</v>
      </c>
      <c r="L66" s="77" t="s">
        <v>63</v>
      </c>
      <c r="M66" s="88">
        <f t="shared" si="4"/>
        <v>0</v>
      </c>
      <c r="N66" s="89"/>
      <c r="O66" s="153"/>
      <c r="P66" s="88" t="s">
        <v>63</v>
      </c>
      <c r="Q66" s="447"/>
      <c r="R66" s="153"/>
      <c r="S66" s="88" t="s">
        <v>63</v>
      </c>
      <c r="T66" s="154">
        <f>R66-M66</f>
        <v>0</v>
      </c>
      <c r="U66" s="157"/>
      <c r="V66" s="158"/>
      <c r="W66" s="154"/>
      <c r="X66" s="154"/>
      <c r="Y66" s="582" t="s">
        <v>72</v>
      </c>
      <c r="Z66" s="582"/>
      <c r="AA66" s="582"/>
      <c r="AB66" s="580"/>
    </row>
    <row r="67" spans="1:28" s="55" customFormat="1" ht="54.95" customHeight="1" x14ac:dyDescent="0.15">
      <c r="A67" s="387"/>
      <c r="B67" s="87">
        <f>D7</f>
        <v>0</v>
      </c>
      <c r="C67" s="392"/>
      <c r="D67" s="393"/>
      <c r="E67" s="394"/>
      <c r="F67" s="368"/>
      <c r="G67" s="369"/>
      <c r="H67" s="370"/>
      <c r="I67" s="152"/>
      <c r="J67" s="152"/>
      <c r="K67" s="156">
        <v>1</v>
      </c>
      <c r="L67" s="77" t="s">
        <v>63</v>
      </c>
      <c r="M67" s="88">
        <f t="shared" si="4"/>
        <v>0</v>
      </c>
      <c r="N67" s="89"/>
      <c r="O67" s="153"/>
      <c r="P67" s="88" t="s">
        <v>63</v>
      </c>
      <c r="Q67" s="447"/>
      <c r="R67" s="153"/>
      <c r="S67" s="88" t="s">
        <v>63</v>
      </c>
      <c r="T67" s="154">
        <f>R67-M67</f>
        <v>0</v>
      </c>
      <c r="U67" s="157"/>
      <c r="V67" s="158"/>
      <c r="W67" s="154"/>
      <c r="X67" s="154"/>
      <c r="Y67" s="582"/>
      <c r="Z67" s="582"/>
      <c r="AA67" s="582"/>
      <c r="AB67" s="580"/>
    </row>
    <row r="68" spans="1:28" s="55" customFormat="1" ht="54.95" customHeight="1" x14ac:dyDescent="0.15">
      <c r="A68" s="387"/>
      <c r="B68" s="87">
        <f>E7</f>
        <v>0</v>
      </c>
      <c r="C68" s="392"/>
      <c r="D68" s="393"/>
      <c r="E68" s="394"/>
      <c r="F68" s="368"/>
      <c r="G68" s="369"/>
      <c r="H68" s="370"/>
      <c r="I68" s="152"/>
      <c r="J68" s="152"/>
      <c r="K68" s="156">
        <v>1</v>
      </c>
      <c r="L68" s="77" t="s">
        <v>63</v>
      </c>
      <c r="M68" s="88">
        <f t="shared" si="4"/>
        <v>0</v>
      </c>
      <c r="N68" s="89"/>
      <c r="O68" s="153"/>
      <c r="P68" s="88" t="s">
        <v>63</v>
      </c>
      <c r="Q68" s="444"/>
      <c r="R68" s="77"/>
      <c r="S68" s="88" t="s">
        <v>63</v>
      </c>
      <c r="T68" s="154">
        <f>R68-M68</f>
        <v>0</v>
      </c>
      <c r="U68" s="157"/>
      <c r="V68" s="158"/>
      <c r="W68" s="154"/>
      <c r="X68" s="154"/>
      <c r="Y68" s="582"/>
      <c r="Z68" s="582"/>
      <c r="AA68" s="582"/>
      <c r="AB68" s="581"/>
    </row>
    <row r="69" spans="1:28" s="55" customFormat="1" ht="54.95" customHeight="1" x14ac:dyDescent="0.15">
      <c r="A69" s="386" t="s">
        <v>69</v>
      </c>
      <c r="B69" s="87">
        <f>C5</f>
        <v>400</v>
      </c>
      <c r="C69" s="461" t="str">
        <f>A5</f>
        <v>GR</v>
      </c>
      <c r="D69" s="461"/>
      <c r="E69" s="461"/>
      <c r="F69" s="368"/>
      <c r="G69" s="369"/>
      <c r="H69" s="370"/>
      <c r="I69" s="152"/>
      <c r="J69" s="152"/>
      <c r="K69" s="156">
        <v>1</v>
      </c>
      <c r="L69" s="77" t="s">
        <v>63</v>
      </c>
      <c r="M69" s="88">
        <f t="shared" si="4"/>
        <v>400</v>
      </c>
      <c r="N69" s="89"/>
      <c r="O69" s="153"/>
      <c r="P69" s="88" t="s">
        <v>63</v>
      </c>
      <c r="Q69" s="443"/>
      <c r="R69" s="153"/>
      <c r="S69" s="88" t="s">
        <v>63</v>
      </c>
      <c r="T69" s="154">
        <f t="shared" si="3"/>
        <v>-400</v>
      </c>
      <c r="U69" s="583"/>
      <c r="V69" s="158"/>
      <c r="W69" s="154"/>
      <c r="X69" s="154"/>
      <c r="Y69" s="401" t="s">
        <v>67</v>
      </c>
      <c r="Z69" s="401"/>
      <c r="AA69" s="401"/>
      <c r="AB69" s="579"/>
    </row>
    <row r="70" spans="1:28" s="55" customFormat="1" ht="54.95" customHeight="1" x14ac:dyDescent="0.15">
      <c r="A70" s="387"/>
      <c r="B70" s="87">
        <f>D5</f>
        <v>350</v>
      </c>
      <c r="C70" s="461"/>
      <c r="D70" s="461"/>
      <c r="E70" s="461"/>
      <c r="F70" s="368"/>
      <c r="G70" s="369"/>
      <c r="H70" s="370"/>
      <c r="I70" s="152"/>
      <c r="J70" s="152"/>
      <c r="K70" s="156">
        <v>1</v>
      </c>
      <c r="L70" s="77" t="s">
        <v>63</v>
      </c>
      <c r="M70" s="88">
        <f t="shared" si="4"/>
        <v>350</v>
      </c>
      <c r="N70" s="89"/>
      <c r="O70" s="153"/>
      <c r="P70" s="88" t="s">
        <v>63</v>
      </c>
      <c r="Q70" s="447"/>
      <c r="R70" s="153"/>
      <c r="S70" s="88" t="s">
        <v>63</v>
      </c>
      <c r="T70" s="154">
        <f t="shared" si="3"/>
        <v>-350</v>
      </c>
      <c r="U70" s="584"/>
      <c r="V70" s="158"/>
      <c r="W70" s="154"/>
      <c r="X70" s="154"/>
      <c r="Y70" s="402"/>
      <c r="Z70" s="402"/>
      <c r="AA70" s="402"/>
      <c r="AB70" s="580"/>
    </row>
    <row r="71" spans="1:28" s="55" customFormat="1" ht="54.95" customHeight="1" x14ac:dyDescent="0.15">
      <c r="A71" s="387"/>
      <c r="B71" s="87">
        <f>E5</f>
        <v>91</v>
      </c>
      <c r="C71" s="461"/>
      <c r="D71" s="461"/>
      <c r="E71" s="461"/>
      <c r="F71" s="368"/>
      <c r="G71" s="369"/>
      <c r="H71" s="370"/>
      <c r="I71" s="152"/>
      <c r="J71" s="152"/>
      <c r="K71" s="156">
        <v>1</v>
      </c>
      <c r="L71" s="77" t="s">
        <v>63</v>
      </c>
      <c r="M71" s="88">
        <f t="shared" si="4"/>
        <v>91</v>
      </c>
      <c r="N71" s="89"/>
      <c r="O71" s="153"/>
      <c r="P71" s="88" t="s">
        <v>63</v>
      </c>
      <c r="Q71" s="447"/>
      <c r="R71" s="153"/>
      <c r="S71" s="88" t="s">
        <v>63</v>
      </c>
      <c r="T71" s="154">
        <f t="shared" si="3"/>
        <v>-91</v>
      </c>
      <c r="U71" s="584"/>
      <c r="V71" s="158"/>
      <c r="W71" s="154"/>
      <c r="X71" s="154"/>
      <c r="Y71" s="402"/>
      <c r="Z71" s="402"/>
      <c r="AA71" s="402"/>
      <c r="AB71" s="580"/>
    </row>
    <row r="72" spans="1:28" s="55" customFormat="1" ht="54.95" customHeight="1" x14ac:dyDescent="0.15">
      <c r="A72" s="387"/>
      <c r="B72" s="87">
        <f>C6</f>
        <v>0</v>
      </c>
      <c r="C72" s="461">
        <f>A6</f>
        <v>0</v>
      </c>
      <c r="D72" s="461"/>
      <c r="E72" s="461"/>
      <c r="F72" s="368"/>
      <c r="G72" s="369"/>
      <c r="H72" s="370"/>
      <c r="I72" s="152"/>
      <c r="J72" s="152"/>
      <c r="K72" s="156">
        <v>1</v>
      </c>
      <c r="L72" s="77" t="s">
        <v>63</v>
      </c>
      <c r="M72" s="88">
        <f t="shared" si="4"/>
        <v>0</v>
      </c>
      <c r="N72" s="89"/>
      <c r="O72" s="153"/>
      <c r="P72" s="88" t="s">
        <v>63</v>
      </c>
      <c r="Q72" s="447"/>
      <c r="R72" s="77"/>
      <c r="S72" s="88" t="s">
        <v>63</v>
      </c>
      <c r="T72" s="154">
        <f t="shared" si="3"/>
        <v>0</v>
      </c>
      <c r="U72" s="584"/>
      <c r="V72" s="158"/>
      <c r="W72" s="154"/>
      <c r="X72" s="154"/>
      <c r="Y72" s="402"/>
      <c r="Z72" s="401"/>
      <c r="AA72" s="401"/>
      <c r="AB72" s="580"/>
    </row>
    <row r="73" spans="1:28" s="55" customFormat="1" ht="54.95" customHeight="1" x14ac:dyDescent="0.15">
      <c r="A73" s="387"/>
      <c r="B73" s="87">
        <f>D6</f>
        <v>0</v>
      </c>
      <c r="C73" s="461"/>
      <c r="D73" s="461"/>
      <c r="E73" s="461"/>
      <c r="F73" s="368"/>
      <c r="G73" s="369"/>
      <c r="H73" s="370"/>
      <c r="I73" s="152"/>
      <c r="J73" s="152"/>
      <c r="K73" s="156">
        <v>1</v>
      </c>
      <c r="L73" s="77" t="s">
        <v>63</v>
      </c>
      <c r="M73" s="88">
        <f t="shared" si="4"/>
        <v>0</v>
      </c>
      <c r="N73" s="89"/>
      <c r="O73" s="153"/>
      <c r="P73" s="88" t="s">
        <v>63</v>
      </c>
      <c r="Q73" s="447"/>
      <c r="R73" s="77"/>
      <c r="S73" s="88" t="s">
        <v>63</v>
      </c>
      <c r="T73" s="154">
        <f t="shared" si="3"/>
        <v>0</v>
      </c>
      <c r="U73" s="585"/>
      <c r="V73" s="158"/>
      <c r="W73" s="154"/>
      <c r="X73" s="154"/>
      <c r="Y73" s="402"/>
      <c r="Z73" s="402"/>
      <c r="AA73" s="402"/>
      <c r="AB73" s="580"/>
    </row>
    <row r="74" spans="1:28" s="55" customFormat="1" ht="54.95" customHeight="1" x14ac:dyDescent="0.15">
      <c r="A74" s="387"/>
      <c r="B74" s="87">
        <f>E6</f>
        <v>0</v>
      </c>
      <c r="C74" s="461"/>
      <c r="D74" s="461"/>
      <c r="E74" s="461"/>
      <c r="F74" s="368"/>
      <c r="G74" s="369"/>
      <c r="H74" s="370"/>
      <c r="I74" s="152"/>
      <c r="J74" s="152"/>
      <c r="K74" s="156">
        <v>1</v>
      </c>
      <c r="L74" s="77" t="s">
        <v>63</v>
      </c>
      <c r="M74" s="88">
        <f t="shared" si="4"/>
        <v>0</v>
      </c>
      <c r="N74" s="89"/>
      <c r="O74" s="153"/>
      <c r="P74" s="88" t="s">
        <v>63</v>
      </c>
      <c r="Q74" s="447"/>
      <c r="R74" s="153"/>
      <c r="S74" s="88" t="s">
        <v>63</v>
      </c>
      <c r="T74" s="154">
        <f t="shared" si="3"/>
        <v>0</v>
      </c>
      <c r="U74" s="157"/>
      <c r="V74" s="158"/>
      <c r="W74" s="154"/>
      <c r="X74" s="154"/>
      <c r="Y74" s="402"/>
      <c r="Z74" s="402"/>
      <c r="AA74" s="402"/>
      <c r="AB74" s="580"/>
    </row>
    <row r="75" spans="1:28" s="55" customFormat="1" ht="54.95" customHeight="1" x14ac:dyDescent="0.15">
      <c r="A75" s="387"/>
      <c r="B75" s="87">
        <f>C7</f>
        <v>0</v>
      </c>
      <c r="C75" s="461">
        <f>A7</f>
        <v>0</v>
      </c>
      <c r="D75" s="461"/>
      <c r="E75" s="461"/>
      <c r="F75" s="368"/>
      <c r="G75" s="369"/>
      <c r="H75" s="370"/>
      <c r="I75" s="152"/>
      <c r="J75" s="152"/>
      <c r="K75" s="156">
        <v>1</v>
      </c>
      <c r="L75" s="77" t="s">
        <v>63</v>
      </c>
      <c r="M75" s="88">
        <f t="shared" si="4"/>
        <v>0</v>
      </c>
      <c r="N75" s="89"/>
      <c r="O75" s="153"/>
      <c r="P75" s="88" t="s">
        <v>63</v>
      </c>
      <c r="Q75" s="447"/>
      <c r="R75" s="153"/>
      <c r="S75" s="88" t="s">
        <v>63</v>
      </c>
      <c r="T75" s="154">
        <f t="shared" si="3"/>
        <v>0</v>
      </c>
      <c r="U75" s="157"/>
      <c r="V75" s="158"/>
      <c r="W75" s="154"/>
      <c r="X75" s="154"/>
      <c r="Y75" s="402"/>
      <c r="Z75" s="401"/>
      <c r="AA75" s="401"/>
      <c r="AB75" s="580"/>
    </row>
    <row r="76" spans="1:28" s="55" customFormat="1" ht="54.95" customHeight="1" x14ac:dyDescent="0.15">
      <c r="A76" s="387"/>
      <c r="B76" s="87">
        <f>D7</f>
        <v>0</v>
      </c>
      <c r="C76" s="461"/>
      <c r="D76" s="461"/>
      <c r="E76" s="461"/>
      <c r="F76" s="368"/>
      <c r="G76" s="369"/>
      <c r="H76" s="370"/>
      <c r="I76" s="152"/>
      <c r="J76" s="152"/>
      <c r="K76" s="156">
        <v>1</v>
      </c>
      <c r="L76" s="77" t="s">
        <v>63</v>
      </c>
      <c r="M76" s="88">
        <f t="shared" si="4"/>
        <v>0</v>
      </c>
      <c r="N76" s="89"/>
      <c r="O76" s="153"/>
      <c r="P76" s="88" t="s">
        <v>63</v>
      </c>
      <c r="Q76" s="447"/>
      <c r="R76" s="153"/>
      <c r="S76" s="88" t="s">
        <v>63</v>
      </c>
      <c r="T76" s="154">
        <f t="shared" si="3"/>
        <v>0</v>
      </c>
      <c r="U76" s="157"/>
      <c r="V76" s="158"/>
      <c r="W76" s="154"/>
      <c r="X76" s="154"/>
      <c r="Y76" s="402"/>
      <c r="Z76" s="402"/>
      <c r="AA76" s="402"/>
      <c r="AB76" s="580"/>
    </row>
    <row r="77" spans="1:28" s="55" customFormat="1" ht="54.95" customHeight="1" x14ac:dyDescent="0.15">
      <c r="A77" s="387"/>
      <c r="B77" s="87">
        <f>E7</f>
        <v>0</v>
      </c>
      <c r="C77" s="461"/>
      <c r="D77" s="461"/>
      <c r="E77" s="461"/>
      <c r="F77" s="368"/>
      <c r="G77" s="369"/>
      <c r="H77" s="370"/>
      <c r="I77" s="152"/>
      <c r="J77" s="152"/>
      <c r="K77" s="156">
        <v>1</v>
      </c>
      <c r="L77" s="77" t="s">
        <v>63</v>
      </c>
      <c r="M77" s="88">
        <f t="shared" si="4"/>
        <v>0</v>
      </c>
      <c r="N77" s="89"/>
      <c r="O77" s="153"/>
      <c r="P77" s="88" t="s">
        <v>63</v>
      </c>
      <c r="Q77" s="444"/>
      <c r="R77" s="77"/>
      <c r="S77" s="88" t="s">
        <v>63</v>
      </c>
      <c r="T77" s="154">
        <f t="shared" si="3"/>
        <v>0</v>
      </c>
      <c r="U77" s="157"/>
      <c r="V77" s="158"/>
      <c r="W77" s="154"/>
      <c r="X77" s="154"/>
      <c r="Y77" s="403"/>
      <c r="Z77" s="402"/>
      <c r="AA77" s="403"/>
      <c r="AB77" s="581"/>
    </row>
    <row r="78" spans="1:28" s="55" customFormat="1" ht="54.95" customHeight="1" x14ac:dyDescent="0.15">
      <c r="A78" s="386" t="s">
        <v>70</v>
      </c>
      <c r="B78" s="87">
        <f>C11</f>
        <v>400</v>
      </c>
      <c r="C78" s="389" t="s">
        <v>71</v>
      </c>
      <c r="D78" s="390"/>
      <c r="E78" s="391"/>
      <c r="F78" s="368"/>
      <c r="G78" s="369"/>
      <c r="H78" s="370"/>
      <c r="I78" s="152"/>
      <c r="J78" s="90"/>
      <c r="K78" s="156">
        <v>1</v>
      </c>
      <c r="L78" s="77" t="s">
        <v>63</v>
      </c>
      <c r="M78" s="88">
        <f t="shared" si="4"/>
        <v>400</v>
      </c>
      <c r="N78" s="89"/>
      <c r="O78" s="153"/>
      <c r="P78" s="88" t="s">
        <v>63</v>
      </c>
      <c r="Q78" s="443">
        <v>46207</v>
      </c>
      <c r="R78" s="93"/>
      <c r="S78" s="88" t="s">
        <v>63</v>
      </c>
      <c r="T78" s="154">
        <f t="shared" si="3"/>
        <v>-400</v>
      </c>
      <c r="U78" s="91"/>
      <c r="V78" s="159"/>
      <c r="W78" s="159"/>
      <c r="X78" s="159"/>
      <c r="Y78" s="401" t="s">
        <v>94</v>
      </c>
      <c r="Z78" s="416"/>
      <c r="AA78" s="416"/>
      <c r="AB78" s="419" t="s">
        <v>478</v>
      </c>
    </row>
    <row r="79" spans="1:28" s="55" customFormat="1" ht="54.95" customHeight="1" x14ac:dyDescent="0.15">
      <c r="A79" s="387"/>
      <c r="B79" s="87">
        <f>D11</f>
        <v>350</v>
      </c>
      <c r="C79" s="392"/>
      <c r="D79" s="393"/>
      <c r="E79" s="394"/>
      <c r="F79" s="368"/>
      <c r="G79" s="369"/>
      <c r="H79" s="370"/>
      <c r="I79" s="152"/>
      <c r="J79" s="90"/>
      <c r="K79" s="156">
        <v>1</v>
      </c>
      <c r="L79" s="77" t="s">
        <v>63</v>
      </c>
      <c r="M79" s="88">
        <f t="shared" si="4"/>
        <v>350</v>
      </c>
      <c r="N79" s="89"/>
      <c r="O79" s="153"/>
      <c r="P79" s="88" t="s">
        <v>63</v>
      </c>
      <c r="Q79" s="447"/>
      <c r="R79" s="93"/>
      <c r="S79" s="88" t="s">
        <v>63</v>
      </c>
      <c r="T79" s="154">
        <f t="shared" si="3"/>
        <v>-350</v>
      </c>
      <c r="U79" s="91"/>
      <c r="V79" s="159"/>
      <c r="W79" s="159"/>
      <c r="X79" s="159"/>
      <c r="Y79" s="402"/>
      <c r="Z79" s="417"/>
      <c r="AA79" s="417"/>
      <c r="AB79" s="420"/>
    </row>
    <row r="80" spans="1:28" s="55" customFormat="1" ht="54.95" customHeight="1" x14ac:dyDescent="0.15">
      <c r="A80" s="387"/>
      <c r="B80" s="87">
        <f>E11</f>
        <v>91</v>
      </c>
      <c r="C80" s="392"/>
      <c r="D80" s="393"/>
      <c r="E80" s="394"/>
      <c r="F80" s="368"/>
      <c r="G80" s="369"/>
      <c r="H80" s="370"/>
      <c r="I80" s="152"/>
      <c r="J80" s="90"/>
      <c r="K80" s="156">
        <v>1</v>
      </c>
      <c r="L80" s="77" t="s">
        <v>63</v>
      </c>
      <c r="M80" s="88">
        <f t="shared" si="4"/>
        <v>91</v>
      </c>
      <c r="N80" s="89"/>
      <c r="O80" s="153"/>
      <c r="P80" s="88" t="s">
        <v>63</v>
      </c>
      <c r="Q80" s="447"/>
      <c r="R80" s="93"/>
      <c r="S80" s="88" t="s">
        <v>63</v>
      </c>
      <c r="T80" s="154">
        <f t="shared" si="3"/>
        <v>-91</v>
      </c>
      <c r="U80" s="91"/>
      <c r="V80" s="159"/>
      <c r="W80" s="159"/>
      <c r="X80" s="159"/>
      <c r="Y80" s="402"/>
      <c r="Z80" s="417"/>
      <c r="AA80" s="417"/>
      <c r="AB80" s="420"/>
    </row>
    <row r="81" spans="1:29" s="55" customFormat="1" ht="54.95" customHeight="1" x14ac:dyDescent="0.15">
      <c r="A81" s="388"/>
      <c r="B81" s="87">
        <f>F11</f>
        <v>0</v>
      </c>
      <c r="C81" s="395"/>
      <c r="D81" s="396"/>
      <c r="E81" s="397"/>
      <c r="F81" s="368"/>
      <c r="G81" s="369"/>
      <c r="H81" s="370"/>
      <c r="I81" s="152"/>
      <c r="J81" s="90"/>
      <c r="K81" s="156"/>
      <c r="L81" s="77" t="s">
        <v>63</v>
      </c>
      <c r="M81" s="88">
        <f t="shared" si="4"/>
        <v>0</v>
      </c>
      <c r="N81" s="89"/>
      <c r="O81" s="153"/>
      <c r="P81" s="88" t="s">
        <v>63</v>
      </c>
      <c r="Q81" s="444"/>
      <c r="R81" s="162"/>
      <c r="S81" s="88" t="s">
        <v>63</v>
      </c>
      <c r="T81" s="154">
        <f t="shared" si="3"/>
        <v>0</v>
      </c>
      <c r="U81" s="91"/>
      <c r="V81" s="159"/>
      <c r="W81" s="159"/>
      <c r="X81" s="159"/>
      <c r="Y81" s="403"/>
      <c r="Z81" s="418"/>
      <c r="AA81" s="418"/>
      <c r="AB81" s="421"/>
    </row>
    <row r="82" spans="1:29" s="176" customFormat="1" ht="54.95" customHeight="1" x14ac:dyDescent="0.15">
      <c r="A82" s="92" t="s">
        <v>73</v>
      </c>
      <c r="B82" s="164">
        <f>I11</f>
        <v>841</v>
      </c>
      <c r="C82" s="371" t="s">
        <v>71</v>
      </c>
      <c r="D82" s="372"/>
      <c r="E82" s="373"/>
      <c r="F82" s="371"/>
      <c r="G82" s="372"/>
      <c r="H82" s="373"/>
      <c r="I82" s="165"/>
      <c r="J82" s="166"/>
      <c r="K82" s="167">
        <v>1</v>
      </c>
      <c r="L82" s="168" t="s">
        <v>63</v>
      </c>
      <c r="M82" s="88">
        <f t="shared" si="4"/>
        <v>841</v>
      </c>
      <c r="N82" s="170"/>
      <c r="O82" s="170"/>
      <c r="P82" s="169" t="s">
        <v>63</v>
      </c>
      <c r="Q82" s="171">
        <v>46207</v>
      </c>
      <c r="R82" s="165">
        <v>841</v>
      </c>
      <c r="S82" s="169" t="s">
        <v>63</v>
      </c>
      <c r="T82" s="154">
        <f t="shared" si="3"/>
        <v>0</v>
      </c>
      <c r="U82" s="170"/>
      <c r="V82" s="172"/>
      <c r="W82" s="172"/>
      <c r="X82" s="172"/>
      <c r="Y82" s="173" t="s">
        <v>72</v>
      </c>
      <c r="Z82" s="174"/>
      <c r="AA82" s="175"/>
      <c r="AB82" s="586" t="s">
        <v>478</v>
      </c>
    </row>
    <row r="83" spans="1:29" s="55" customFormat="1" ht="54.95" customHeight="1" x14ac:dyDescent="0.15">
      <c r="A83" s="92" t="s">
        <v>480</v>
      </c>
      <c r="B83" s="87">
        <f>I11</f>
        <v>841</v>
      </c>
      <c r="C83" s="368" t="s">
        <v>71</v>
      </c>
      <c r="D83" s="369"/>
      <c r="E83" s="370"/>
      <c r="F83" s="368"/>
      <c r="G83" s="369"/>
      <c r="H83" s="370"/>
      <c r="I83" s="93"/>
      <c r="J83" s="90"/>
      <c r="K83" s="156">
        <v>1</v>
      </c>
      <c r="L83" s="77" t="s">
        <v>63</v>
      </c>
      <c r="M83" s="88">
        <f>K83*B83</f>
        <v>841</v>
      </c>
      <c r="N83" s="91"/>
      <c r="O83" s="91"/>
      <c r="P83" s="169" t="s">
        <v>63</v>
      </c>
      <c r="Q83" s="171">
        <v>46207</v>
      </c>
      <c r="R83" s="165">
        <v>841</v>
      </c>
      <c r="S83" s="169" t="s">
        <v>63</v>
      </c>
      <c r="T83" s="154">
        <f t="shared" si="3"/>
        <v>0</v>
      </c>
      <c r="U83" s="91"/>
      <c r="V83" s="91"/>
      <c r="W83" s="91"/>
      <c r="X83" s="91"/>
      <c r="Y83" s="160" t="s">
        <v>72</v>
      </c>
      <c r="Z83" s="94"/>
      <c r="AA83" s="95"/>
      <c r="AB83" s="588"/>
    </row>
    <row r="84" spans="1:29" s="55" customFormat="1" ht="54.95" customHeight="1" x14ac:dyDescent="0.15">
      <c r="A84" s="96" t="s">
        <v>74</v>
      </c>
      <c r="B84" s="87">
        <f>I11</f>
        <v>841</v>
      </c>
      <c r="C84" s="368" t="s">
        <v>71</v>
      </c>
      <c r="D84" s="369"/>
      <c r="E84" s="370"/>
      <c r="F84" s="368"/>
      <c r="G84" s="369"/>
      <c r="H84" s="370"/>
      <c r="I84" s="93"/>
      <c r="J84" s="93"/>
      <c r="K84" s="156">
        <v>1</v>
      </c>
      <c r="L84" s="77" t="s">
        <v>63</v>
      </c>
      <c r="M84" s="88">
        <f t="shared" si="4"/>
        <v>841</v>
      </c>
      <c r="N84" s="91"/>
      <c r="O84" s="91"/>
      <c r="P84" s="89" t="s">
        <v>63</v>
      </c>
      <c r="Q84" s="332"/>
      <c r="R84" s="93"/>
      <c r="S84" s="89" t="s">
        <v>63</v>
      </c>
      <c r="T84" s="154">
        <f t="shared" si="3"/>
        <v>-841</v>
      </c>
      <c r="U84" s="91"/>
      <c r="V84" s="91"/>
      <c r="W84" s="91"/>
      <c r="X84" s="91"/>
      <c r="Y84" s="160" t="s">
        <v>72</v>
      </c>
      <c r="Z84" s="97"/>
      <c r="AA84" s="98"/>
      <c r="AB84" s="331"/>
    </row>
    <row r="85" spans="1:29" x14ac:dyDescent="0.15">
      <c r="A85" s="177"/>
      <c r="B85" s="366"/>
      <c r="C85" s="366"/>
      <c r="D85" s="177"/>
      <c r="E85" s="177"/>
      <c r="F85" s="100"/>
      <c r="G85" s="100"/>
      <c r="H85" s="100"/>
      <c r="I85" s="177"/>
      <c r="J85" s="177"/>
      <c r="K85" s="101"/>
      <c r="L85" s="102"/>
      <c r="M85" s="103"/>
      <c r="N85" s="104"/>
      <c r="O85" s="104"/>
      <c r="P85" s="177"/>
      <c r="Q85" s="105"/>
      <c r="R85" s="105"/>
      <c r="S85" s="106"/>
      <c r="T85" s="107"/>
      <c r="U85" s="108"/>
      <c r="V85" s="108"/>
      <c r="W85" s="109"/>
      <c r="X85" s="107"/>
      <c r="Y85" s="110"/>
      <c r="Z85" s="111"/>
      <c r="AA85" s="111"/>
    </row>
    <row r="86" spans="1:29" x14ac:dyDescent="0.15">
      <c r="A86" s="177"/>
      <c r="B86" s="366"/>
      <c r="C86" s="366"/>
      <c r="D86" s="177"/>
      <c r="E86" s="177"/>
      <c r="F86" s="367"/>
      <c r="G86" s="367"/>
      <c r="H86" s="367"/>
      <c r="I86" s="177"/>
      <c r="J86" s="177"/>
      <c r="K86" s="101"/>
      <c r="L86" s="102"/>
      <c r="M86" s="103"/>
      <c r="N86" s="104"/>
      <c r="O86" s="104"/>
      <c r="P86" s="177"/>
      <c r="Q86" s="105"/>
      <c r="R86" s="105"/>
      <c r="S86" s="106"/>
      <c r="T86" s="107"/>
      <c r="U86" s="108"/>
      <c r="V86" s="108"/>
      <c r="W86" s="109"/>
      <c r="X86" s="107"/>
      <c r="Y86" s="112"/>
      <c r="Z86" s="111"/>
      <c r="AA86" s="111"/>
    </row>
    <row r="87" spans="1:29" x14ac:dyDescent="0.15">
      <c r="J87" s="177"/>
    </row>
    <row r="88" spans="1:29" x14ac:dyDescent="0.15">
      <c r="J88" s="177"/>
    </row>
    <row r="95" spans="1:29" s="114" customFormat="1" x14ac:dyDescent="0.15">
      <c r="A95" s="1"/>
      <c r="B95" s="113"/>
      <c r="C95" s="1"/>
      <c r="D95" s="1"/>
      <c r="E95" s="1"/>
      <c r="F95" s="1"/>
      <c r="G95" s="1"/>
      <c r="H95" s="1"/>
      <c r="I95" s="1"/>
      <c r="J95" s="1"/>
      <c r="L95" s="115"/>
      <c r="M95" s="116"/>
      <c r="N95" s="117"/>
      <c r="O95" s="117"/>
      <c r="P95" s="1"/>
      <c r="Q95" s="118"/>
      <c r="R95" s="118"/>
      <c r="S95" s="115"/>
      <c r="T95" s="119"/>
      <c r="U95" s="1"/>
      <c r="V95" s="1"/>
      <c r="W95" s="120"/>
      <c r="X95" s="121"/>
      <c r="Y95" s="1"/>
      <c r="Z95" s="1"/>
      <c r="AA95" s="1"/>
      <c r="AB95" s="1"/>
      <c r="AC95" s="1"/>
    </row>
    <row r="96" spans="1:29" s="114" customFormat="1" x14ac:dyDescent="0.15">
      <c r="A96" s="1"/>
      <c r="B96" s="113"/>
      <c r="C96" s="1"/>
      <c r="D96" s="1"/>
      <c r="E96" s="1"/>
      <c r="F96" s="1"/>
      <c r="G96" s="1"/>
      <c r="H96" s="1"/>
      <c r="I96" s="1"/>
      <c r="J96" s="1"/>
      <c r="L96" s="115"/>
      <c r="M96" s="116"/>
      <c r="N96" s="117"/>
      <c r="O96" s="117"/>
      <c r="P96" s="1"/>
      <c r="Q96" s="118"/>
      <c r="R96" s="118"/>
      <c r="S96" s="115"/>
      <c r="T96" s="119"/>
      <c r="U96" s="1"/>
      <c r="V96" s="1"/>
      <c r="W96" s="120"/>
      <c r="X96" s="121"/>
      <c r="Y96" s="1"/>
      <c r="Z96" s="1"/>
      <c r="AA96" s="1"/>
      <c r="AB96" s="1"/>
      <c r="AC96" s="1"/>
    </row>
  </sheetData>
  <mergeCells count="317">
    <mergeCell ref="AB82:AB83"/>
    <mergeCell ref="F42:H42"/>
    <mergeCell ref="Q33:Q34"/>
    <mergeCell ref="I31:I32"/>
    <mergeCell ref="Y31:Y32"/>
    <mergeCell ref="Q39:Q40"/>
    <mergeCell ref="Q37:Q38"/>
    <mergeCell ref="Q41:Q42"/>
    <mergeCell ref="AB78:AB81"/>
    <mergeCell ref="AB69:AB77"/>
    <mergeCell ref="AA72:AA74"/>
    <mergeCell ref="Z66:Z68"/>
    <mergeCell ref="AA66:AA68"/>
    <mergeCell ref="F67:H67"/>
    <mergeCell ref="F68:H68"/>
    <mergeCell ref="AB60:AB68"/>
    <mergeCell ref="F61:H61"/>
    <mergeCell ref="F62:H62"/>
    <mergeCell ref="AB55:AB59"/>
    <mergeCell ref="F56:H56"/>
    <mergeCell ref="F57:H57"/>
    <mergeCell ref="F58:H58"/>
    <mergeCell ref="F32:H32"/>
    <mergeCell ref="F54:H54"/>
    <mergeCell ref="B85:C85"/>
    <mergeCell ref="B86:C86"/>
    <mergeCell ref="F86:H86"/>
    <mergeCell ref="AA78:AA81"/>
    <mergeCell ref="AA75:AA77"/>
    <mergeCell ref="Z69:Z71"/>
    <mergeCell ref="AA69:AA71"/>
    <mergeCell ref="AA60:AA62"/>
    <mergeCell ref="AA63:AA65"/>
    <mergeCell ref="F64:H64"/>
    <mergeCell ref="F79:H79"/>
    <mergeCell ref="F80:H80"/>
    <mergeCell ref="F81:H81"/>
    <mergeCell ref="C82:E82"/>
    <mergeCell ref="F82:H82"/>
    <mergeCell ref="C83:E83"/>
    <mergeCell ref="F83:H83"/>
    <mergeCell ref="C84:E84"/>
    <mergeCell ref="F84:H84"/>
    <mergeCell ref="C63:E65"/>
    <mergeCell ref="F63:H63"/>
    <mergeCell ref="Y63:Y65"/>
    <mergeCell ref="Z63:Z65"/>
    <mergeCell ref="A78:A81"/>
    <mergeCell ref="C78:E81"/>
    <mergeCell ref="F78:H78"/>
    <mergeCell ref="Q78:Q81"/>
    <mergeCell ref="Y78:Y81"/>
    <mergeCell ref="Z78:Z81"/>
    <mergeCell ref="F74:H74"/>
    <mergeCell ref="C75:E77"/>
    <mergeCell ref="F75:H75"/>
    <mergeCell ref="Z75:Z77"/>
    <mergeCell ref="F76:H76"/>
    <mergeCell ref="F77:H77"/>
    <mergeCell ref="A69:A77"/>
    <mergeCell ref="F70:H70"/>
    <mergeCell ref="F71:H71"/>
    <mergeCell ref="C72:E74"/>
    <mergeCell ref="F72:H72"/>
    <mergeCell ref="Z72:Z74"/>
    <mergeCell ref="F73:H73"/>
    <mergeCell ref="C69:E71"/>
    <mergeCell ref="F69:H69"/>
    <mergeCell ref="Q69:Q77"/>
    <mergeCell ref="U69:U73"/>
    <mergeCell ref="Y69:Y77"/>
    <mergeCell ref="A60:A68"/>
    <mergeCell ref="C60:E62"/>
    <mergeCell ref="F60:H60"/>
    <mergeCell ref="Q60:Q68"/>
    <mergeCell ref="Y60:Y62"/>
    <mergeCell ref="Z60:Z62"/>
    <mergeCell ref="F65:H65"/>
    <mergeCell ref="C66:E68"/>
    <mergeCell ref="F66:H66"/>
    <mergeCell ref="Y66:Y68"/>
    <mergeCell ref="A55:A59"/>
    <mergeCell ref="C55:E59"/>
    <mergeCell ref="F55:H55"/>
    <mergeCell ref="Q55:Q59"/>
    <mergeCell ref="Y55:Y59"/>
    <mergeCell ref="A53:A54"/>
    <mergeCell ref="C53:E53"/>
    <mergeCell ref="F53:H53"/>
    <mergeCell ref="I53:I54"/>
    <mergeCell ref="Y53:Y54"/>
    <mergeCell ref="C54:E54"/>
    <mergeCell ref="Z55:Z59"/>
    <mergeCell ref="AA55:AA59"/>
    <mergeCell ref="A51:A52"/>
    <mergeCell ref="C51:E51"/>
    <mergeCell ref="F51:H51"/>
    <mergeCell ref="I51:I52"/>
    <mergeCell ref="AB47:AB48"/>
    <mergeCell ref="C48:E48"/>
    <mergeCell ref="F48:H48"/>
    <mergeCell ref="A49:A50"/>
    <mergeCell ref="C49:E49"/>
    <mergeCell ref="F49:H49"/>
    <mergeCell ref="I49:I50"/>
    <mergeCell ref="Q49:Q50"/>
    <mergeCell ref="Y49:Y50"/>
    <mergeCell ref="AB49:AB54"/>
    <mergeCell ref="Q51:Q52"/>
    <mergeCell ref="Y51:Y52"/>
    <mergeCell ref="C52:E52"/>
    <mergeCell ref="F52:H52"/>
    <mergeCell ref="C50:E50"/>
    <mergeCell ref="F50:H50"/>
    <mergeCell ref="F59:H59"/>
    <mergeCell ref="I55:I59"/>
    <mergeCell ref="A47:A48"/>
    <mergeCell ref="C47:E47"/>
    <mergeCell ref="F47:H47"/>
    <mergeCell ref="I47:I48"/>
    <mergeCell ref="Q47:Q48"/>
    <mergeCell ref="Y47:Y48"/>
    <mergeCell ref="A45:A46"/>
    <mergeCell ref="C45:E45"/>
    <mergeCell ref="F45:H45"/>
    <mergeCell ref="I45:I46"/>
    <mergeCell ref="Q45:Q46"/>
    <mergeCell ref="Y45:Y46"/>
    <mergeCell ref="A43:A44"/>
    <mergeCell ref="C43:E43"/>
    <mergeCell ref="F43:H43"/>
    <mergeCell ref="I43:I44"/>
    <mergeCell ref="Y43:Y44"/>
    <mergeCell ref="C44:E44"/>
    <mergeCell ref="F44:H44"/>
    <mergeCell ref="AC44:AF44"/>
    <mergeCell ref="AB45:AB46"/>
    <mergeCell ref="C46:E46"/>
    <mergeCell ref="F46:H46"/>
    <mergeCell ref="AC46:AF46"/>
    <mergeCell ref="AB43:AB44"/>
    <mergeCell ref="C40:E40"/>
    <mergeCell ref="F40:H40"/>
    <mergeCell ref="AC40:AF40"/>
    <mergeCell ref="A41:A42"/>
    <mergeCell ref="C41:E41"/>
    <mergeCell ref="F41:H41"/>
    <mergeCell ref="I41:I42"/>
    <mergeCell ref="Y41:Y42"/>
    <mergeCell ref="C42:E42"/>
    <mergeCell ref="A39:A40"/>
    <mergeCell ref="C39:E39"/>
    <mergeCell ref="F39:H39"/>
    <mergeCell ref="I39:I40"/>
    <mergeCell ref="Y39:Y40"/>
    <mergeCell ref="AC42:AF42"/>
    <mergeCell ref="AB39:AB42"/>
    <mergeCell ref="AC36:AF36"/>
    <mergeCell ref="A37:A38"/>
    <mergeCell ref="C37:E37"/>
    <mergeCell ref="F37:H37"/>
    <mergeCell ref="I37:I38"/>
    <mergeCell ref="Y37:Y38"/>
    <mergeCell ref="AB37:AB38"/>
    <mergeCell ref="C38:E38"/>
    <mergeCell ref="F38:H38"/>
    <mergeCell ref="A35:A36"/>
    <mergeCell ref="C35:E35"/>
    <mergeCell ref="F35:H35"/>
    <mergeCell ref="I35:I36"/>
    <mergeCell ref="Q35:Q36"/>
    <mergeCell ref="Y35:Y36"/>
    <mergeCell ref="AB35:AB36"/>
    <mergeCell ref="C36:E36"/>
    <mergeCell ref="F36:H36"/>
    <mergeCell ref="AC28:AF28"/>
    <mergeCell ref="A29:A30"/>
    <mergeCell ref="C29:E29"/>
    <mergeCell ref="F29:H29"/>
    <mergeCell ref="I29:I30"/>
    <mergeCell ref="Y29:Y30"/>
    <mergeCell ref="AB29:AB34"/>
    <mergeCell ref="C30:E30"/>
    <mergeCell ref="F30:H30"/>
    <mergeCell ref="AC30:AF30"/>
    <mergeCell ref="A33:A34"/>
    <mergeCell ref="C33:E33"/>
    <mergeCell ref="F33:H33"/>
    <mergeCell ref="I33:I34"/>
    <mergeCell ref="Y33:Y34"/>
    <mergeCell ref="C34:E34"/>
    <mergeCell ref="F34:H34"/>
    <mergeCell ref="AC34:AF34"/>
    <mergeCell ref="Q29:Q30"/>
    <mergeCell ref="Q31:Q32"/>
    <mergeCell ref="A31:A32"/>
    <mergeCell ref="C31:E31"/>
    <mergeCell ref="C32:E32"/>
    <mergeCell ref="F31:H31"/>
    <mergeCell ref="AB25:AB26"/>
    <mergeCell ref="C26:E26"/>
    <mergeCell ref="F26:H26"/>
    <mergeCell ref="A27:A28"/>
    <mergeCell ref="C27:E27"/>
    <mergeCell ref="F27:H27"/>
    <mergeCell ref="I27:I28"/>
    <mergeCell ref="Q27:Q28"/>
    <mergeCell ref="Y27:Y28"/>
    <mergeCell ref="AB27:AB28"/>
    <mergeCell ref="A25:A26"/>
    <mergeCell ref="C25:E25"/>
    <mergeCell ref="F25:H25"/>
    <mergeCell ref="I25:I26"/>
    <mergeCell ref="Q25:Q26"/>
    <mergeCell ref="Y25:Y26"/>
    <mergeCell ref="C28:E28"/>
    <mergeCell ref="F28:H28"/>
    <mergeCell ref="F13:H13"/>
    <mergeCell ref="A19:A20"/>
    <mergeCell ref="C19:E19"/>
    <mergeCell ref="F19:H19"/>
    <mergeCell ref="I19:I20"/>
    <mergeCell ref="Y19:Y20"/>
    <mergeCell ref="C20:E20"/>
    <mergeCell ref="F20:H20"/>
    <mergeCell ref="AB21:AB24"/>
    <mergeCell ref="C22:E22"/>
    <mergeCell ref="F22:H22"/>
    <mergeCell ref="A23:A24"/>
    <mergeCell ref="C23:E23"/>
    <mergeCell ref="F23:H23"/>
    <mergeCell ref="I23:I24"/>
    <mergeCell ref="Y23:Y24"/>
    <mergeCell ref="C24:E24"/>
    <mergeCell ref="F24:H24"/>
    <mergeCell ref="A21:A22"/>
    <mergeCell ref="C21:E21"/>
    <mergeCell ref="F21:H21"/>
    <mergeCell ref="I21:I22"/>
    <mergeCell ref="Q21:Q24"/>
    <mergeCell ref="Y21:Y22"/>
    <mergeCell ref="AB15:AB16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AB17:AB18"/>
    <mergeCell ref="C18:E18"/>
    <mergeCell ref="F18:H18"/>
    <mergeCell ref="K13:L13"/>
    <mergeCell ref="N13:P13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5" orientation="portrait" r:id="rId1"/>
  <headerFooter alignWithMargins="0"/>
  <rowBreaks count="1" manualBreakCount="1">
    <brk id="59" max="27" man="1"/>
  </rowBreaks>
  <colBreaks count="1" manualBreakCount="1">
    <brk id="2" max="4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48C9-111A-4E52-ABB5-B70911A34A6C}">
  <sheetPr>
    <pageSetUpPr fitToPage="1"/>
  </sheetPr>
  <dimension ref="A1:AF118"/>
  <sheetViews>
    <sheetView view="pageBreakPreview" zoomScale="75" zoomScaleNormal="100" zoomScaleSheetLayoutView="75" workbookViewId="0">
      <selection activeCell="AB107" sqref="AB107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411</v>
      </c>
      <c r="C2" s="548"/>
      <c r="D2" s="548"/>
      <c r="E2" s="548"/>
      <c r="F2" s="548"/>
      <c r="G2" s="549"/>
      <c r="H2" s="180" t="s">
        <v>1</v>
      </c>
      <c r="I2" s="550">
        <f>I11</f>
        <v>838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98</v>
      </c>
      <c r="B5" s="480"/>
      <c r="C5" s="182">
        <v>318</v>
      </c>
      <c r="D5" s="182">
        <v>370</v>
      </c>
      <c r="E5" s="182">
        <v>150</v>
      </c>
      <c r="F5" s="182"/>
      <c r="G5" s="182"/>
      <c r="H5" s="542" t="s">
        <v>24</v>
      </c>
      <c r="I5" s="524">
        <f t="shared" ref="I5:I11" si="0">SUM(C5:G5)</f>
        <v>838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46192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318</v>
      </c>
      <c r="D11" s="181">
        <f>SUM(D5:D10)</f>
        <v>370</v>
      </c>
      <c r="E11" s="181">
        <f>SUM(E5:E10)</f>
        <v>150</v>
      </c>
      <c r="F11" s="181">
        <f>SUM(F5:F10)</f>
        <v>0</v>
      </c>
      <c r="G11" s="181">
        <f>SUM(G5:G10)</f>
        <v>0</v>
      </c>
      <c r="H11" s="182"/>
      <c r="I11" s="481">
        <f t="shared" si="0"/>
        <v>838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46285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324.36</v>
      </c>
      <c r="D12" s="43">
        <f>D11*1.02</f>
        <v>377.40000000000003</v>
      </c>
      <c r="E12" s="43">
        <f>E11*1.02</f>
        <v>153</v>
      </c>
      <c r="F12" s="43">
        <f>F11*1.02</f>
        <v>0</v>
      </c>
      <c r="G12" s="43">
        <f>G11*1.02</f>
        <v>0</v>
      </c>
      <c r="H12" s="44"/>
      <c r="I12" s="486">
        <f>I11*1.02</f>
        <v>854.76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838</v>
      </c>
      <c r="C15" s="474" t="str">
        <f t="shared" ref="C15:C29" si="2">$A$5</f>
        <v>BK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1.24</v>
      </c>
      <c r="L15" s="67" t="s">
        <v>7</v>
      </c>
      <c r="M15" s="68">
        <f>K15*B15</f>
        <v>1039.1199999999999</v>
      </c>
      <c r="N15" s="69"/>
      <c r="O15" s="70"/>
      <c r="P15" s="67" t="s">
        <v>7</v>
      </c>
      <c r="Q15" s="478">
        <v>46200</v>
      </c>
      <c r="R15" s="293">
        <v>1040</v>
      </c>
      <c r="S15" s="71" t="s">
        <v>7</v>
      </c>
      <c r="T15" s="123">
        <f t="shared" ref="T15:T106" si="3">R15-M15</f>
        <v>0.88000000000010914</v>
      </c>
      <c r="U15" s="72"/>
      <c r="V15" s="72"/>
      <c r="W15" s="73"/>
      <c r="X15" s="74"/>
      <c r="Y15" s="479" t="s">
        <v>412</v>
      </c>
      <c r="Z15" s="63"/>
      <c r="AA15" s="64"/>
      <c r="AB15" s="360" t="s">
        <v>463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563"/>
      <c r="J16" s="76" t="s">
        <v>6</v>
      </c>
      <c r="K16" s="83">
        <v>1.24</v>
      </c>
      <c r="L16" s="77" t="s">
        <v>7</v>
      </c>
      <c r="M16" s="78">
        <f t="shared" ref="M16:M85" si="4">K16*B16</f>
        <v>0</v>
      </c>
      <c r="N16" s="79"/>
      <c r="O16" s="128"/>
      <c r="P16" s="77" t="s">
        <v>7</v>
      </c>
      <c r="Q16" s="447"/>
      <c r="R16" s="137"/>
      <c r="S16" s="75" t="s">
        <v>7</v>
      </c>
      <c r="T16" s="81">
        <f t="shared" si="3"/>
        <v>0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442"/>
      <c r="J17" s="76" t="s">
        <v>6</v>
      </c>
      <c r="K17" s="83">
        <v>1.24</v>
      </c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838</v>
      </c>
      <c r="C18" s="461" t="str">
        <f t="shared" si="2"/>
        <v>BK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0</v>
      </c>
      <c r="C19" s="461">
        <f>$A$6</f>
        <v>0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838</v>
      </c>
      <c r="C20" s="465" t="str">
        <f t="shared" ref="C20" si="6">$A$5</f>
        <v>BK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>
        <v>0.1</v>
      </c>
      <c r="L20" s="194" t="s">
        <v>7</v>
      </c>
      <c r="M20" s="195">
        <f t="shared" si="4"/>
        <v>83.800000000000011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-83.800000000000011</v>
      </c>
      <c r="U20" s="199"/>
      <c r="V20" s="200"/>
      <c r="W20" s="195"/>
      <c r="X20" s="195"/>
      <c r="Y20" s="437" t="s">
        <v>93</v>
      </c>
      <c r="Z20" s="235"/>
      <c r="AA20" s="202"/>
      <c r="AB20" s="617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0</v>
      </c>
      <c r="C21" s="465">
        <f>$A$6</f>
        <v>0</v>
      </c>
      <c r="D21" s="465"/>
      <c r="E21" s="465"/>
      <c r="F21" s="465"/>
      <c r="G21" s="465"/>
      <c r="H21" s="465"/>
      <c r="I21" s="560"/>
      <c r="J21" s="192" t="s">
        <v>6</v>
      </c>
      <c r="K21" s="209">
        <v>0.1</v>
      </c>
      <c r="L21" s="194" t="s">
        <v>7</v>
      </c>
      <c r="M21" s="195">
        <f t="shared" si="4"/>
        <v>0</v>
      </c>
      <c r="N21" s="196"/>
      <c r="O21" s="210"/>
      <c r="P21" s="194" t="s">
        <v>7</v>
      </c>
      <c r="Q21" s="561"/>
      <c r="R21" s="200"/>
      <c r="S21" s="207" t="s">
        <v>7</v>
      </c>
      <c r="T21" s="198">
        <f t="shared" si="3"/>
        <v>0</v>
      </c>
      <c r="U21" s="211"/>
      <c r="V21" s="211"/>
      <c r="W21" s="212"/>
      <c r="X21" s="213"/>
      <c r="Y21" s="562"/>
      <c r="Z21" s="214"/>
      <c r="AA21" s="202"/>
      <c r="AB21" s="61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0</v>
      </c>
      <c r="C22" s="465">
        <f>$A$7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619"/>
      <c r="AC22" s="229"/>
      <c r="AD22" s="230"/>
      <c r="AE22" s="230"/>
      <c r="AF22" s="230"/>
    </row>
    <row r="23" spans="1:32" s="55" customFormat="1" ht="69.95" customHeight="1" x14ac:dyDescent="0.15">
      <c r="A23" s="431" t="s">
        <v>361</v>
      </c>
      <c r="B23" s="182">
        <f t="shared" si="1"/>
        <v>838</v>
      </c>
      <c r="C23" s="461" t="str">
        <f t="shared" si="2"/>
        <v>BK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217.88</v>
      </c>
      <c r="N23" s="79"/>
      <c r="O23" s="78"/>
      <c r="P23" s="80" t="s">
        <v>7</v>
      </c>
      <c r="Q23" s="443">
        <v>46207</v>
      </c>
      <c r="R23" s="78">
        <v>218</v>
      </c>
      <c r="S23" s="80" t="s">
        <v>7</v>
      </c>
      <c r="T23" s="81">
        <f t="shared" si="3"/>
        <v>0.12000000000000455</v>
      </c>
      <c r="U23" s="82"/>
      <c r="V23" s="137"/>
      <c r="W23" s="78"/>
      <c r="X23" s="78"/>
      <c r="Y23" s="445" t="s">
        <v>93</v>
      </c>
      <c r="Z23" s="138"/>
      <c r="AA23" s="135"/>
      <c r="AB23" s="586" t="s">
        <v>478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0</v>
      </c>
      <c r="C24" s="461">
        <f>$A$6</f>
        <v>0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0</v>
      </c>
      <c r="N24" s="79"/>
      <c r="O24" s="128"/>
      <c r="P24" s="77" t="s">
        <v>7</v>
      </c>
      <c r="Q24" s="447"/>
      <c r="R24" s="137"/>
      <c r="S24" s="75" t="s">
        <v>7</v>
      </c>
      <c r="T24" s="81">
        <f t="shared" si="3"/>
        <v>0</v>
      </c>
      <c r="U24" s="131"/>
      <c r="V24" s="131"/>
      <c r="W24" s="132"/>
      <c r="X24" s="133"/>
      <c r="Y24" s="557"/>
      <c r="Z24" s="228"/>
      <c r="AA24" s="228"/>
      <c r="AB24" s="587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>
        <v>0.26</v>
      </c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588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838</v>
      </c>
      <c r="C26" s="465" t="str">
        <f t="shared" si="2"/>
        <v>BK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0</v>
      </c>
      <c r="C27" s="465">
        <f>$A$6</f>
        <v>0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0</v>
      </c>
      <c r="C28" s="465">
        <f>$A$7</f>
        <v>0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353</v>
      </c>
      <c r="B29" s="239">
        <f t="shared" si="1"/>
        <v>838</v>
      </c>
      <c r="C29" s="456" t="str">
        <f t="shared" si="2"/>
        <v>BK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0.09</v>
      </c>
      <c r="L29" s="168" t="s">
        <v>7</v>
      </c>
      <c r="M29" s="242">
        <f t="shared" si="4"/>
        <v>75.42</v>
      </c>
      <c r="N29" s="243"/>
      <c r="O29" s="242"/>
      <c r="P29" s="244" t="s">
        <v>7</v>
      </c>
      <c r="Q29" s="376">
        <v>46207</v>
      </c>
      <c r="R29" s="242">
        <v>75</v>
      </c>
      <c r="S29" s="244" t="s">
        <v>7</v>
      </c>
      <c r="T29" s="245">
        <f t="shared" si="3"/>
        <v>-0.42000000000000171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475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0</v>
      </c>
      <c r="C30" s="456">
        <f>$A$6</f>
        <v>0</v>
      </c>
      <c r="D30" s="456"/>
      <c r="E30" s="456"/>
      <c r="F30" s="456"/>
      <c r="G30" s="456"/>
      <c r="H30" s="456"/>
      <c r="I30" s="564"/>
      <c r="J30" s="240" t="s">
        <v>6</v>
      </c>
      <c r="K30" s="241">
        <v>0.09</v>
      </c>
      <c r="L30" s="168" t="s">
        <v>7</v>
      </c>
      <c r="M30" s="242">
        <f t="shared" si="4"/>
        <v>0</v>
      </c>
      <c r="N30" s="243"/>
      <c r="O30" s="253"/>
      <c r="P30" s="168" t="s">
        <v>7</v>
      </c>
      <c r="Q30" s="377"/>
      <c r="R30" s="247"/>
      <c r="S30" s="255" t="s">
        <v>7</v>
      </c>
      <c r="T30" s="245">
        <f t="shared" si="3"/>
        <v>0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/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8"/>
      <c r="R31" s="247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354</v>
      </c>
      <c r="B32" s="239">
        <f>$I$5</f>
        <v>838</v>
      </c>
      <c r="C32" s="456" t="str">
        <f>$A$5</f>
        <v>BK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0.11</v>
      </c>
      <c r="L32" s="168" t="s">
        <v>7</v>
      </c>
      <c r="M32" s="242">
        <f>K32*B32</f>
        <v>92.18</v>
      </c>
      <c r="N32" s="243"/>
      <c r="O32" s="242"/>
      <c r="P32" s="244" t="s">
        <v>7</v>
      </c>
      <c r="Q32" s="376">
        <v>46207</v>
      </c>
      <c r="R32" s="242">
        <v>92</v>
      </c>
      <c r="S32" s="244" t="s">
        <v>9</v>
      </c>
      <c r="T32" s="245">
        <f t="shared" si="3"/>
        <v>-0.18000000000000682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0</v>
      </c>
      <c r="C33" s="456">
        <f>$A$6</f>
        <v>0</v>
      </c>
      <c r="D33" s="456"/>
      <c r="E33" s="456"/>
      <c r="F33" s="456"/>
      <c r="G33" s="456"/>
      <c r="H33" s="456"/>
      <c r="I33" s="564"/>
      <c r="J33" s="240" t="s">
        <v>6</v>
      </c>
      <c r="K33" s="241">
        <v>0.11</v>
      </c>
      <c r="L33" s="168" t="s">
        <v>7</v>
      </c>
      <c r="M33" s="242">
        <f>K33*B33</f>
        <v>0</v>
      </c>
      <c r="N33" s="243"/>
      <c r="O33" s="253"/>
      <c r="P33" s="168" t="s">
        <v>7</v>
      </c>
      <c r="Q33" s="377"/>
      <c r="R33" s="247"/>
      <c r="S33" s="255" t="s">
        <v>9</v>
      </c>
      <c r="T33" s="245">
        <f t="shared" si="3"/>
        <v>0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/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838</v>
      </c>
      <c r="C35" s="465" t="str">
        <f>$A$5</f>
        <v>BK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0</v>
      </c>
      <c r="C36" s="465">
        <f>$A$6</f>
        <v>0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413</v>
      </c>
      <c r="B38" s="239">
        <f>$I$5</f>
        <v>838</v>
      </c>
      <c r="C38" s="456" t="str">
        <f>$A$5</f>
        <v>BK</v>
      </c>
      <c r="D38" s="456"/>
      <c r="E38" s="456"/>
      <c r="F38" s="456"/>
      <c r="G38" s="456"/>
      <c r="H38" s="456"/>
      <c r="I38" s="457" t="s">
        <v>76</v>
      </c>
      <c r="J38" s="240"/>
      <c r="K38" s="308">
        <v>2.4</v>
      </c>
      <c r="L38" s="168" t="s">
        <v>7</v>
      </c>
      <c r="M38" s="242">
        <f t="shared" ref="M38:M43" si="7">K38*B38/50</f>
        <v>40.223999999999997</v>
      </c>
      <c r="N38" s="243"/>
      <c r="O38" s="242"/>
      <c r="P38" s="244" t="s">
        <v>7</v>
      </c>
      <c r="Q38" s="376">
        <v>46207</v>
      </c>
      <c r="R38" s="78">
        <v>41</v>
      </c>
      <c r="S38" s="244" t="s">
        <v>9</v>
      </c>
      <c r="T38" s="245">
        <f t="shared" si="3"/>
        <v>0.77600000000000335</v>
      </c>
      <c r="U38" s="246"/>
      <c r="V38" s="247"/>
      <c r="W38" s="242"/>
      <c r="X38" s="242"/>
      <c r="Y38" s="459" t="s">
        <v>94</v>
      </c>
      <c r="Z38" s="260"/>
      <c r="AA38" s="249"/>
      <c r="AB38" s="586" t="s">
        <v>478</v>
      </c>
    </row>
    <row r="39" spans="1:32" s="261" customFormat="1" ht="69.95" customHeight="1" x14ac:dyDescent="0.15">
      <c r="A39" s="464"/>
      <c r="B39" s="239">
        <f>$I$6</f>
        <v>0</v>
      </c>
      <c r="C39" s="456">
        <f>$A$6</f>
        <v>0</v>
      </c>
      <c r="D39" s="456"/>
      <c r="E39" s="456"/>
      <c r="F39" s="456"/>
      <c r="G39" s="456"/>
      <c r="H39" s="456"/>
      <c r="I39" s="564"/>
      <c r="J39" s="240"/>
      <c r="K39" s="308">
        <v>2.4</v>
      </c>
      <c r="L39" s="168" t="s">
        <v>7</v>
      </c>
      <c r="M39" s="242">
        <f t="shared" si="7"/>
        <v>0</v>
      </c>
      <c r="N39" s="243"/>
      <c r="O39" s="253"/>
      <c r="P39" s="168" t="s">
        <v>7</v>
      </c>
      <c r="Q39" s="377"/>
      <c r="R39" s="137"/>
      <c r="S39" s="255" t="s">
        <v>9</v>
      </c>
      <c r="T39" s="245">
        <f t="shared" si="3"/>
        <v>0</v>
      </c>
      <c r="U39" s="256"/>
      <c r="V39" s="256"/>
      <c r="W39" s="257"/>
      <c r="X39" s="258"/>
      <c r="Y39" s="565"/>
      <c r="Z39" s="259"/>
      <c r="AA39" s="249"/>
      <c r="AB39" s="587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262"/>
      <c r="L40" s="168" t="s">
        <v>7</v>
      </c>
      <c r="M40" s="242">
        <f t="shared" si="7"/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588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838</v>
      </c>
      <c r="C41" s="465" t="str">
        <f>$A$5</f>
        <v>BK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0</v>
      </c>
      <c r="C42" s="465">
        <f>$A$6</f>
        <v>0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838</v>
      </c>
      <c r="C44" s="456" t="str">
        <f>$A$5</f>
        <v>BK</v>
      </c>
      <c r="D44" s="456"/>
      <c r="E44" s="456"/>
      <c r="F44" s="456" t="str">
        <f>$A$5</f>
        <v>BK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43.576000000000001</v>
      </c>
      <c r="N44" s="243"/>
      <c r="O44" s="242"/>
      <c r="P44" s="244" t="s">
        <v>10</v>
      </c>
      <c r="Q44" s="443"/>
      <c r="R44" s="242">
        <v>44</v>
      </c>
      <c r="S44" s="244" t="s">
        <v>10</v>
      </c>
      <c r="T44" s="245">
        <f t="shared" si="3"/>
        <v>0.42399999999999949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478</v>
      </c>
    </row>
    <row r="45" spans="1:32" s="176" customFormat="1" ht="69.95" customHeight="1" x14ac:dyDescent="0.15">
      <c r="A45" s="559"/>
      <c r="B45" s="264">
        <f>$I$6</f>
        <v>0</v>
      </c>
      <c r="C45" s="413">
        <f>$A$6</f>
        <v>0</v>
      </c>
      <c r="D45" s="414"/>
      <c r="E45" s="415"/>
      <c r="F45" s="413">
        <f>$A$6</f>
        <v>0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0</v>
      </c>
      <c r="N45" s="267"/>
      <c r="O45" s="268"/>
      <c r="P45" s="266" t="s">
        <v>10</v>
      </c>
      <c r="Q45" s="447"/>
      <c r="R45" s="269"/>
      <c r="S45" s="252" t="s">
        <v>10</v>
      </c>
      <c r="T45" s="270">
        <f t="shared" si="3"/>
        <v>0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/>
      <c r="L46" s="266" t="s">
        <v>61</v>
      </c>
      <c r="M46" s="242">
        <f t="shared" si="8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838</v>
      </c>
      <c r="C47" s="456" t="str">
        <f>$A$5</f>
        <v>BK</v>
      </c>
      <c r="D47" s="456"/>
      <c r="E47" s="456"/>
      <c r="F47" s="456" t="str">
        <f>$A$5</f>
        <v>BK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46.09</v>
      </c>
      <c r="N47" s="243"/>
      <c r="O47" s="242"/>
      <c r="P47" s="244" t="s">
        <v>10</v>
      </c>
      <c r="Q47" s="447"/>
      <c r="R47" s="242">
        <v>47</v>
      </c>
      <c r="S47" s="244" t="s">
        <v>10</v>
      </c>
      <c r="T47" s="245">
        <f t="shared" si="3"/>
        <v>0.90999999999999659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0</v>
      </c>
      <c r="C48" s="413">
        <f>$A$6</f>
        <v>0</v>
      </c>
      <c r="D48" s="414"/>
      <c r="E48" s="415"/>
      <c r="F48" s="413">
        <f>$A$6</f>
        <v>0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0</v>
      </c>
      <c r="N48" s="267"/>
      <c r="O48" s="268"/>
      <c r="P48" s="266" t="s">
        <v>10</v>
      </c>
      <c r="Q48" s="447"/>
      <c r="R48" s="269"/>
      <c r="S48" s="252" t="s">
        <v>10</v>
      </c>
      <c r="T48" s="270">
        <f t="shared" si="3"/>
        <v>0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>
        <f>$A$7</f>
        <v>0</v>
      </c>
      <c r="G49" s="414"/>
      <c r="H49" s="415"/>
      <c r="I49" s="458"/>
      <c r="J49" s="265"/>
      <c r="K49" s="263"/>
      <c r="L49" s="266" t="s">
        <v>61</v>
      </c>
      <c r="M49" s="242">
        <f t="shared" si="9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208</v>
      </c>
      <c r="B50" s="182">
        <f>$I$5</f>
        <v>838</v>
      </c>
      <c r="C50" s="461" t="str">
        <f>$A$5</f>
        <v>BK</v>
      </c>
      <c r="D50" s="461"/>
      <c r="E50" s="461"/>
      <c r="F50" s="461" t="str">
        <f>$A$5</f>
        <v>BK</v>
      </c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9"/>
        <v>2.0950000000000002</v>
      </c>
      <c r="N50" s="79"/>
      <c r="O50" s="78"/>
      <c r="P50" s="80" t="s">
        <v>10</v>
      </c>
      <c r="Q50" s="447"/>
      <c r="R50" s="78">
        <v>3</v>
      </c>
      <c r="S50" s="80" t="s">
        <v>10</v>
      </c>
      <c r="T50" s="81">
        <f t="shared" si="3"/>
        <v>0.9049999999999998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0</v>
      </c>
      <c r="C51" s="395">
        <f>$A$6</f>
        <v>0</v>
      </c>
      <c r="D51" s="396"/>
      <c r="E51" s="397"/>
      <c r="F51" s="395">
        <f>$A$6</f>
        <v>0</v>
      </c>
      <c r="G51" s="396"/>
      <c r="H51" s="397"/>
      <c r="I51" s="563"/>
      <c r="J51" s="144"/>
      <c r="K51" s="139">
        <v>10</v>
      </c>
      <c r="L51" s="145" t="s">
        <v>61</v>
      </c>
      <c r="M51" s="78">
        <f t="shared" si="9"/>
        <v>0</v>
      </c>
      <c r="N51" s="146"/>
      <c r="O51" s="147"/>
      <c r="P51" s="145" t="s">
        <v>10</v>
      </c>
      <c r="Q51" s="447"/>
      <c r="R51" s="161"/>
      <c r="S51" s="148" t="s">
        <v>10</v>
      </c>
      <c r="T51" s="84">
        <f t="shared" si="3"/>
        <v>0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>
        <f>$A$6</f>
        <v>0</v>
      </c>
      <c r="G52" s="396"/>
      <c r="H52" s="397"/>
      <c r="I52" s="442"/>
      <c r="J52" s="144"/>
      <c r="K52" s="139"/>
      <c r="L52" s="145" t="s">
        <v>61</v>
      </c>
      <c r="M52" s="78">
        <f t="shared" si="9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139</v>
      </c>
      <c r="B53" s="191">
        <f t="shared" ref="B53" si="10">$I$5</f>
        <v>838</v>
      </c>
      <c r="C53" s="422" t="str">
        <f t="shared" ref="C53" si="11">$A$5</f>
        <v>BK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ref="M53:M73" si="12">K53*B53</f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140</v>
      </c>
      <c r="Z53" s="231"/>
      <c r="AA53" s="232"/>
      <c r="AB53" s="439"/>
    </row>
    <row r="54" spans="1:32" s="206" customFormat="1" ht="69.95" customHeight="1" x14ac:dyDescent="0.15">
      <c r="A54" s="559"/>
      <c r="B54" s="204">
        <f>$I$6</f>
        <v>0</v>
      </c>
      <c r="C54" s="453">
        <f>$A$6</f>
        <v>0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2"/>
        <v>0</v>
      </c>
      <c r="N54" s="233"/>
      <c r="O54" s="195"/>
      <c r="P54" s="194" t="s">
        <v>65</v>
      </c>
      <c r="Q54" s="561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562"/>
      <c r="Z54" s="201"/>
      <c r="AA54" s="202"/>
      <c r="AB54" s="558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91">
        <f>$I$7</f>
        <v>0</v>
      </c>
      <c r="C55" s="465">
        <f>$A$7</f>
        <v>0</v>
      </c>
      <c r="D55" s="465"/>
      <c r="E55" s="465"/>
      <c r="F55" s="425"/>
      <c r="G55" s="423"/>
      <c r="H55" s="424"/>
      <c r="I55" s="207"/>
      <c r="J55" s="192"/>
      <c r="K55" s="193"/>
      <c r="L55" s="194" t="s">
        <v>65</v>
      </c>
      <c r="M55" s="195">
        <f t="shared" si="12"/>
        <v>0</v>
      </c>
      <c r="N55" s="233"/>
      <c r="O55" s="195"/>
      <c r="P55" s="194" t="s">
        <v>65</v>
      </c>
      <c r="Q55" s="436"/>
      <c r="R55" s="195"/>
      <c r="S55" s="194" t="s">
        <v>65</v>
      </c>
      <c r="T55" s="198">
        <f t="shared" si="3"/>
        <v>0</v>
      </c>
      <c r="U55" s="199"/>
      <c r="V55" s="200"/>
      <c r="W55" s="195"/>
      <c r="X55" s="195"/>
      <c r="Y55" s="438"/>
      <c r="Z55" s="201"/>
      <c r="AA55" s="202"/>
      <c r="AB55" s="440"/>
      <c r="AC55" s="234"/>
      <c r="AD55" s="230"/>
      <c r="AE55" s="230"/>
      <c r="AF55" s="230"/>
    </row>
    <row r="56" spans="1:32" s="55" customFormat="1" ht="69.95" customHeight="1" x14ac:dyDescent="0.15">
      <c r="A56" s="431" t="s">
        <v>355</v>
      </c>
      <c r="B56" s="182">
        <f t="shared" ref="B56:B62" si="13">$I$5</f>
        <v>838</v>
      </c>
      <c r="C56" s="368" t="str">
        <f t="shared" ref="C56:C62" si="14">$A$5</f>
        <v>BK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838</v>
      </c>
      <c r="N56" s="79"/>
      <c r="O56" s="78"/>
      <c r="P56" s="80" t="s">
        <v>63</v>
      </c>
      <c r="Q56" s="443"/>
      <c r="R56" s="78">
        <v>838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478</v>
      </c>
    </row>
    <row r="57" spans="1:32" s="55" customFormat="1" ht="69.95" customHeight="1" x14ac:dyDescent="0.15">
      <c r="A57" s="559"/>
      <c r="B57" s="186">
        <f>$I$6</f>
        <v>0</v>
      </c>
      <c r="C57" s="395">
        <f>$A$6</f>
        <v>0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0</v>
      </c>
      <c r="N57" s="140"/>
      <c r="O57" s="78"/>
      <c r="P57" s="80" t="s">
        <v>63</v>
      </c>
      <c r="Q57" s="447"/>
      <c r="R57" s="78"/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461">
        <f>$A$7</f>
        <v>0</v>
      </c>
      <c r="D58" s="461"/>
      <c r="E58" s="461"/>
      <c r="F58" s="428"/>
      <c r="G58" s="369"/>
      <c r="H58" s="370"/>
      <c r="I58" s="442"/>
      <c r="J58" s="76"/>
      <c r="K58" s="139"/>
      <c r="L58" s="77" t="s">
        <v>63</v>
      </c>
      <c r="M58" s="78">
        <f t="shared" si="12"/>
        <v>0</v>
      </c>
      <c r="N58" s="140"/>
      <c r="O58" s="78"/>
      <c r="P58" s="80" t="s">
        <v>63</v>
      </c>
      <c r="Q58" s="447"/>
      <c r="R58" s="78"/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356</v>
      </c>
      <c r="B59" s="182">
        <f t="shared" ref="B59" si="15">$I$5</f>
        <v>838</v>
      </c>
      <c r="C59" s="368" t="str">
        <f t="shared" ref="C59" si="16">$A$5</f>
        <v>BK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838</v>
      </c>
      <c r="N59" s="79"/>
      <c r="O59" s="78"/>
      <c r="P59" s="80" t="s">
        <v>65</v>
      </c>
      <c r="Q59" s="447"/>
      <c r="R59" s="78">
        <v>838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0</v>
      </c>
      <c r="C60" s="368">
        <f>$A$6</f>
        <v>0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0</v>
      </c>
      <c r="N60" s="140"/>
      <c r="O60" s="78"/>
      <c r="P60" s="80" t="s">
        <v>65</v>
      </c>
      <c r="Q60" s="447"/>
      <c r="R60" s="78"/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368">
        <f>$A$7</f>
        <v>0</v>
      </c>
      <c r="D61" s="369"/>
      <c r="E61" s="370"/>
      <c r="F61" s="428"/>
      <c r="G61" s="429"/>
      <c r="H61" s="430"/>
      <c r="I61" s="75"/>
      <c r="J61" s="76"/>
      <c r="K61" s="139"/>
      <c r="L61" s="77" t="s">
        <v>65</v>
      </c>
      <c r="M61" s="78">
        <f t="shared" si="12"/>
        <v>0</v>
      </c>
      <c r="N61" s="140"/>
      <c r="O61" s="78"/>
      <c r="P61" s="80" t="s">
        <v>65</v>
      </c>
      <c r="Q61" s="444"/>
      <c r="R61" s="78"/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90</v>
      </c>
      <c r="B62" s="191">
        <f t="shared" si="13"/>
        <v>838</v>
      </c>
      <c r="C62" s="422" t="str">
        <f t="shared" si="14"/>
        <v>BK</v>
      </c>
      <c r="D62" s="423"/>
      <c r="E62" s="424"/>
      <c r="F62" s="425"/>
      <c r="G62" s="426"/>
      <c r="H62" s="427"/>
      <c r="I62" s="207" t="s">
        <v>79</v>
      </c>
      <c r="J62" s="192"/>
      <c r="K62" s="193"/>
      <c r="L62" s="194" t="s">
        <v>63</v>
      </c>
      <c r="M62" s="195">
        <f t="shared" si="12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0</v>
      </c>
      <c r="U62" s="199"/>
      <c r="V62" s="199"/>
      <c r="W62" s="208"/>
      <c r="X62" s="198"/>
      <c r="Y62" s="437" t="s">
        <v>64</v>
      </c>
      <c r="Z62" s="231"/>
      <c r="AA62" s="232"/>
      <c r="AB62" s="439"/>
    </row>
    <row r="63" spans="1:32" s="55" customFormat="1" ht="69.95" customHeight="1" x14ac:dyDescent="0.15">
      <c r="A63" s="559"/>
      <c r="B63" s="204">
        <f>$I$6</f>
        <v>0</v>
      </c>
      <c r="C63" s="422">
        <f>$A$6</f>
        <v>0</v>
      </c>
      <c r="D63" s="423"/>
      <c r="E63" s="424"/>
      <c r="F63" s="425"/>
      <c r="G63" s="426"/>
      <c r="H63" s="427"/>
      <c r="I63" s="207" t="s">
        <v>79</v>
      </c>
      <c r="J63" s="192"/>
      <c r="K63" s="193"/>
      <c r="L63" s="194" t="s">
        <v>63</v>
      </c>
      <c r="M63" s="195">
        <f t="shared" si="12"/>
        <v>0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0</v>
      </c>
      <c r="U63" s="199"/>
      <c r="V63" s="200"/>
      <c r="W63" s="195"/>
      <c r="X63" s="195"/>
      <c r="Y63" s="562"/>
      <c r="Z63" s="201"/>
      <c r="AA63" s="202"/>
      <c r="AB63" s="558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91">
        <f>$I$7</f>
        <v>0</v>
      </c>
      <c r="C64" s="465">
        <f>$A$7</f>
        <v>0</v>
      </c>
      <c r="D64" s="465"/>
      <c r="E64" s="465"/>
      <c r="F64" s="425"/>
      <c r="G64" s="426"/>
      <c r="H64" s="427"/>
      <c r="I64" s="207" t="s">
        <v>79</v>
      </c>
      <c r="J64" s="192"/>
      <c r="K64" s="193"/>
      <c r="L64" s="194" t="s">
        <v>63</v>
      </c>
      <c r="M64" s="195">
        <f t="shared" si="12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440"/>
      <c r="AC64" s="142"/>
      <c r="AD64" s="179"/>
      <c r="AE64" s="179"/>
      <c r="AF64" s="179"/>
    </row>
    <row r="65" spans="1:32" s="55" customFormat="1" ht="69.95" customHeight="1" x14ac:dyDescent="0.15">
      <c r="A65" s="431" t="s">
        <v>357</v>
      </c>
      <c r="B65" s="182">
        <f t="shared" ref="B65" si="17">$I$5</f>
        <v>838</v>
      </c>
      <c r="C65" s="368" t="str">
        <f t="shared" ref="C65" si="18">$A$5</f>
        <v>BK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838</v>
      </c>
      <c r="N65" s="79"/>
      <c r="O65" s="78"/>
      <c r="P65" s="80" t="s">
        <v>63</v>
      </c>
      <c r="Q65" s="443"/>
      <c r="R65" s="78"/>
      <c r="S65" s="80" t="s">
        <v>63</v>
      </c>
      <c r="T65" s="84">
        <f t="shared" si="3"/>
        <v>-838</v>
      </c>
      <c r="U65" s="82"/>
      <c r="V65" s="82"/>
      <c r="W65" s="83"/>
      <c r="X65" s="81"/>
      <c r="Y65" s="445" t="s">
        <v>64</v>
      </c>
      <c r="Z65" s="86"/>
      <c r="AA65" s="85"/>
      <c r="AB65" s="586"/>
    </row>
    <row r="66" spans="1:32" s="55" customFormat="1" ht="69.95" customHeight="1" x14ac:dyDescent="0.15">
      <c r="A66" s="559"/>
      <c r="B66" s="186">
        <f>$I$6</f>
        <v>0</v>
      </c>
      <c r="C66" s="368">
        <f>$A$6</f>
        <v>0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0</v>
      </c>
      <c r="N66" s="140"/>
      <c r="O66" s="78"/>
      <c r="P66" s="80" t="s">
        <v>63</v>
      </c>
      <c r="Q66" s="447"/>
      <c r="R66" s="78"/>
      <c r="S66" s="80" t="s">
        <v>63</v>
      </c>
      <c r="T66" s="81">
        <f t="shared" si="3"/>
        <v>0</v>
      </c>
      <c r="U66" s="82"/>
      <c r="V66" s="137"/>
      <c r="W66" s="78"/>
      <c r="X66" s="78"/>
      <c r="Y66" s="557"/>
      <c r="Z66" s="141"/>
      <c r="AA66" s="135"/>
      <c r="AB66" s="587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0</v>
      </c>
      <c r="C67" s="456">
        <f>$A$7</f>
        <v>0</v>
      </c>
      <c r="D67" s="456"/>
      <c r="E67" s="456"/>
      <c r="F67" s="428"/>
      <c r="G67" s="429"/>
      <c r="H67" s="430"/>
      <c r="I67" s="442"/>
      <c r="J67" s="76"/>
      <c r="K67" s="139"/>
      <c r="L67" s="77" t="s">
        <v>63</v>
      </c>
      <c r="M67" s="78">
        <f t="shared" si="12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588"/>
      <c r="AC67" s="142"/>
      <c r="AD67" s="179"/>
      <c r="AE67" s="179"/>
      <c r="AF67" s="179"/>
    </row>
    <row r="68" spans="1:32" s="55" customFormat="1" ht="69.95" customHeight="1" x14ac:dyDescent="0.15">
      <c r="A68" s="431" t="s">
        <v>414</v>
      </c>
      <c r="B68" s="182">
        <f t="shared" ref="B68" si="19">$I$5</f>
        <v>838</v>
      </c>
      <c r="C68" s="368" t="str">
        <f t="shared" ref="C68" si="20">$A$5</f>
        <v>BK</v>
      </c>
      <c r="D68" s="369"/>
      <c r="E68" s="370"/>
      <c r="F68" s="428"/>
      <c r="G68" s="429"/>
      <c r="H68" s="430"/>
      <c r="I68" s="441" t="s">
        <v>367</v>
      </c>
      <c r="J68" s="76"/>
      <c r="K68" s="136">
        <v>0.5</v>
      </c>
      <c r="L68" s="77" t="s">
        <v>129</v>
      </c>
      <c r="M68" s="78">
        <f t="shared" si="12"/>
        <v>419</v>
      </c>
      <c r="N68" s="79"/>
      <c r="O68" s="78"/>
      <c r="P68" s="80" t="s">
        <v>63</v>
      </c>
      <c r="Q68" s="443">
        <v>46207</v>
      </c>
      <c r="R68" s="78">
        <v>450</v>
      </c>
      <c r="S68" s="80" t="s">
        <v>63</v>
      </c>
      <c r="T68" s="84">
        <f t="shared" si="3"/>
        <v>31</v>
      </c>
      <c r="U68" s="82"/>
      <c r="V68" s="82"/>
      <c r="W68" s="83"/>
      <c r="X68" s="81"/>
      <c r="Y68" s="445" t="s">
        <v>130</v>
      </c>
      <c r="Z68" s="86"/>
      <c r="AA68" s="85"/>
      <c r="AB68" s="360" t="s">
        <v>475</v>
      </c>
    </row>
    <row r="69" spans="1:32" s="55" customFormat="1" ht="69.95" customHeight="1" x14ac:dyDescent="0.15">
      <c r="A69" s="559"/>
      <c r="B69" s="186">
        <f>$I$6</f>
        <v>0</v>
      </c>
      <c r="C69" s="368">
        <f>$A$6</f>
        <v>0</v>
      </c>
      <c r="D69" s="369"/>
      <c r="E69" s="370"/>
      <c r="F69" s="428"/>
      <c r="G69" s="429"/>
      <c r="H69" s="430"/>
      <c r="I69" s="563"/>
      <c r="J69" s="76"/>
      <c r="K69" s="136">
        <v>0.5</v>
      </c>
      <c r="L69" s="77" t="s">
        <v>129</v>
      </c>
      <c r="M69" s="78">
        <f t="shared" si="12"/>
        <v>0</v>
      </c>
      <c r="N69" s="140"/>
      <c r="O69" s="78"/>
      <c r="P69" s="80" t="s">
        <v>63</v>
      </c>
      <c r="Q69" s="447"/>
      <c r="R69" s="78"/>
      <c r="S69" s="80" t="s">
        <v>63</v>
      </c>
      <c r="T69" s="81">
        <f t="shared" si="3"/>
        <v>0</v>
      </c>
      <c r="U69" s="82"/>
      <c r="V69" s="137"/>
      <c r="W69" s="78"/>
      <c r="X69" s="78"/>
      <c r="Y69" s="557"/>
      <c r="Z69" s="141"/>
      <c r="AA69" s="135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432"/>
      <c r="B70" s="182">
        <f>$I$7</f>
        <v>0</v>
      </c>
      <c r="C70" s="461">
        <f>$A$7</f>
        <v>0</v>
      </c>
      <c r="D70" s="461"/>
      <c r="E70" s="461"/>
      <c r="F70" s="428"/>
      <c r="G70" s="429"/>
      <c r="H70" s="430"/>
      <c r="I70" s="442"/>
      <c r="J70" s="76"/>
      <c r="K70" s="136"/>
      <c r="L70" s="77" t="s">
        <v>129</v>
      </c>
      <c r="M70" s="78">
        <f t="shared" si="12"/>
        <v>0</v>
      </c>
      <c r="N70" s="140"/>
      <c r="O70" s="78"/>
      <c r="P70" s="80" t="s">
        <v>63</v>
      </c>
      <c r="Q70" s="444"/>
      <c r="R70" s="78"/>
      <c r="S70" s="80" t="s">
        <v>63</v>
      </c>
      <c r="T70" s="81">
        <f t="shared" si="3"/>
        <v>0</v>
      </c>
      <c r="U70" s="82"/>
      <c r="V70" s="137"/>
      <c r="W70" s="78"/>
      <c r="X70" s="78"/>
      <c r="Y70" s="446"/>
      <c r="Z70" s="141"/>
      <c r="AA70" s="135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431" t="s">
        <v>141</v>
      </c>
      <c r="B71" s="191">
        <f t="shared" ref="B71" si="21">$I$5</f>
        <v>838</v>
      </c>
      <c r="C71" s="422" t="str">
        <f t="shared" ref="C71" si="22">$A$5</f>
        <v>BK</v>
      </c>
      <c r="D71" s="423"/>
      <c r="E71" s="424"/>
      <c r="F71" s="425"/>
      <c r="G71" s="426"/>
      <c r="H71" s="427"/>
      <c r="I71" s="433" t="s">
        <v>204</v>
      </c>
      <c r="J71" s="192"/>
      <c r="K71" s="209"/>
      <c r="L71" s="194" t="s">
        <v>129</v>
      </c>
      <c r="M71" s="195">
        <f t="shared" si="12"/>
        <v>0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0</v>
      </c>
      <c r="U71" s="199"/>
      <c r="V71" s="199"/>
      <c r="W71" s="208"/>
      <c r="X71" s="198"/>
      <c r="Y71" s="437" t="s">
        <v>130</v>
      </c>
      <c r="Z71" s="231"/>
      <c r="AA71" s="232"/>
      <c r="AB71" s="439"/>
    </row>
    <row r="72" spans="1:32" s="55" customFormat="1" ht="69.95" customHeight="1" x14ac:dyDescent="0.15">
      <c r="A72" s="559"/>
      <c r="B72" s="204">
        <f>$I$6</f>
        <v>0</v>
      </c>
      <c r="C72" s="422">
        <f>$A$6</f>
        <v>0</v>
      </c>
      <c r="D72" s="423"/>
      <c r="E72" s="424"/>
      <c r="F72" s="425"/>
      <c r="G72" s="426"/>
      <c r="H72" s="427"/>
      <c r="I72" s="560"/>
      <c r="J72" s="192"/>
      <c r="K72" s="209"/>
      <c r="L72" s="194" t="s">
        <v>129</v>
      </c>
      <c r="M72" s="195">
        <f t="shared" si="12"/>
        <v>0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0</v>
      </c>
      <c r="U72" s="199"/>
      <c r="V72" s="200"/>
      <c r="W72" s="195"/>
      <c r="X72" s="195"/>
      <c r="Y72" s="562"/>
      <c r="Z72" s="201"/>
      <c r="AA72" s="202"/>
      <c r="AB72" s="558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91">
        <f>$I$7</f>
        <v>0</v>
      </c>
      <c r="C73" s="465">
        <f>$A$7</f>
        <v>0</v>
      </c>
      <c r="D73" s="465"/>
      <c r="E73" s="465"/>
      <c r="F73" s="425"/>
      <c r="G73" s="426"/>
      <c r="H73" s="427"/>
      <c r="I73" s="434"/>
      <c r="J73" s="192"/>
      <c r="K73" s="209"/>
      <c r="L73" s="194" t="s">
        <v>129</v>
      </c>
      <c r="M73" s="195">
        <f t="shared" si="12"/>
        <v>0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0</v>
      </c>
      <c r="U73" s="199"/>
      <c r="V73" s="200"/>
      <c r="W73" s="195"/>
      <c r="X73" s="195"/>
      <c r="Y73" s="438"/>
      <c r="Z73" s="201"/>
      <c r="AA73" s="202"/>
      <c r="AB73" s="440"/>
      <c r="AC73" s="142"/>
      <c r="AD73" s="179"/>
      <c r="AE73" s="179"/>
      <c r="AF73" s="179"/>
    </row>
    <row r="74" spans="1:32" s="206" customFormat="1" ht="69.95" customHeight="1" x14ac:dyDescent="0.15">
      <c r="A74" s="431" t="s">
        <v>120</v>
      </c>
      <c r="B74" s="191">
        <f t="shared" ref="B74" si="23">$I$5</f>
        <v>838</v>
      </c>
      <c r="C74" s="422" t="str">
        <f t="shared" ref="C74" si="24">$A$5</f>
        <v>BK</v>
      </c>
      <c r="D74" s="423"/>
      <c r="E74" s="424"/>
      <c r="F74" s="425"/>
      <c r="G74" s="426"/>
      <c r="H74" s="427"/>
      <c r="I74" s="433" t="s">
        <v>75</v>
      </c>
      <c r="J74" s="192"/>
      <c r="K74" s="193"/>
      <c r="L74" s="194" t="s">
        <v>63</v>
      </c>
      <c r="M74" s="195">
        <f t="shared" si="4"/>
        <v>0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0</v>
      </c>
      <c r="U74" s="199"/>
      <c r="V74" s="199"/>
      <c r="W74" s="208"/>
      <c r="X74" s="198"/>
      <c r="Y74" s="437" t="s">
        <v>64</v>
      </c>
      <c r="Z74" s="231"/>
      <c r="AA74" s="232"/>
      <c r="AB74" s="439"/>
    </row>
    <row r="75" spans="1:32" s="206" customFormat="1" ht="69.95" customHeight="1" x14ac:dyDescent="0.15">
      <c r="A75" s="559"/>
      <c r="B75" s="204">
        <f>$I$6</f>
        <v>0</v>
      </c>
      <c r="C75" s="422">
        <f>$A$6</f>
        <v>0</v>
      </c>
      <c r="D75" s="423"/>
      <c r="E75" s="424"/>
      <c r="F75" s="425"/>
      <c r="G75" s="426"/>
      <c r="H75" s="427"/>
      <c r="I75" s="560"/>
      <c r="J75" s="192"/>
      <c r="K75" s="193"/>
      <c r="L75" s="194" t="s">
        <v>63</v>
      </c>
      <c r="M75" s="195">
        <f t="shared" si="4"/>
        <v>0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0</v>
      </c>
      <c r="U75" s="199"/>
      <c r="V75" s="200"/>
      <c r="W75" s="195"/>
      <c r="X75" s="195"/>
      <c r="Y75" s="562"/>
      <c r="Z75" s="201"/>
      <c r="AA75" s="202"/>
      <c r="AB75" s="558"/>
      <c r="AC75" s="234"/>
      <c r="AD75" s="230"/>
      <c r="AE75" s="230"/>
      <c r="AF75" s="230"/>
    </row>
    <row r="76" spans="1:32" s="206" customFormat="1" ht="69.95" customHeight="1" x14ac:dyDescent="0.15">
      <c r="A76" s="432"/>
      <c r="B76" s="191">
        <f>$I$7</f>
        <v>0</v>
      </c>
      <c r="C76" s="465">
        <f>$A$7</f>
        <v>0</v>
      </c>
      <c r="D76" s="465"/>
      <c r="E76" s="465"/>
      <c r="F76" s="425"/>
      <c r="G76" s="426"/>
      <c r="H76" s="427"/>
      <c r="I76" s="434"/>
      <c r="J76" s="192"/>
      <c r="K76" s="193"/>
      <c r="L76" s="194" t="s">
        <v>63</v>
      </c>
      <c r="M76" s="195">
        <f t="shared" si="4"/>
        <v>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0</v>
      </c>
      <c r="U76" s="199"/>
      <c r="V76" s="200"/>
      <c r="W76" s="195"/>
      <c r="X76" s="195"/>
      <c r="Y76" s="438"/>
      <c r="Z76" s="201"/>
      <c r="AA76" s="202"/>
      <c r="AB76" s="440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318</v>
      </c>
      <c r="C77" s="407" t="e">
        <f>#REF!</f>
        <v>#REF!</v>
      </c>
      <c r="D77" s="408"/>
      <c r="E77" s="409"/>
      <c r="F77" s="371" t="s">
        <v>98</v>
      </c>
      <c r="G77" s="372"/>
      <c r="H77" s="373"/>
      <c r="I77" s="614" t="s">
        <v>358</v>
      </c>
      <c r="J77" s="255"/>
      <c r="K77" s="263">
        <v>1</v>
      </c>
      <c r="L77" s="168" t="s">
        <v>63</v>
      </c>
      <c r="M77" s="169">
        <f t="shared" si="4"/>
        <v>318</v>
      </c>
      <c r="N77" s="171"/>
      <c r="O77" s="277"/>
      <c r="P77" s="169" t="s">
        <v>63</v>
      </c>
      <c r="Q77" s="376">
        <v>46207</v>
      </c>
      <c r="R77" s="277">
        <v>318</v>
      </c>
      <c r="S77" s="169" t="s">
        <v>63</v>
      </c>
      <c r="T77" s="278">
        <f t="shared" si="3"/>
        <v>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475</v>
      </c>
    </row>
    <row r="78" spans="1:32" s="176" customFormat="1" ht="54.95" customHeight="1" x14ac:dyDescent="0.15">
      <c r="A78" s="387"/>
      <c r="B78" s="164">
        <f>D11</f>
        <v>370</v>
      </c>
      <c r="C78" s="410"/>
      <c r="D78" s="411"/>
      <c r="E78" s="412"/>
      <c r="F78" s="371" t="s">
        <v>98</v>
      </c>
      <c r="G78" s="372"/>
      <c r="H78" s="373"/>
      <c r="I78" s="615"/>
      <c r="J78" s="255"/>
      <c r="K78" s="167">
        <v>1</v>
      </c>
      <c r="L78" s="168" t="s">
        <v>63</v>
      </c>
      <c r="M78" s="169">
        <f t="shared" si="4"/>
        <v>370</v>
      </c>
      <c r="N78" s="171"/>
      <c r="O78" s="277"/>
      <c r="P78" s="169" t="s">
        <v>63</v>
      </c>
      <c r="Q78" s="377"/>
      <c r="R78" s="277">
        <v>370</v>
      </c>
      <c r="S78" s="169" t="s">
        <v>63</v>
      </c>
      <c r="T78" s="278">
        <f t="shared" si="3"/>
        <v>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150</v>
      </c>
      <c r="C79" s="410"/>
      <c r="D79" s="411"/>
      <c r="E79" s="412"/>
      <c r="F79" s="371" t="s">
        <v>98</v>
      </c>
      <c r="G79" s="372"/>
      <c r="H79" s="373"/>
      <c r="I79" s="615"/>
      <c r="J79" s="255"/>
      <c r="K79" s="167">
        <v>1</v>
      </c>
      <c r="L79" s="168" t="s">
        <v>63</v>
      </c>
      <c r="M79" s="169">
        <f t="shared" si="4"/>
        <v>150</v>
      </c>
      <c r="N79" s="171"/>
      <c r="O79" s="277"/>
      <c r="P79" s="169" t="s">
        <v>63</v>
      </c>
      <c r="Q79" s="377"/>
      <c r="R79" s="277">
        <v>150</v>
      </c>
      <c r="S79" s="169" t="s">
        <v>63</v>
      </c>
      <c r="T79" s="278">
        <f t="shared" si="3"/>
        <v>0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 t="s">
        <v>98</v>
      </c>
      <c r="G80" s="372"/>
      <c r="H80" s="373"/>
      <c r="I80" s="615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 t="s">
        <v>98</v>
      </c>
      <c r="G81" s="372"/>
      <c r="H81" s="373"/>
      <c r="I81" s="61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415</v>
      </c>
      <c r="B82" s="164">
        <f>C5+C8</f>
        <v>318</v>
      </c>
      <c r="C82" s="456" t="str">
        <f>A5</f>
        <v>BK</v>
      </c>
      <c r="D82" s="456"/>
      <c r="E82" s="456"/>
      <c r="F82" s="371"/>
      <c r="G82" s="372"/>
      <c r="H82" s="373"/>
      <c r="I82" s="276"/>
      <c r="J82" s="276"/>
      <c r="K82" s="167">
        <v>1</v>
      </c>
      <c r="L82" s="168" t="s">
        <v>63</v>
      </c>
      <c r="M82" s="169">
        <f t="shared" si="4"/>
        <v>318</v>
      </c>
      <c r="N82" s="171"/>
      <c r="O82" s="277"/>
      <c r="P82" s="169" t="s">
        <v>63</v>
      </c>
      <c r="Q82" s="376">
        <v>46207</v>
      </c>
      <c r="R82" s="277">
        <v>318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475</v>
      </c>
    </row>
    <row r="83" spans="1:28" s="176" customFormat="1" ht="54.95" customHeight="1" x14ac:dyDescent="0.15">
      <c r="A83" s="387"/>
      <c r="B83" s="164">
        <f>D5+D8</f>
        <v>370</v>
      </c>
      <c r="C83" s="456"/>
      <c r="D83" s="456"/>
      <c r="E83" s="456"/>
      <c r="F83" s="371"/>
      <c r="G83" s="372"/>
      <c r="H83" s="373"/>
      <c r="I83" s="276"/>
      <c r="J83" s="276"/>
      <c r="K83" s="167">
        <v>1</v>
      </c>
      <c r="L83" s="168" t="s">
        <v>63</v>
      </c>
      <c r="M83" s="169">
        <f t="shared" si="4"/>
        <v>370</v>
      </c>
      <c r="N83" s="171"/>
      <c r="O83" s="277"/>
      <c r="P83" s="169" t="s">
        <v>63</v>
      </c>
      <c r="Q83" s="377"/>
      <c r="R83" s="277">
        <v>370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150</v>
      </c>
      <c r="C84" s="456"/>
      <c r="D84" s="456"/>
      <c r="E84" s="456"/>
      <c r="F84" s="371"/>
      <c r="G84" s="372"/>
      <c r="H84" s="373"/>
      <c r="I84" s="276"/>
      <c r="J84" s="276"/>
      <c r="K84" s="167">
        <v>1</v>
      </c>
      <c r="L84" s="168" t="s">
        <v>63</v>
      </c>
      <c r="M84" s="169">
        <f t="shared" si="4"/>
        <v>150</v>
      </c>
      <c r="N84" s="171"/>
      <c r="O84" s="277"/>
      <c r="P84" s="169" t="s">
        <v>63</v>
      </c>
      <c r="Q84" s="377"/>
      <c r="R84" s="277">
        <v>150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0</v>
      </c>
      <c r="C85" s="456">
        <f>A6</f>
        <v>0</v>
      </c>
      <c r="D85" s="456"/>
      <c r="E85" s="456"/>
      <c r="F85" s="371"/>
      <c r="G85" s="372"/>
      <c r="H85" s="373"/>
      <c r="I85" s="276"/>
      <c r="J85" s="276"/>
      <c r="K85" s="167">
        <v>1</v>
      </c>
      <c r="L85" s="168" t="s">
        <v>63</v>
      </c>
      <c r="M85" s="169">
        <f t="shared" si="4"/>
        <v>0</v>
      </c>
      <c r="N85" s="171"/>
      <c r="O85" s="277"/>
      <c r="P85" s="169" t="s">
        <v>63</v>
      </c>
      <c r="Q85" s="377"/>
      <c r="R85" s="168"/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0</v>
      </c>
      <c r="C86" s="456"/>
      <c r="D86" s="456"/>
      <c r="E86" s="456"/>
      <c r="F86" s="371"/>
      <c r="G86" s="372"/>
      <c r="H86" s="373"/>
      <c r="I86" s="276"/>
      <c r="J86" s="276"/>
      <c r="K86" s="167">
        <v>1</v>
      </c>
      <c r="L86" s="168" t="s">
        <v>63</v>
      </c>
      <c r="M86" s="169">
        <f t="shared" ref="M86:M106" si="25">K86*B86</f>
        <v>0</v>
      </c>
      <c r="N86" s="171"/>
      <c r="O86" s="277"/>
      <c r="P86" s="169" t="s">
        <v>63</v>
      </c>
      <c r="Q86" s="377"/>
      <c r="R86" s="168"/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0</v>
      </c>
      <c r="C87" s="456"/>
      <c r="D87" s="456"/>
      <c r="E87" s="456"/>
      <c r="F87" s="371"/>
      <c r="G87" s="372"/>
      <c r="H87" s="373"/>
      <c r="I87" s="276"/>
      <c r="J87" s="276"/>
      <c r="K87" s="167">
        <v>1</v>
      </c>
      <c r="L87" s="168" t="s">
        <v>63</v>
      </c>
      <c r="M87" s="169">
        <f t="shared" si="25"/>
        <v>0</v>
      </c>
      <c r="N87" s="171"/>
      <c r="O87" s="277"/>
      <c r="P87" s="169" t="s">
        <v>63</v>
      </c>
      <c r="Q87" s="377"/>
      <c r="R87" s="277"/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0</v>
      </c>
      <c r="C88" s="456">
        <f>A7</f>
        <v>0</v>
      </c>
      <c r="D88" s="456"/>
      <c r="E88" s="456"/>
      <c r="F88" s="371"/>
      <c r="G88" s="372"/>
      <c r="H88" s="373"/>
      <c r="I88" s="276"/>
      <c r="J88" s="276"/>
      <c r="K88" s="167">
        <v>1</v>
      </c>
      <c r="L88" s="168" t="s">
        <v>63</v>
      </c>
      <c r="M88" s="169">
        <f t="shared" si="25"/>
        <v>0</v>
      </c>
      <c r="N88" s="171"/>
      <c r="O88" s="277"/>
      <c r="P88" s="169" t="s">
        <v>63</v>
      </c>
      <c r="Q88" s="377"/>
      <c r="R88" s="277"/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0</v>
      </c>
      <c r="C89" s="456"/>
      <c r="D89" s="456"/>
      <c r="E89" s="456"/>
      <c r="F89" s="371"/>
      <c r="G89" s="372"/>
      <c r="H89" s="373"/>
      <c r="I89" s="276"/>
      <c r="J89" s="276"/>
      <c r="K89" s="167">
        <v>1</v>
      </c>
      <c r="L89" s="168" t="s">
        <v>63</v>
      </c>
      <c r="M89" s="169">
        <f t="shared" si="25"/>
        <v>0</v>
      </c>
      <c r="N89" s="171"/>
      <c r="O89" s="277"/>
      <c r="P89" s="169" t="s">
        <v>63</v>
      </c>
      <c r="Q89" s="377"/>
      <c r="R89" s="277"/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0</v>
      </c>
      <c r="C90" s="456"/>
      <c r="D90" s="456"/>
      <c r="E90" s="456"/>
      <c r="F90" s="371"/>
      <c r="G90" s="372"/>
      <c r="H90" s="373"/>
      <c r="I90" s="276"/>
      <c r="J90" s="276"/>
      <c r="K90" s="167">
        <v>1</v>
      </c>
      <c r="L90" s="168" t="s">
        <v>63</v>
      </c>
      <c r="M90" s="169">
        <f t="shared" si="25"/>
        <v>0</v>
      </c>
      <c r="N90" s="171"/>
      <c r="O90" s="277"/>
      <c r="P90" s="169" t="s">
        <v>63</v>
      </c>
      <c r="Q90" s="378"/>
      <c r="R90" s="168"/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318</v>
      </c>
      <c r="C91" s="456" t="str">
        <f>A5</f>
        <v>BK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318</v>
      </c>
      <c r="N91" s="171"/>
      <c r="O91" s="277"/>
      <c r="P91" s="169" t="s">
        <v>63</v>
      </c>
      <c r="Q91" s="376"/>
      <c r="R91" s="277"/>
      <c r="S91" s="169" t="s">
        <v>63</v>
      </c>
      <c r="T91" s="278">
        <f t="shared" si="3"/>
        <v>-318</v>
      </c>
      <c r="U91" s="281"/>
      <c r="V91" s="282"/>
      <c r="W91" s="278"/>
      <c r="X91" s="278"/>
      <c r="Y91" s="374" t="s">
        <v>67</v>
      </c>
      <c r="Z91" s="374"/>
      <c r="AA91" s="374"/>
      <c r="AB91" s="404"/>
    </row>
    <row r="92" spans="1:28" s="176" customFormat="1" ht="54.95" customHeight="1" x14ac:dyDescent="0.15">
      <c r="A92" s="387"/>
      <c r="B92" s="164">
        <f>D5</f>
        <v>370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370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 t="shared" si="3"/>
        <v>-370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150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150</v>
      </c>
      <c r="N93" s="171"/>
      <c r="O93" s="277"/>
      <c r="P93" s="169" t="s">
        <v>63</v>
      </c>
      <c r="Q93" s="377"/>
      <c r="R93" s="277"/>
      <c r="S93" s="169" t="s">
        <v>63</v>
      </c>
      <c r="T93" s="278">
        <f t="shared" si="3"/>
        <v>-150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0</v>
      </c>
      <c r="C94" s="456">
        <f>A6</f>
        <v>0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0</v>
      </c>
      <c r="N94" s="171"/>
      <c r="O94" s="277"/>
      <c r="P94" s="169" t="s">
        <v>63</v>
      </c>
      <c r="Q94" s="377"/>
      <c r="R94" s="168"/>
      <c r="S94" s="169" t="s">
        <v>63</v>
      </c>
      <c r="T94" s="278">
        <f t="shared" si="3"/>
        <v>0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0</v>
      </c>
      <c r="N95" s="171"/>
      <c r="O95" s="277"/>
      <c r="P95" s="169" t="s">
        <v>63</v>
      </c>
      <c r="Q95" s="377"/>
      <c r="R95" s="168"/>
      <c r="S95" s="169" t="s">
        <v>63</v>
      </c>
      <c r="T95" s="278">
        <f t="shared" si="3"/>
        <v>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0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0</v>
      </c>
      <c r="N96" s="171"/>
      <c r="O96" s="277"/>
      <c r="P96" s="169" t="s">
        <v>63</v>
      </c>
      <c r="Q96" s="377"/>
      <c r="R96" s="277"/>
      <c r="S96" s="169" t="s">
        <v>63</v>
      </c>
      <c r="T96" s="278">
        <f t="shared" si="3"/>
        <v>0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0</v>
      </c>
      <c r="C97" s="456">
        <f>A7</f>
        <v>0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0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318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318</v>
      </c>
      <c r="N100" s="89"/>
      <c r="O100" s="153"/>
      <c r="P100" s="88" t="s">
        <v>63</v>
      </c>
      <c r="Q100" s="398">
        <v>46207</v>
      </c>
      <c r="R100" s="93">
        <v>838</v>
      </c>
      <c r="S100" s="88" t="s">
        <v>63</v>
      </c>
      <c r="T100" s="154">
        <f t="shared" si="3"/>
        <v>520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478</v>
      </c>
    </row>
    <row r="101" spans="1:28" s="55" customFormat="1" ht="54.95" customHeight="1" x14ac:dyDescent="0.15">
      <c r="A101" s="387"/>
      <c r="B101" s="87">
        <f>D11</f>
        <v>370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370</v>
      </c>
      <c r="N101" s="89"/>
      <c r="O101" s="153"/>
      <c r="P101" s="88" t="s">
        <v>63</v>
      </c>
      <c r="Q101" s="399"/>
      <c r="R101" s="93"/>
      <c r="S101" s="88" t="s">
        <v>63</v>
      </c>
      <c r="T101" s="154">
        <f t="shared" si="3"/>
        <v>-370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150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150</v>
      </c>
      <c r="N102" s="89"/>
      <c r="O102" s="153"/>
      <c r="P102" s="88" t="s">
        <v>63</v>
      </c>
      <c r="Q102" s="399"/>
      <c r="R102" s="93"/>
      <c r="S102" s="88" t="s">
        <v>63</v>
      </c>
      <c r="T102" s="154">
        <f t="shared" si="3"/>
        <v>-150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838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838</v>
      </c>
      <c r="N104" s="170"/>
      <c r="O104" s="170"/>
      <c r="P104" s="169" t="s">
        <v>63</v>
      </c>
      <c r="Q104" s="350">
        <v>46207</v>
      </c>
      <c r="R104" s="165">
        <v>838</v>
      </c>
      <c r="S104" s="169" t="s">
        <v>63</v>
      </c>
      <c r="T104" s="154">
        <f t="shared" si="3"/>
        <v>0</v>
      </c>
      <c r="U104" s="170"/>
      <c r="V104" s="172"/>
      <c r="W104" s="172"/>
      <c r="X104" s="172"/>
      <c r="Y104" s="374" t="s">
        <v>72</v>
      </c>
      <c r="Z104" s="380"/>
      <c r="AA104" s="383"/>
      <c r="AB104" s="351" t="s">
        <v>475</v>
      </c>
    </row>
    <row r="105" spans="1:28" s="55" customFormat="1" ht="54.95" customHeight="1" x14ac:dyDescent="0.15">
      <c r="A105" s="163" t="s">
        <v>81</v>
      </c>
      <c r="B105" s="87">
        <f>I11</f>
        <v>838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838</v>
      </c>
      <c r="N105" s="91"/>
      <c r="O105" s="91"/>
      <c r="P105" s="169" t="s">
        <v>63</v>
      </c>
      <c r="Q105" s="350">
        <v>46207</v>
      </c>
      <c r="R105" s="165">
        <v>838</v>
      </c>
      <c r="S105" s="169" t="s">
        <v>63</v>
      </c>
      <c r="T105" s="154">
        <f t="shared" si="3"/>
        <v>0</v>
      </c>
      <c r="U105" s="91"/>
      <c r="V105" s="91"/>
      <c r="W105" s="91"/>
      <c r="X105" s="91"/>
      <c r="Y105" s="375"/>
      <c r="Z105" s="381"/>
      <c r="AA105" s="384"/>
      <c r="AB105" s="349" t="s">
        <v>475</v>
      </c>
    </row>
    <row r="106" spans="1:28" s="55" customFormat="1" ht="54.95" customHeight="1" x14ac:dyDescent="0.15">
      <c r="A106" s="284" t="s">
        <v>160</v>
      </c>
      <c r="B106" s="87">
        <f>I11</f>
        <v>838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838</v>
      </c>
      <c r="N106" s="91"/>
      <c r="O106" s="91"/>
      <c r="P106" s="89" t="s">
        <v>63</v>
      </c>
      <c r="Q106" s="332">
        <v>46207</v>
      </c>
      <c r="R106" s="93">
        <v>838</v>
      </c>
      <c r="S106" s="89" t="s">
        <v>63</v>
      </c>
      <c r="T106" s="154">
        <f t="shared" si="3"/>
        <v>0</v>
      </c>
      <c r="U106" s="91"/>
      <c r="V106" s="91"/>
      <c r="W106" s="91"/>
      <c r="X106" s="91"/>
      <c r="Y106" s="379"/>
      <c r="Z106" s="382"/>
      <c r="AA106" s="385"/>
      <c r="AB106" s="351" t="s">
        <v>478</v>
      </c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5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5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11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"/>
      <c r="AC118" s="1"/>
    </row>
  </sheetData>
  <mergeCells count="368">
    <mergeCell ref="AA104:AA106"/>
    <mergeCell ref="F101:H101"/>
    <mergeCell ref="F102:H102"/>
    <mergeCell ref="F103:H103"/>
    <mergeCell ref="C105:E105"/>
    <mergeCell ref="F105:H105"/>
    <mergeCell ref="C106:E106"/>
    <mergeCell ref="F106:H106"/>
    <mergeCell ref="B107:C107"/>
    <mergeCell ref="C104:E104"/>
    <mergeCell ref="F104:H104"/>
    <mergeCell ref="Y104:Y106"/>
    <mergeCell ref="Z104:Z106"/>
    <mergeCell ref="B108:C108"/>
    <mergeCell ref="F108:H108"/>
    <mergeCell ref="A100:A103"/>
    <mergeCell ref="C100:E103"/>
    <mergeCell ref="F100:H100"/>
    <mergeCell ref="Q100:Q103"/>
    <mergeCell ref="Y100:Y103"/>
    <mergeCell ref="AA91:AA95"/>
    <mergeCell ref="AB91:AB99"/>
    <mergeCell ref="F92:H92"/>
    <mergeCell ref="F93:H93"/>
    <mergeCell ref="C94:E96"/>
    <mergeCell ref="F94:H94"/>
    <mergeCell ref="F95:H95"/>
    <mergeCell ref="F96:H96"/>
    <mergeCell ref="Y96:Y99"/>
    <mergeCell ref="Z96:Z99"/>
    <mergeCell ref="A91:A99"/>
    <mergeCell ref="C91:E93"/>
    <mergeCell ref="F91:H91"/>
    <mergeCell ref="Q91:Q99"/>
    <mergeCell ref="Y91:Y95"/>
    <mergeCell ref="Z91:Z95"/>
    <mergeCell ref="Z100:Z103"/>
    <mergeCell ref="AB100:AB103"/>
    <mergeCell ref="AA82:AA90"/>
    <mergeCell ref="AB82:AB90"/>
    <mergeCell ref="F83:H83"/>
    <mergeCell ref="F84:H84"/>
    <mergeCell ref="C85:E87"/>
    <mergeCell ref="F85:H85"/>
    <mergeCell ref="F86:H86"/>
    <mergeCell ref="F87:H87"/>
    <mergeCell ref="C88:E90"/>
    <mergeCell ref="F88:H88"/>
    <mergeCell ref="AA96:AA99"/>
    <mergeCell ref="C97:E99"/>
    <mergeCell ref="F97:H97"/>
    <mergeCell ref="F98:H98"/>
    <mergeCell ref="F99:H99"/>
    <mergeCell ref="AA100:AA103"/>
    <mergeCell ref="A82:A90"/>
    <mergeCell ref="C82:E84"/>
    <mergeCell ref="F82:H82"/>
    <mergeCell ref="Q82:Q90"/>
    <mergeCell ref="Y82:Y90"/>
    <mergeCell ref="Z82:Z90"/>
    <mergeCell ref="F89:H89"/>
    <mergeCell ref="F90:H90"/>
    <mergeCell ref="Z77:Z81"/>
    <mergeCell ref="AA77:AA81"/>
    <mergeCell ref="AB77:AB81"/>
    <mergeCell ref="F78:H78"/>
    <mergeCell ref="F79:H79"/>
    <mergeCell ref="F80:H80"/>
    <mergeCell ref="F81:H81"/>
    <mergeCell ref="A77:A81"/>
    <mergeCell ref="C77:E81"/>
    <mergeCell ref="F77:H77"/>
    <mergeCell ref="I77:I81"/>
    <mergeCell ref="Q77:Q81"/>
    <mergeCell ref="Y77:Y81"/>
    <mergeCell ref="Y74:Y76"/>
    <mergeCell ref="AB74:AB76"/>
    <mergeCell ref="C75:E75"/>
    <mergeCell ref="F75:H75"/>
    <mergeCell ref="C76:E76"/>
    <mergeCell ref="F76:H76"/>
    <mergeCell ref="AB71:AB73"/>
    <mergeCell ref="C72:E72"/>
    <mergeCell ref="F72:H72"/>
    <mergeCell ref="C73:E73"/>
    <mergeCell ref="F73:H73"/>
    <mergeCell ref="Y71:Y73"/>
    <mergeCell ref="A74:A76"/>
    <mergeCell ref="C74:E74"/>
    <mergeCell ref="F74:H74"/>
    <mergeCell ref="I74:I76"/>
    <mergeCell ref="Q74:Q76"/>
    <mergeCell ref="A71:A73"/>
    <mergeCell ref="C71:E71"/>
    <mergeCell ref="F71:H71"/>
    <mergeCell ref="I71:I73"/>
    <mergeCell ref="Q71:Q73"/>
    <mergeCell ref="Y68:Y70"/>
    <mergeCell ref="AB68:AB70"/>
    <mergeCell ref="C69:E69"/>
    <mergeCell ref="F69:H69"/>
    <mergeCell ref="C70:E70"/>
    <mergeCell ref="F70:H70"/>
    <mergeCell ref="AB65:AB67"/>
    <mergeCell ref="C66:E66"/>
    <mergeCell ref="F66:H66"/>
    <mergeCell ref="C67:E67"/>
    <mergeCell ref="F67:H67"/>
    <mergeCell ref="Y65:Y67"/>
    <mergeCell ref="A68:A70"/>
    <mergeCell ref="C68:E68"/>
    <mergeCell ref="F68:H68"/>
    <mergeCell ref="I68:I70"/>
    <mergeCell ref="Q68:Q70"/>
    <mergeCell ref="A65:A67"/>
    <mergeCell ref="C65:E65"/>
    <mergeCell ref="F65:H65"/>
    <mergeCell ref="I65:I67"/>
    <mergeCell ref="Q65:Q67"/>
    <mergeCell ref="A62:A64"/>
    <mergeCell ref="C62:E62"/>
    <mergeCell ref="F62:H62"/>
    <mergeCell ref="Q62:Q64"/>
    <mergeCell ref="Y62:Y64"/>
    <mergeCell ref="AB62:AB64"/>
    <mergeCell ref="C63:E63"/>
    <mergeCell ref="F63:H63"/>
    <mergeCell ref="C64:E64"/>
    <mergeCell ref="F64:H64"/>
    <mergeCell ref="A59:A61"/>
    <mergeCell ref="C59:E59"/>
    <mergeCell ref="F59:H59"/>
    <mergeCell ref="Y59:Y61"/>
    <mergeCell ref="C60:E60"/>
    <mergeCell ref="F60:H60"/>
    <mergeCell ref="C61:E61"/>
    <mergeCell ref="F61:H61"/>
    <mergeCell ref="Y56:Y58"/>
    <mergeCell ref="A56:A58"/>
    <mergeCell ref="AB56:AB61"/>
    <mergeCell ref="C57:E57"/>
    <mergeCell ref="F57:H57"/>
    <mergeCell ref="C58:E58"/>
    <mergeCell ref="F58:H58"/>
    <mergeCell ref="AB53:AB55"/>
    <mergeCell ref="C54:E54"/>
    <mergeCell ref="F54:H54"/>
    <mergeCell ref="C55:E55"/>
    <mergeCell ref="F55:H55"/>
    <mergeCell ref="C56:E56"/>
    <mergeCell ref="F56:H56"/>
    <mergeCell ref="I56:I58"/>
    <mergeCell ref="Q56:Q61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C49:E49"/>
    <mergeCell ref="F49:H49"/>
    <mergeCell ref="A50:A52"/>
    <mergeCell ref="C50:E50"/>
    <mergeCell ref="F50:H50"/>
    <mergeCell ref="I50:I52"/>
    <mergeCell ref="Y50:Y52"/>
    <mergeCell ref="C51:E51"/>
    <mergeCell ref="A44:A46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F51:H51"/>
    <mergeCell ref="AC51:AF51"/>
    <mergeCell ref="C52:E52"/>
    <mergeCell ref="F52:H52"/>
    <mergeCell ref="AC52:AF52"/>
    <mergeCell ref="AC48:AF48"/>
    <mergeCell ref="AC49:AF49"/>
    <mergeCell ref="C44:E44"/>
    <mergeCell ref="F44:H44"/>
    <mergeCell ref="I44:I46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B15:AB17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I15:I17"/>
    <mergeCell ref="Q15:Q17"/>
    <mergeCell ref="Y15:Y17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C53D-9B7B-4299-887A-5330E814FD81}">
  <sheetPr>
    <pageSetUpPr fitToPage="1"/>
  </sheetPr>
  <dimension ref="A1:AF118"/>
  <sheetViews>
    <sheetView view="pageBreakPreview" topLeftCell="A71" zoomScale="75" zoomScaleNormal="100" zoomScaleSheetLayoutView="75" workbookViewId="0">
      <selection activeCell="R32" sqref="R32:R33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35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13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416</v>
      </c>
      <c r="C2" s="548"/>
      <c r="D2" s="548"/>
      <c r="E2" s="548"/>
      <c r="F2" s="548"/>
      <c r="G2" s="549"/>
      <c r="H2" s="180" t="s">
        <v>1</v>
      </c>
      <c r="I2" s="550">
        <f>I11</f>
        <v>1227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7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27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354"/>
      <c r="AC4" s="14" t="s">
        <v>23</v>
      </c>
    </row>
    <row r="5" spans="1:32" ht="24.95" customHeight="1" x14ac:dyDescent="0.15">
      <c r="A5" s="480" t="s">
        <v>105</v>
      </c>
      <c r="B5" s="480"/>
      <c r="C5" s="182">
        <v>240</v>
      </c>
      <c r="D5" s="182">
        <v>260</v>
      </c>
      <c r="E5" s="182">
        <v>50</v>
      </c>
      <c r="F5" s="182"/>
      <c r="G5" s="182"/>
      <c r="H5" s="542" t="s">
        <v>24</v>
      </c>
      <c r="I5" s="524">
        <f t="shared" ref="I5:I11" si="0">SUM(C5:G5)</f>
        <v>550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354"/>
      <c r="AC5" s="14"/>
    </row>
    <row r="6" spans="1:32" ht="24.95" customHeight="1" x14ac:dyDescent="0.15">
      <c r="A6" s="522" t="s">
        <v>261</v>
      </c>
      <c r="B6" s="523"/>
      <c r="C6" s="182">
        <v>280</v>
      </c>
      <c r="D6" s="182">
        <v>300</v>
      </c>
      <c r="E6" s="182">
        <v>97</v>
      </c>
      <c r="F6" s="182"/>
      <c r="G6" s="182"/>
      <c r="H6" s="537"/>
      <c r="I6" s="524">
        <f t="shared" si="0"/>
        <v>677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355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355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46192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520</v>
      </c>
      <c r="D11" s="181">
        <f>SUM(D5:D10)</f>
        <v>560</v>
      </c>
      <c r="E11" s="181">
        <f>SUM(E5:E10)</f>
        <v>147</v>
      </c>
      <c r="F11" s="181">
        <f>SUM(F5:F10)</f>
        <v>0</v>
      </c>
      <c r="G11" s="181">
        <f>SUM(G5:G10)</f>
        <v>0</v>
      </c>
      <c r="H11" s="182"/>
      <c r="I11" s="481">
        <f t="shared" si="0"/>
        <v>1227</v>
      </c>
      <c r="J11" s="481"/>
      <c r="K11" s="37"/>
      <c r="L11" s="37"/>
      <c r="M11" s="38"/>
      <c r="N11" s="39"/>
      <c r="O11" s="39"/>
      <c r="P11" s="39"/>
      <c r="Q11" s="357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46296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530.4</v>
      </c>
      <c r="D12" s="43">
        <f>D11*1.02</f>
        <v>571.20000000000005</v>
      </c>
      <c r="E12" s="43">
        <f>E11*1.02</f>
        <v>149.94</v>
      </c>
      <c r="F12" s="43">
        <f>F11*1.02</f>
        <v>0</v>
      </c>
      <c r="G12" s="43">
        <f>G11*1.02</f>
        <v>0</v>
      </c>
      <c r="H12" s="44"/>
      <c r="I12" s="486">
        <f>I11*1.02</f>
        <v>1251.54</v>
      </c>
      <c r="J12" s="486"/>
      <c r="K12" s="45"/>
      <c r="L12" s="46"/>
      <c r="M12" s="47"/>
      <c r="N12" s="48"/>
      <c r="O12" s="48"/>
      <c r="P12" s="44"/>
      <c r="Q12" s="47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550</v>
      </c>
      <c r="C15" s="474" t="str">
        <f t="shared" ref="C15:C29" si="2">$A$5</f>
        <v>BE</v>
      </c>
      <c r="D15" s="475"/>
      <c r="E15" s="476"/>
      <c r="F15" s="474"/>
      <c r="G15" s="475"/>
      <c r="H15" s="476"/>
      <c r="I15" s="477" t="s">
        <v>133</v>
      </c>
      <c r="J15" s="65" t="s">
        <v>6</v>
      </c>
      <c r="K15" s="66">
        <v>1.58</v>
      </c>
      <c r="L15" s="67" t="s">
        <v>7</v>
      </c>
      <c r="M15" s="68">
        <f>K15*B15</f>
        <v>869</v>
      </c>
      <c r="N15" s="69"/>
      <c r="O15" s="70"/>
      <c r="P15" s="67" t="s">
        <v>7</v>
      </c>
      <c r="Q15" s="478">
        <v>46200</v>
      </c>
      <c r="R15" s="293">
        <v>870</v>
      </c>
      <c r="S15" s="71" t="s">
        <v>7</v>
      </c>
      <c r="T15" s="123">
        <f t="shared" ref="T15:T106" si="3">R15-M15</f>
        <v>1</v>
      </c>
      <c r="U15" s="72"/>
      <c r="V15" s="72"/>
      <c r="W15" s="73"/>
      <c r="X15" s="74"/>
      <c r="Y15" s="479" t="s">
        <v>412</v>
      </c>
      <c r="Z15" s="63"/>
      <c r="AA15" s="64"/>
      <c r="AB15" s="360" t="s">
        <v>467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677</v>
      </c>
      <c r="C16" s="368" t="str">
        <f>$A$6</f>
        <v>MG</v>
      </c>
      <c r="D16" s="369"/>
      <c r="E16" s="370"/>
      <c r="F16" s="368"/>
      <c r="G16" s="369"/>
      <c r="H16" s="370"/>
      <c r="I16" s="563"/>
      <c r="J16" s="76" t="s">
        <v>6</v>
      </c>
      <c r="K16" s="83">
        <v>1.58</v>
      </c>
      <c r="L16" s="77" t="s">
        <v>7</v>
      </c>
      <c r="M16" s="78">
        <f t="shared" ref="M16:M85" si="4">K16*B16</f>
        <v>1069.6600000000001</v>
      </c>
      <c r="N16" s="79"/>
      <c r="O16" s="128"/>
      <c r="P16" s="77" t="s">
        <v>7</v>
      </c>
      <c r="Q16" s="447"/>
      <c r="R16" s="137">
        <v>1071.2</v>
      </c>
      <c r="S16" s="75" t="s">
        <v>7</v>
      </c>
      <c r="T16" s="81">
        <f t="shared" si="3"/>
        <v>1.5399999999999636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442"/>
      <c r="J17" s="76" t="s">
        <v>6</v>
      </c>
      <c r="K17" s="83">
        <v>1.58</v>
      </c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550</v>
      </c>
      <c r="C18" s="461" t="str">
        <f t="shared" si="2"/>
        <v>BE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677</v>
      </c>
      <c r="C19" s="461" t="str">
        <f>$A$6</f>
        <v>MG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132</v>
      </c>
      <c r="B20" s="191">
        <f t="shared" ref="B20" si="5">$I$5</f>
        <v>550</v>
      </c>
      <c r="C20" s="465" t="str">
        <f t="shared" ref="C20" si="6">$A$5</f>
        <v>BE</v>
      </c>
      <c r="D20" s="465"/>
      <c r="E20" s="465"/>
      <c r="F20" s="465"/>
      <c r="G20" s="465"/>
      <c r="H20" s="465"/>
      <c r="I20" s="433" t="s">
        <v>58</v>
      </c>
      <c r="J20" s="192" t="s">
        <v>6</v>
      </c>
      <c r="K20" s="209">
        <v>0.1</v>
      </c>
      <c r="L20" s="194" t="s">
        <v>7</v>
      </c>
      <c r="M20" s="195">
        <f t="shared" si="4"/>
        <v>55</v>
      </c>
      <c r="N20" s="196"/>
      <c r="O20" s="195"/>
      <c r="P20" s="197" t="s">
        <v>7</v>
      </c>
      <c r="Q20" s="435"/>
      <c r="R20" s="195"/>
      <c r="S20" s="197" t="s">
        <v>7</v>
      </c>
      <c r="T20" s="198">
        <f t="shared" si="3"/>
        <v>-55</v>
      </c>
      <c r="U20" s="199"/>
      <c r="V20" s="200"/>
      <c r="W20" s="195"/>
      <c r="X20" s="195"/>
      <c r="Y20" s="437" t="s">
        <v>93</v>
      </c>
      <c r="Z20" s="235"/>
      <c r="AA20" s="202"/>
      <c r="AB20" s="617"/>
      <c r="AC20" s="229"/>
      <c r="AD20" s="230"/>
      <c r="AE20" s="230"/>
      <c r="AF20" s="230"/>
    </row>
    <row r="21" spans="1:32" s="206" customFormat="1" ht="69.95" customHeight="1" x14ac:dyDescent="0.15">
      <c r="A21" s="559"/>
      <c r="B21" s="191">
        <f>$I$6</f>
        <v>677</v>
      </c>
      <c r="C21" s="465" t="str">
        <f>$A$6</f>
        <v>MG</v>
      </c>
      <c r="D21" s="465"/>
      <c r="E21" s="465"/>
      <c r="F21" s="465"/>
      <c r="G21" s="465"/>
      <c r="H21" s="465"/>
      <c r="I21" s="560"/>
      <c r="J21" s="192" t="s">
        <v>6</v>
      </c>
      <c r="K21" s="209">
        <v>0.1</v>
      </c>
      <c r="L21" s="194" t="s">
        <v>7</v>
      </c>
      <c r="M21" s="195">
        <f t="shared" si="4"/>
        <v>67.7</v>
      </c>
      <c r="N21" s="196"/>
      <c r="O21" s="210"/>
      <c r="P21" s="194" t="s">
        <v>7</v>
      </c>
      <c r="Q21" s="561"/>
      <c r="R21" s="200"/>
      <c r="S21" s="207" t="s">
        <v>7</v>
      </c>
      <c r="T21" s="198">
        <f t="shared" si="3"/>
        <v>-67.7</v>
      </c>
      <c r="U21" s="211"/>
      <c r="V21" s="211"/>
      <c r="W21" s="212"/>
      <c r="X21" s="213"/>
      <c r="Y21" s="562"/>
      <c r="Z21" s="214"/>
      <c r="AA21" s="202"/>
      <c r="AB21" s="618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91">
        <f>$I$7</f>
        <v>0</v>
      </c>
      <c r="C22" s="465">
        <f>$A$7</f>
        <v>0</v>
      </c>
      <c r="D22" s="465"/>
      <c r="E22" s="465"/>
      <c r="F22" s="465"/>
      <c r="G22" s="465"/>
      <c r="H22" s="465"/>
      <c r="I22" s="434"/>
      <c r="J22" s="192" t="s">
        <v>6</v>
      </c>
      <c r="K22" s="209"/>
      <c r="L22" s="194" t="s">
        <v>7</v>
      </c>
      <c r="M22" s="195">
        <f t="shared" si="4"/>
        <v>0</v>
      </c>
      <c r="N22" s="196"/>
      <c r="O22" s="210"/>
      <c r="P22" s="194" t="s">
        <v>7</v>
      </c>
      <c r="Q22" s="436"/>
      <c r="R22" s="236"/>
      <c r="S22" s="207" t="s">
        <v>7</v>
      </c>
      <c r="T22" s="198">
        <f t="shared" si="3"/>
        <v>0</v>
      </c>
      <c r="U22" s="211"/>
      <c r="V22" s="211"/>
      <c r="W22" s="212"/>
      <c r="X22" s="213"/>
      <c r="Y22" s="438"/>
      <c r="Z22" s="214"/>
      <c r="AA22" s="202"/>
      <c r="AB22" s="619"/>
      <c r="AC22" s="229"/>
      <c r="AD22" s="230"/>
      <c r="AE22" s="230"/>
      <c r="AF22" s="230"/>
    </row>
    <row r="23" spans="1:32" s="55" customFormat="1" ht="69.95" customHeight="1" x14ac:dyDescent="0.15">
      <c r="A23" s="431" t="s">
        <v>361</v>
      </c>
      <c r="B23" s="182">
        <f t="shared" si="1"/>
        <v>550</v>
      </c>
      <c r="C23" s="461" t="str">
        <f t="shared" si="2"/>
        <v>BE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143</v>
      </c>
      <c r="N23" s="79"/>
      <c r="O23" s="78"/>
      <c r="P23" s="80" t="s">
        <v>7</v>
      </c>
      <c r="Q23" s="443">
        <v>46207</v>
      </c>
      <c r="R23" s="78">
        <v>143</v>
      </c>
      <c r="S23" s="80" t="s">
        <v>7</v>
      </c>
      <c r="T23" s="81">
        <f t="shared" si="3"/>
        <v>0</v>
      </c>
      <c r="U23" s="82"/>
      <c r="V23" s="137"/>
      <c r="W23" s="78"/>
      <c r="X23" s="78"/>
      <c r="Y23" s="445" t="s">
        <v>93</v>
      </c>
      <c r="Z23" s="138"/>
      <c r="AA23" s="135"/>
      <c r="AB23" s="586" t="s">
        <v>478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677</v>
      </c>
      <c r="C24" s="461" t="str">
        <f>$A$6</f>
        <v>MG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176.02</v>
      </c>
      <c r="N24" s="79"/>
      <c r="O24" s="128"/>
      <c r="P24" s="77" t="s">
        <v>7</v>
      </c>
      <c r="Q24" s="447"/>
      <c r="R24" s="137">
        <v>176</v>
      </c>
      <c r="S24" s="75" t="s">
        <v>7</v>
      </c>
      <c r="T24" s="81">
        <f t="shared" si="3"/>
        <v>-2.0000000000010232E-2</v>
      </c>
      <c r="U24" s="131"/>
      <c r="V24" s="131"/>
      <c r="W24" s="132"/>
      <c r="X24" s="133"/>
      <c r="Y24" s="557"/>
      <c r="Z24" s="228"/>
      <c r="AA24" s="228"/>
      <c r="AB24" s="587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>
        <v>0.26</v>
      </c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588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550</v>
      </c>
      <c r="C26" s="465" t="str">
        <f t="shared" si="2"/>
        <v>BE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677</v>
      </c>
      <c r="C27" s="465" t="str">
        <f>$A$6</f>
        <v>MG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0</v>
      </c>
      <c r="C28" s="465">
        <f>$A$7</f>
        <v>0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353</v>
      </c>
      <c r="B29" s="239">
        <f t="shared" si="1"/>
        <v>550</v>
      </c>
      <c r="C29" s="456" t="str">
        <f t="shared" si="2"/>
        <v>BE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0.12</v>
      </c>
      <c r="L29" s="168" t="s">
        <v>7</v>
      </c>
      <c r="M29" s="242">
        <f t="shared" si="4"/>
        <v>66</v>
      </c>
      <c r="N29" s="243"/>
      <c r="O29" s="242"/>
      <c r="P29" s="244" t="s">
        <v>7</v>
      </c>
      <c r="Q29" s="376">
        <v>46207</v>
      </c>
      <c r="R29" s="242">
        <v>66</v>
      </c>
      <c r="S29" s="244" t="s">
        <v>7</v>
      </c>
      <c r="T29" s="245">
        <f t="shared" si="3"/>
        <v>0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478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677</v>
      </c>
      <c r="C30" s="456" t="str">
        <f>$A$6</f>
        <v>MG</v>
      </c>
      <c r="D30" s="456"/>
      <c r="E30" s="456"/>
      <c r="F30" s="456"/>
      <c r="G30" s="456"/>
      <c r="H30" s="456"/>
      <c r="I30" s="564"/>
      <c r="J30" s="240" t="s">
        <v>6</v>
      </c>
      <c r="K30" s="241">
        <v>0.12</v>
      </c>
      <c r="L30" s="168" t="s">
        <v>7</v>
      </c>
      <c r="M30" s="242">
        <f t="shared" si="4"/>
        <v>81.239999999999995</v>
      </c>
      <c r="N30" s="243"/>
      <c r="O30" s="253"/>
      <c r="P30" s="168" t="s">
        <v>7</v>
      </c>
      <c r="Q30" s="377"/>
      <c r="R30" s="247">
        <v>81</v>
      </c>
      <c r="S30" s="255" t="s">
        <v>7</v>
      </c>
      <c r="T30" s="245">
        <f t="shared" si="3"/>
        <v>-0.23999999999999488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>
        <v>0.12</v>
      </c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8"/>
      <c r="R31" s="247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354</v>
      </c>
      <c r="B32" s="239">
        <f>$I$5</f>
        <v>550</v>
      </c>
      <c r="C32" s="456" t="str">
        <f>$A$5</f>
        <v>BE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0.11</v>
      </c>
      <c r="L32" s="168" t="s">
        <v>7</v>
      </c>
      <c r="M32" s="242">
        <f>K32*B32</f>
        <v>60.5</v>
      </c>
      <c r="N32" s="243"/>
      <c r="O32" s="242"/>
      <c r="P32" s="244" t="s">
        <v>7</v>
      </c>
      <c r="Q32" s="376">
        <v>46207</v>
      </c>
      <c r="R32" s="242">
        <v>61</v>
      </c>
      <c r="S32" s="244" t="s">
        <v>9</v>
      </c>
      <c r="T32" s="245">
        <f t="shared" si="3"/>
        <v>0.5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677</v>
      </c>
      <c r="C33" s="456" t="str">
        <f>$A$6</f>
        <v>MG</v>
      </c>
      <c r="D33" s="456"/>
      <c r="E33" s="456"/>
      <c r="F33" s="456"/>
      <c r="G33" s="456"/>
      <c r="H33" s="456"/>
      <c r="I33" s="564"/>
      <c r="J33" s="240" t="s">
        <v>6</v>
      </c>
      <c r="K33" s="241">
        <v>0.11</v>
      </c>
      <c r="L33" s="168" t="s">
        <v>7</v>
      </c>
      <c r="M33" s="242">
        <f>K33*B33</f>
        <v>74.47</v>
      </c>
      <c r="N33" s="243"/>
      <c r="O33" s="253"/>
      <c r="P33" s="168" t="s">
        <v>7</v>
      </c>
      <c r="Q33" s="377"/>
      <c r="R33" s="247">
        <v>74</v>
      </c>
      <c r="S33" s="255" t="s">
        <v>9</v>
      </c>
      <c r="T33" s="245">
        <f t="shared" si="3"/>
        <v>-0.46999999999999886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>
        <v>0.11</v>
      </c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550</v>
      </c>
      <c r="C35" s="465" t="str">
        <f>$A$5</f>
        <v>BE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677</v>
      </c>
      <c r="C36" s="465" t="str">
        <f>$A$6</f>
        <v>MG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362</v>
      </c>
      <c r="B38" s="239">
        <f>$I$5</f>
        <v>550</v>
      </c>
      <c r="C38" s="456" t="str">
        <f>$A$5</f>
        <v>BE</v>
      </c>
      <c r="D38" s="456"/>
      <c r="E38" s="456"/>
      <c r="F38" s="456"/>
      <c r="G38" s="456"/>
      <c r="H38" s="456"/>
      <c r="I38" s="457" t="s">
        <v>76</v>
      </c>
      <c r="J38" s="240"/>
      <c r="K38" s="308">
        <v>2.5</v>
      </c>
      <c r="L38" s="168" t="s">
        <v>7</v>
      </c>
      <c r="M38" s="242">
        <f t="shared" ref="M38:M43" si="7">K38*B38/50</f>
        <v>27.5</v>
      </c>
      <c r="N38" s="243"/>
      <c r="O38" s="242"/>
      <c r="P38" s="244" t="s">
        <v>7</v>
      </c>
      <c r="Q38" s="376">
        <v>46207</v>
      </c>
      <c r="R38" s="78">
        <v>28</v>
      </c>
      <c r="S38" s="244" t="s">
        <v>9</v>
      </c>
      <c r="T38" s="245">
        <f t="shared" si="3"/>
        <v>0.5</v>
      </c>
      <c r="U38" s="246"/>
      <c r="V38" s="247"/>
      <c r="W38" s="242"/>
      <c r="X38" s="242"/>
      <c r="Y38" s="459" t="s">
        <v>94</v>
      </c>
      <c r="Z38" s="260"/>
      <c r="AA38" s="249"/>
      <c r="AB38" s="586" t="s">
        <v>478</v>
      </c>
    </row>
    <row r="39" spans="1:32" s="261" customFormat="1" ht="69.95" customHeight="1" x14ac:dyDescent="0.15">
      <c r="A39" s="464"/>
      <c r="B39" s="239">
        <f>$I$6</f>
        <v>677</v>
      </c>
      <c r="C39" s="456" t="str">
        <f>$A$6</f>
        <v>MG</v>
      </c>
      <c r="D39" s="456"/>
      <c r="E39" s="456"/>
      <c r="F39" s="456"/>
      <c r="G39" s="456"/>
      <c r="H39" s="456"/>
      <c r="I39" s="564"/>
      <c r="J39" s="240"/>
      <c r="K39" s="308">
        <v>2.5</v>
      </c>
      <c r="L39" s="168" t="s">
        <v>7</v>
      </c>
      <c r="M39" s="242">
        <f t="shared" si="7"/>
        <v>33.85</v>
      </c>
      <c r="N39" s="243"/>
      <c r="O39" s="253"/>
      <c r="P39" s="168" t="s">
        <v>7</v>
      </c>
      <c r="Q39" s="377"/>
      <c r="R39" s="137">
        <v>34</v>
      </c>
      <c r="S39" s="255" t="s">
        <v>9</v>
      </c>
      <c r="T39" s="245">
        <f t="shared" si="3"/>
        <v>0.14999999999999858</v>
      </c>
      <c r="U39" s="256"/>
      <c r="V39" s="256"/>
      <c r="W39" s="257"/>
      <c r="X39" s="258"/>
      <c r="Y39" s="565"/>
      <c r="Z39" s="259"/>
      <c r="AA39" s="249"/>
      <c r="AB39" s="587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308">
        <v>2.5</v>
      </c>
      <c r="L40" s="168" t="s">
        <v>7</v>
      </c>
      <c r="M40" s="242">
        <f t="shared" si="7"/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588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550</v>
      </c>
      <c r="C41" s="465" t="str">
        <f>$A$5</f>
        <v>BE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677</v>
      </c>
      <c r="C42" s="465" t="str">
        <f>$A$6</f>
        <v>MG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550</v>
      </c>
      <c r="C44" s="456" t="str">
        <f>$A$5</f>
        <v>BE</v>
      </c>
      <c r="D44" s="456"/>
      <c r="E44" s="456"/>
      <c r="F44" s="456" t="str">
        <f>$A$5</f>
        <v>BE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28.6</v>
      </c>
      <c r="N44" s="243"/>
      <c r="O44" s="242"/>
      <c r="P44" s="244" t="s">
        <v>10</v>
      </c>
      <c r="Q44" s="443">
        <v>46207</v>
      </c>
      <c r="R44" s="242">
        <v>29</v>
      </c>
      <c r="S44" s="244" t="s">
        <v>10</v>
      </c>
      <c r="T44" s="245">
        <f t="shared" si="3"/>
        <v>0.39999999999999858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478</v>
      </c>
    </row>
    <row r="45" spans="1:32" s="176" customFormat="1" ht="69.95" customHeight="1" x14ac:dyDescent="0.15">
      <c r="A45" s="559"/>
      <c r="B45" s="264">
        <f>$I$6</f>
        <v>677</v>
      </c>
      <c r="C45" s="413" t="str">
        <f>$A$6</f>
        <v>MG</v>
      </c>
      <c r="D45" s="414"/>
      <c r="E45" s="415"/>
      <c r="F45" s="413" t="str">
        <f>$A$6</f>
        <v>MG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35.204000000000001</v>
      </c>
      <c r="N45" s="267"/>
      <c r="O45" s="268"/>
      <c r="P45" s="266" t="s">
        <v>10</v>
      </c>
      <c r="Q45" s="447"/>
      <c r="R45" s="269">
        <v>36</v>
      </c>
      <c r="S45" s="252" t="s">
        <v>10</v>
      </c>
      <c r="T45" s="270">
        <f t="shared" si="3"/>
        <v>0.79599999999999937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>
        <v>130</v>
      </c>
      <c r="L46" s="266" t="s">
        <v>61</v>
      </c>
      <c r="M46" s="242">
        <f t="shared" si="8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550</v>
      </c>
      <c r="C47" s="456" t="str">
        <f>$A$5</f>
        <v>BE</v>
      </c>
      <c r="D47" s="456"/>
      <c r="E47" s="456"/>
      <c r="F47" s="456" t="str">
        <f>$A$5</f>
        <v>BE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30.25</v>
      </c>
      <c r="N47" s="243"/>
      <c r="O47" s="242"/>
      <c r="P47" s="244" t="s">
        <v>10</v>
      </c>
      <c r="Q47" s="447"/>
      <c r="R47" s="242">
        <v>31</v>
      </c>
      <c r="S47" s="244" t="s">
        <v>10</v>
      </c>
      <c r="T47" s="245">
        <f t="shared" si="3"/>
        <v>0.75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677</v>
      </c>
      <c r="C48" s="413" t="str">
        <f>$A$6</f>
        <v>MG</v>
      </c>
      <c r="D48" s="414"/>
      <c r="E48" s="415"/>
      <c r="F48" s="413" t="str">
        <f>$A$6</f>
        <v>MG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37.234999999999999</v>
      </c>
      <c r="N48" s="267"/>
      <c r="O48" s="268"/>
      <c r="P48" s="266" t="s">
        <v>10</v>
      </c>
      <c r="Q48" s="447"/>
      <c r="R48" s="269">
        <v>38</v>
      </c>
      <c r="S48" s="252" t="s">
        <v>10</v>
      </c>
      <c r="T48" s="270">
        <f t="shared" si="3"/>
        <v>0.76500000000000057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>
        <f>$A$7</f>
        <v>0</v>
      </c>
      <c r="G49" s="414"/>
      <c r="H49" s="415"/>
      <c r="I49" s="458"/>
      <c r="J49" s="265"/>
      <c r="K49" s="263">
        <v>220</v>
      </c>
      <c r="L49" s="266" t="s">
        <v>61</v>
      </c>
      <c r="M49" s="242">
        <f t="shared" si="9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363</v>
      </c>
      <c r="B50" s="182">
        <f>$I$5</f>
        <v>550</v>
      </c>
      <c r="C50" s="461" t="str">
        <f>$A$5</f>
        <v>BE</v>
      </c>
      <c r="D50" s="461"/>
      <c r="E50" s="461"/>
      <c r="F50" s="461" t="str">
        <f>$A$5</f>
        <v>BE</v>
      </c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9"/>
        <v>1.375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si="3"/>
        <v>0.625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677</v>
      </c>
      <c r="C51" s="395" t="str">
        <f>$A$6</f>
        <v>MG</v>
      </c>
      <c r="D51" s="396"/>
      <c r="E51" s="397"/>
      <c r="F51" s="395" t="str">
        <f>$A$6</f>
        <v>MG</v>
      </c>
      <c r="G51" s="396"/>
      <c r="H51" s="397"/>
      <c r="I51" s="563"/>
      <c r="J51" s="144"/>
      <c r="K51" s="139">
        <v>10</v>
      </c>
      <c r="L51" s="145" t="s">
        <v>61</v>
      </c>
      <c r="M51" s="78">
        <f t="shared" si="9"/>
        <v>1.6924999999999999</v>
      </c>
      <c r="N51" s="146"/>
      <c r="O51" s="147"/>
      <c r="P51" s="145" t="s">
        <v>10</v>
      </c>
      <c r="Q51" s="447"/>
      <c r="R51" s="161">
        <v>2</v>
      </c>
      <c r="S51" s="148" t="s">
        <v>10</v>
      </c>
      <c r="T51" s="84">
        <f t="shared" si="3"/>
        <v>0.30750000000000011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 t="str">
        <f>$A$6</f>
        <v>MG</v>
      </c>
      <c r="G52" s="396"/>
      <c r="H52" s="397"/>
      <c r="I52" s="442"/>
      <c r="J52" s="144"/>
      <c r="K52" s="139">
        <v>10</v>
      </c>
      <c r="L52" s="145" t="s">
        <v>61</v>
      </c>
      <c r="M52" s="78">
        <f t="shared" si="9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139</v>
      </c>
      <c r="B53" s="191">
        <f t="shared" ref="B53" si="10">$I$5</f>
        <v>550</v>
      </c>
      <c r="C53" s="422" t="str">
        <f t="shared" ref="C53" si="11">$A$5</f>
        <v>BE</v>
      </c>
      <c r="D53" s="423"/>
      <c r="E53" s="424"/>
      <c r="F53" s="425"/>
      <c r="G53" s="423"/>
      <c r="H53" s="424"/>
      <c r="I53" s="207"/>
      <c r="J53" s="192"/>
      <c r="K53" s="193"/>
      <c r="L53" s="194" t="s">
        <v>65</v>
      </c>
      <c r="M53" s="195">
        <f t="shared" ref="M53:M73" si="12">K53*B53</f>
        <v>0</v>
      </c>
      <c r="N53" s="196"/>
      <c r="O53" s="195"/>
      <c r="P53" s="194" t="s">
        <v>65</v>
      </c>
      <c r="Q53" s="435"/>
      <c r="R53" s="195"/>
      <c r="S53" s="194" t="s">
        <v>65</v>
      </c>
      <c r="T53" s="205">
        <f t="shared" si="3"/>
        <v>0</v>
      </c>
      <c r="U53" s="199"/>
      <c r="V53" s="199"/>
      <c r="W53" s="208"/>
      <c r="X53" s="198"/>
      <c r="Y53" s="437" t="s">
        <v>140</v>
      </c>
      <c r="Z53" s="231"/>
      <c r="AA53" s="232"/>
      <c r="AB53" s="439"/>
    </row>
    <row r="54" spans="1:32" s="206" customFormat="1" ht="69.95" customHeight="1" x14ac:dyDescent="0.15">
      <c r="A54" s="559"/>
      <c r="B54" s="204">
        <f>$I$6</f>
        <v>677</v>
      </c>
      <c r="C54" s="453" t="str">
        <f>$A$6</f>
        <v>MG</v>
      </c>
      <c r="D54" s="454"/>
      <c r="E54" s="455"/>
      <c r="F54" s="425"/>
      <c r="G54" s="423"/>
      <c r="H54" s="424"/>
      <c r="I54" s="207"/>
      <c r="J54" s="192"/>
      <c r="K54" s="193"/>
      <c r="L54" s="194" t="s">
        <v>65</v>
      </c>
      <c r="M54" s="195">
        <f t="shared" si="12"/>
        <v>0</v>
      </c>
      <c r="N54" s="233"/>
      <c r="O54" s="195"/>
      <c r="P54" s="194" t="s">
        <v>65</v>
      </c>
      <c r="Q54" s="561"/>
      <c r="R54" s="195"/>
      <c r="S54" s="194" t="s">
        <v>65</v>
      </c>
      <c r="T54" s="198">
        <f t="shared" si="3"/>
        <v>0</v>
      </c>
      <c r="U54" s="199"/>
      <c r="V54" s="200"/>
      <c r="W54" s="195"/>
      <c r="X54" s="195"/>
      <c r="Y54" s="562"/>
      <c r="Z54" s="201"/>
      <c r="AA54" s="202"/>
      <c r="AB54" s="558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91">
        <f>$I$7</f>
        <v>0</v>
      </c>
      <c r="C55" s="465">
        <f>$A$7</f>
        <v>0</v>
      </c>
      <c r="D55" s="465"/>
      <c r="E55" s="465"/>
      <c r="F55" s="425"/>
      <c r="G55" s="423"/>
      <c r="H55" s="424"/>
      <c r="I55" s="207"/>
      <c r="J55" s="192"/>
      <c r="K55" s="193"/>
      <c r="L55" s="194" t="s">
        <v>65</v>
      </c>
      <c r="M55" s="195">
        <f t="shared" si="12"/>
        <v>0</v>
      </c>
      <c r="N55" s="233"/>
      <c r="O55" s="195"/>
      <c r="P55" s="194" t="s">
        <v>65</v>
      </c>
      <c r="Q55" s="436"/>
      <c r="R55" s="195"/>
      <c r="S55" s="194" t="s">
        <v>65</v>
      </c>
      <c r="T55" s="198">
        <f t="shared" si="3"/>
        <v>0</v>
      </c>
      <c r="U55" s="199"/>
      <c r="V55" s="200"/>
      <c r="W55" s="195"/>
      <c r="X55" s="195"/>
      <c r="Y55" s="438"/>
      <c r="Z55" s="201"/>
      <c r="AA55" s="202"/>
      <c r="AB55" s="440"/>
      <c r="AC55" s="234"/>
      <c r="AD55" s="230"/>
      <c r="AE55" s="230"/>
      <c r="AF55" s="230"/>
    </row>
    <row r="56" spans="1:32" s="55" customFormat="1" ht="69.95" customHeight="1" x14ac:dyDescent="0.15">
      <c r="A56" s="431" t="s">
        <v>100</v>
      </c>
      <c r="B56" s="182">
        <f t="shared" ref="B56:B62" si="13">$I$5</f>
        <v>550</v>
      </c>
      <c r="C56" s="368" t="str">
        <f t="shared" ref="C56:C62" si="14">$A$5</f>
        <v>BE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550</v>
      </c>
      <c r="N56" s="79"/>
      <c r="O56" s="78"/>
      <c r="P56" s="80" t="s">
        <v>63</v>
      </c>
      <c r="Q56" s="443">
        <v>46207</v>
      </c>
      <c r="R56" s="78">
        <v>550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478</v>
      </c>
    </row>
    <row r="57" spans="1:32" s="55" customFormat="1" ht="69.95" customHeight="1" x14ac:dyDescent="0.15">
      <c r="A57" s="559"/>
      <c r="B57" s="186">
        <f>$I$6</f>
        <v>677</v>
      </c>
      <c r="C57" s="395" t="str">
        <f>$A$6</f>
        <v>MG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677</v>
      </c>
      <c r="N57" s="140"/>
      <c r="O57" s="78"/>
      <c r="P57" s="80" t="s">
        <v>63</v>
      </c>
      <c r="Q57" s="447"/>
      <c r="R57" s="78">
        <v>677</v>
      </c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461">
        <f>$A$7</f>
        <v>0</v>
      </c>
      <c r="D58" s="461"/>
      <c r="E58" s="461"/>
      <c r="F58" s="428"/>
      <c r="G58" s="369"/>
      <c r="H58" s="370"/>
      <c r="I58" s="442"/>
      <c r="J58" s="76"/>
      <c r="K58" s="139">
        <v>1</v>
      </c>
      <c r="L58" s="77" t="s">
        <v>63</v>
      </c>
      <c r="M58" s="78">
        <f t="shared" si="12"/>
        <v>0</v>
      </c>
      <c r="N58" s="140"/>
      <c r="O58" s="78"/>
      <c r="P58" s="80" t="s">
        <v>63</v>
      </c>
      <c r="Q58" s="447"/>
      <c r="R58" s="78"/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103</v>
      </c>
      <c r="B59" s="182">
        <f t="shared" ref="B59" si="15">$I$5</f>
        <v>550</v>
      </c>
      <c r="C59" s="368" t="str">
        <f t="shared" ref="C59" si="16">$A$5</f>
        <v>BE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550</v>
      </c>
      <c r="N59" s="79"/>
      <c r="O59" s="78"/>
      <c r="P59" s="80" t="s">
        <v>65</v>
      </c>
      <c r="Q59" s="447"/>
      <c r="R59" s="78">
        <v>550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677</v>
      </c>
      <c r="C60" s="368" t="str">
        <f>$A$6</f>
        <v>MG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677</v>
      </c>
      <c r="N60" s="140"/>
      <c r="O60" s="78"/>
      <c r="P60" s="80" t="s">
        <v>65</v>
      </c>
      <c r="Q60" s="447"/>
      <c r="R60" s="78">
        <v>677</v>
      </c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368">
        <f>$A$7</f>
        <v>0</v>
      </c>
      <c r="D61" s="369"/>
      <c r="E61" s="370"/>
      <c r="F61" s="428"/>
      <c r="G61" s="429"/>
      <c r="H61" s="430"/>
      <c r="I61" s="75"/>
      <c r="J61" s="76"/>
      <c r="K61" s="139">
        <v>1</v>
      </c>
      <c r="L61" s="77" t="s">
        <v>65</v>
      </c>
      <c r="M61" s="78">
        <f t="shared" si="12"/>
        <v>0</v>
      </c>
      <c r="N61" s="140"/>
      <c r="O61" s="78"/>
      <c r="P61" s="80" t="s">
        <v>65</v>
      </c>
      <c r="Q61" s="444"/>
      <c r="R61" s="78"/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431" t="s">
        <v>417</v>
      </c>
      <c r="B62" s="182">
        <f t="shared" si="13"/>
        <v>550</v>
      </c>
      <c r="C62" s="368" t="str">
        <f t="shared" si="14"/>
        <v>BE</v>
      </c>
      <c r="D62" s="369"/>
      <c r="E62" s="370"/>
      <c r="F62" s="428"/>
      <c r="G62" s="429"/>
      <c r="H62" s="430"/>
      <c r="I62" s="441" t="s">
        <v>75</v>
      </c>
      <c r="J62" s="76"/>
      <c r="K62" s="139">
        <v>2</v>
      </c>
      <c r="L62" s="77" t="s">
        <v>63</v>
      </c>
      <c r="M62" s="78">
        <f t="shared" si="12"/>
        <v>1100</v>
      </c>
      <c r="N62" s="79"/>
      <c r="O62" s="78"/>
      <c r="P62" s="80" t="s">
        <v>63</v>
      </c>
      <c r="Q62" s="443"/>
      <c r="R62" s="78"/>
      <c r="S62" s="80" t="s">
        <v>63</v>
      </c>
      <c r="T62" s="84">
        <f t="shared" si="3"/>
        <v>-1100</v>
      </c>
      <c r="U62" s="82"/>
      <c r="V62" s="82"/>
      <c r="W62" s="83"/>
      <c r="X62" s="81"/>
      <c r="Y62" s="445" t="s">
        <v>64</v>
      </c>
      <c r="Z62" s="86"/>
      <c r="AA62" s="85"/>
      <c r="AB62" s="360"/>
    </row>
    <row r="63" spans="1:32" s="55" customFormat="1" ht="69.95" customHeight="1" x14ac:dyDescent="0.15">
      <c r="A63" s="559"/>
      <c r="B63" s="186">
        <f>$I$6</f>
        <v>677</v>
      </c>
      <c r="C63" s="368" t="str">
        <f>$A$6</f>
        <v>MG</v>
      </c>
      <c r="D63" s="369"/>
      <c r="E63" s="370"/>
      <c r="F63" s="428"/>
      <c r="G63" s="429"/>
      <c r="H63" s="430"/>
      <c r="I63" s="563"/>
      <c r="J63" s="76"/>
      <c r="K63" s="139">
        <v>2</v>
      </c>
      <c r="L63" s="77" t="s">
        <v>63</v>
      </c>
      <c r="M63" s="78">
        <f t="shared" si="12"/>
        <v>1354</v>
      </c>
      <c r="N63" s="140"/>
      <c r="O63" s="78"/>
      <c r="P63" s="80" t="s">
        <v>63</v>
      </c>
      <c r="Q63" s="447"/>
      <c r="R63" s="78"/>
      <c r="S63" s="80" t="s">
        <v>63</v>
      </c>
      <c r="T63" s="81">
        <f t="shared" si="3"/>
        <v>-1354</v>
      </c>
      <c r="U63" s="82"/>
      <c r="V63" s="137"/>
      <c r="W63" s="78"/>
      <c r="X63" s="78"/>
      <c r="Y63" s="557"/>
      <c r="Z63" s="141"/>
      <c r="AA63" s="135"/>
      <c r="AB63" s="361"/>
      <c r="AC63" s="142"/>
      <c r="AD63" s="179"/>
      <c r="AE63" s="179"/>
      <c r="AF63" s="179"/>
    </row>
    <row r="64" spans="1:32" s="55" customFormat="1" ht="69.95" customHeight="1" x14ac:dyDescent="0.15">
      <c r="A64" s="432"/>
      <c r="B64" s="182">
        <f>$I$7</f>
        <v>0</v>
      </c>
      <c r="C64" s="461">
        <f>$A$7</f>
        <v>0</v>
      </c>
      <c r="D64" s="461"/>
      <c r="E64" s="461"/>
      <c r="F64" s="428"/>
      <c r="G64" s="429"/>
      <c r="H64" s="430"/>
      <c r="I64" s="442"/>
      <c r="J64" s="76"/>
      <c r="K64" s="139">
        <v>2</v>
      </c>
      <c r="L64" s="77" t="s">
        <v>63</v>
      </c>
      <c r="M64" s="78">
        <f t="shared" si="12"/>
        <v>0</v>
      </c>
      <c r="N64" s="140"/>
      <c r="O64" s="78"/>
      <c r="P64" s="80" t="s">
        <v>63</v>
      </c>
      <c r="Q64" s="444"/>
      <c r="R64" s="78"/>
      <c r="S64" s="80" t="s">
        <v>63</v>
      </c>
      <c r="T64" s="81">
        <f t="shared" si="3"/>
        <v>0</v>
      </c>
      <c r="U64" s="82"/>
      <c r="V64" s="137"/>
      <c r="W64" s="78"/>
      <c r="X64" s="78"/>
      <c r="Y64" s="446"/>
      <c r="Z64" s="141"/>
      <c r="AA64" s="135"/>
      <c r="AB64" s="362"/>
      <c r="AC64" s="142"/>
      <c r="AD64" s="179"/>
      <c r="AE64" s="179"/>
      <c r="AF64" s="179"/>
    </row>
    <row r="65" spans="1:32" s="55" customFormat="1" ht="69.95" customHeight="1" x14ac:dyDescent="0.15">
      <c r="A65" s="431" t="s">
        <v>364</v>
      </c>
      <c r="B65" s="182">
        <f t="shared" ref="B65" si="17">$I$5</f>
        <v>550</v>
      </c>
      <c r="C65" s="368" t="str">
        <f t="shared" ref="C65" si="18">$A$5</f>
        <v>BE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550</v>
      </c>
      <c r="N65" s="79"/>
      <c r="O65" s="78"/>
      <c r="P65" s="80" t="s">
        <v>63</v>
      </c>
      <c r="Q65" s="443"/>
      <c r="R65" s="78"/>
      <c r="S65" s="80" t="s">
        <v>63</v>
      </c>
      <c r="T65" s="84">
        <f t="shared" si="3"/>
        <v>-550</v>
      </c>
      <c r="U65" s="82"/>
      <c r="V65" s="82"/>
      <c r="W65" s="83"/>
      <c r="X65" s="81"/>
      <c r="Y65" s="445" t="s">
        <v>64</v>
      </c>
      <c r="Z65" s="86"/>
      <c r="AA65" s="85"/>
      <c r="AB65" s="586"/>
    </row>
    <row r="66" spans="1:32" s="55" customFormat="1" ht="69.95" customHeight="1" x14ac:dyDescent="0.15">
      <c r="A66" s="559"/>
      <c r="B66" s="186">
        <f>$I$6</f>
        <v>677</v>
      </c>
      <c r="C66" s="368" t="str">
        <f>$A$6</f>
        <v>MG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677</v>
      </c>
      <c r="N66" s="140"/>
      <c r="O66" s="78"/>
      <c r="P66" s="80" t="s">
        <v>63</v>
      </c>
      <c r="Q66" s="447"/>
      <c r="R66" s="78"/>
      <c r="S66" s="80" t="s">
        <v>63</v>
      </c>
      <c r="T66" s="81">
        <f t="shared" si="3"/>
        <v>-677</v>
      </c>
      <c r="U66" s="82"/>
      <c r="V66" s="137"/>
      <c r="W66" s="78"/>
      <c r="X66" s="78"/>
      <c r="Y66" s="557"/>
      <c r="Z66" s="141"/>
      <c r="AA66" s="135"/>
      <c r="AB66" s="587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0</v>
      </c>
      <c r="C67" s="456">
        <f>$A$7</f>
        <v>0</v>
      </c>
      <c r="D67" s="456"/>
      <c r="E67" s="456"/>
      <c r="F67" s="428"/>
      <c r="G67" s="429"/>
      <c r="H67" s="430"/>
      <c r="I67" s="442"/>
      <c r="J67" s="76"/>
      <c r="K67" s="139">
        <v>1</v>
      </c>
      <c r="L67" s="77" t="s">
        <v>63</v>
      </c>
      <c r="M67" s="78">
        <f t="shared" si="12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588"/>
      <c r="AC67" s="142"/>
      <c r="AD67" s="179"/>
      <c r="AE67" s="179"/>
      <c r="AF67" s="179"/>
    </row>
    <row r="68" spans="1:32" s="55" customFormat="1" ht="69.95" customHeight="1" x14ac:dyDescent="0.15">
      <c r="A68" s="431" t="s">
        <v>365</v>
      </c>
      <c r="B68" s="191">
        <f t="shared" ref="B68" si="19">$I$5</f>
        <v>550</v>
      </c>
      <c r="C68" s="422" t="str">
        <f t="shared" ref="C68" si="20">$A$5</f>
        <v>BE</v>
      </c>
      <c r="D68" s="423"/>
      <c r="E68" s="424"/>
      <c r="F68" s="425"/>
      <c r="G68" s="426"/>
      <c r="H68" s="427"/>
      <c r="I68" s="433" t="s">
        <v>102</v>
      </c>
      <c r="J68" s="192"/>
      <c r="K68" s="209">
        <v>0.56000000000000005</v>
      </c>
      <c r="L68" s="194" t="s">
        <v>129</v>
      </c>
      <c r="M68" s="195">
        <f t="shared" si="12"/>
        <v>308.00000000000006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3"/>
        <v>-308.00000000000006</v>
      </c>
      <c r="U68" s="199"/>
      <c r="V68" s="199"/>
      <c r="W68" s="208"/>
      <c r="X68" s="198"/>
      <c r="Y68" s="437" t="s">
        <v>130</v>
      </c>
      <c r="Z68" s="231"/>
      <c r="AA68" s="232"/>
      <c r="AB68" s="360"/>
    </row>
    <row r="69" spans="1:32" s="55" customFormat="1" ht="69.95" customHeight="1" x14ac:dyDescent="0.15">
      <c r="A69" s="559"/>
      <c r="B69" s="204">
        <f>$I$6</f>
        <v>677</v>
      </c>
      <c r="C69" s="422" t="str">
        <f>$A$6</f>
        <v>MG</v>
      </c>
      <c r="D69" s="423"/>
      <c r="E69" s="424"/>
      <c r="F69" s="425"/>
      <c r="G69" s="426"/>
      <c r="H69" s="427"/>
      <c r="I69" s="560"/>
      <c r="J69" s="192"/>
      <c r="K69" s="209">
        <v>0.56000000000000005</v>
      </c>
      <c r="L69" s="194" t="s">
        <v>129</v>
      </c>
      <c r="M69" s="195">
        <f t="shared" si="12"/>
        <v>379.12000000000006</v>
      </c>
      <c r="N69" s="233"/>
      <c r="O69" s="195"/>
      <c r="P69" s="197" t="s">
        <v>63</v>
      </c>
      <c r="Q69" s="561"/>
      <c r="R69" s="195"/>
      <c r="S69" s="197" t="s">
        <v>63</v>
      </c>
      <c r="T69" s="198">
        <f t="shared" si="3"/>
        <v>-379.12000000000006</v>
      </c>
      <c r="U69" s="199"/>
      <c r="V69" s="200"/>
      <c r="W69" s="195"/>
      <c r="X69" s="195"/>
      <c r="Y69" s="562"/>
      <c r="Z69" s="201"/>
      <c r="AA69" s="202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432"/>
      <c r="B70" s="191">
        <f>$I$7</f>
        <v>0</v>
      </c>
      <c r="C70" s="465">
        <f>$A$7</f>
        <v>0</v>
      </c>
      <c r="D70" s="465"/>
      <c r="E70" s="465"/>
      <c r="F70" s="425"/>
      <c r="G70" s="426"/>
      <c r="H70" s="427"/>
      <c r="I70" s="434"/>
      <c r="J70" s="192"/>
      <c r="K70" s="209"/>
      <c r="L70" s="194" t="s">
        <v>129</v>
      </c>
      <c r="M70" s="195">
        <f t="shared" si="12"/>
        <v>0</v>
      </c>
      <c r="N70" s="233"/>
      <c r="O70" s="195"/>
      <c r="P70" s="197" t="s">
        <v>63</v>
      </c>
      <c r="Q70" s="436"/>
      <c r="R70" s="195"/>
      <c r="S70" s="197" t="s">
        <v>63</v>
      </c>
      <c r="T70" s="198">
        <f t="shared" si="3"/>
        <v>0</v>
      </c>
      <c r="U70" s="199"/>
      <c r="V70" s="200"/>
      <c r="W70" s="195"/>
      <c r="X70" s="195"/>
      <c r="Y70" s="438"/>
      <c r="Z70" s="201"/>
      <c r="AA70" s="202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431" t="s">
        <v>418</v>
      </c>
      <c r="B71" s="182">
        <f t="shared" ref="B71" si="21">$I$5</f>
        <v>550</v>
      </c>
      <c r="C71" s="368" t="str">
        <f t="shared" ref="C71" si="22">$A$5</f>
        <v>BE</v>
      </c>
      <c r="D71" s="369"/>
      <c r="E71" s="370"/>
      <c r="F71" s="428"/>
      <c r="G71" s="429"/>
      <c r="H71" s="430"/>
      <c r="I71" s="441" t="s">
        <v>367</v>
      </c>
      <c r="J71" s="76"/>
      <c r="K71" s="136">
        <v>0.4</v>
      </c>
      <c r="L71" s="77" t="s">
        <v>129</v>
      </c>
      <c r="M71" s="78">
        <f t="shared" si="12"/>
        <v>220</v>
      </c>
      <c r="N71" s="79"/>
      <c r="O71" s="78"/>
      <c r="P71" s="80" t="s">
        <v>63</v>
      </c>
      <c r="Q71" s="443">
        <v>46207</v>
      </c>
      <c r="R71" s="78">
        <v>250</v>
      </c>
      <c r="S71" s="80" t="s">
        <v>63</v>
      </c>
      <c r="T71" s="84">
        <f t="shared" si="3"/>
        <v>30</v>
      </c>
      <c r="U71" s="82"/>
      <c r="V71" s="82"/>
      <c r="W71" s="83"/>
      <c r="X71" s="81"/>
      <c r="Y71" s="445" t="s">
        <v>130</v>
      </c>
      <c r="Z71" s="86"/>
      <c r="AA71" s="85"/>
      <c r="AB71" s="360" t="s">
        <v>475</v>
      </c>
    </row>
    <row r="72" spans="1:32" s="55" customFormat="1" ht="69.95" customHeight="1" x14ac:dyDescent="0.15">
      <c r="A72" s="559"/>
      <c r="B72" s="186">
        <f>$I$6</f>
        <v>677</v>
      </c>
      <c r="C72" s="368" t="str">
        <f>$A$6</f>
        <v>MG</v>
      </c>
      <c r="D72" s="369"/>
      <c r="E72" s="370"/>
      <c r="F72" s="428"/>
      <c r="G72" s="429"/>
      <c r="H72" s="430"/>
      <c r="I72" s="563"/>
      <c r="J72" s="76"/>
      <c r="K72" s="136">
        <v>0.4</v>
      </c>
      <c r="L72" s="77" t="s">
        <v>129</v>
      </c>
      <c r="M72" s="78">
        <f t="shared" si="12"/>
        <v>270.8</v>
      </c>
      <c r="N72" s="140"/>
      <c r="O72" s="78"/>
      <c r="P72" s="80" t="s">
        <v>63</v>
      </c>
      <c r="Q72" s="447"/>
      <c r="R72" s="78">
        <v>300</v>
      </c>
      <c r="S72" s="80" t="s">
        <v>63</v>
      </c>
      <c r="T72" s="81">
        <f t="shared" si="3"/>
        <v>29.199999999999989</v>
      </c>
      <c r="U72" s="82"/>
      <c r="V72" s="137"/>
      <c r="W72" s="78"/>
      <c r="X72" s="78"/>
      <c r="Y72" s="557"/>
      <c r="Z72" s="141"/>
      <c r="AA72" s="135"/>
      <c r="AB72" s="361"/>
      <c r="AC72" s="142"/>
      <c r="AD72" s="179"/>
      <c r="AE72" s="179"/>
      <c r="AF72" s="179"/>
    </row>
    <row r="73" spans="1:32" s="55" customFormat="1" ht="69.95" customHeight="1" x14ac:dyDescent="0.15">
      <c r="A73" s="432"/>
      <c r="B73" s="182">
        <f>$I$7</f>
        <v>0</v>
      </c>
      <c r="C73" s="461">
        <f>$A$7</f>
        <v>0</v>
      </c>
      <c r="D73" s="461"/>
      <c r="E73" s="461"/>
      <c r="F73" s="428"/>
      <c r="G73" s="429"/>
      <c r="H73" s="430"/>
      <c r="I73" s="442"/>
      <c r="J73" s="76"/>
      <c r="K73" s="136">
        <v>0.4</v>
      </c>
      <c r="L73" s="77" t="s">
        <v>129</v>
      </c>
      <c r="M73" s="78">
        <f t="shared" si="12"/>
        <v>0</v>
      </c>
      <c r="N73" s="140"/>
      <c r="O73" s="78"/>
      <c r="P73" s="80" t="s">
        <v>63</v>
      </c>
      <c r="Q73" s="444"/>
      <c r="R73" s="78"/>
      <c r="S73" s="80" t="s">
        <v>63</v>
      </c>
      <c r="T73" s="81">
        <f t="shared" si="3"/>
        <v>0</v>
      </c>
      <c r="U73" s="82"/>
      <c r="V73" s="137"/>
      <c r="W73" s="78"/>
      <c r="X73" s="78"/>
      <c r="Y73" s="446"/>
      <c r="Z73" s="141"/>
      <c r="AA73" s="135"/>
      <c r="AB73" s="362"/>
      <c r="AC73" s="142"/>
      <c r="AD73" s="179"/>
      <c r="AE73" s="179"/>
      <c r="AF73" s="179"/>
    </row>
    <row r="74" spans="1:32" s="206" customFormat="1" ht="69.95" customHeight="1" x14ac:dyDescent="0.15">
      <c r="A74" s="611" t="s">
        <v>373</v>
      </c>
      <c r="B74" s="191">
        <f t="shared" ref="B74" si="23">$I$5</f>
        <v>550</v>
      </c>
      <c r="C74" s="422" t="str">
        <f t="shared" ref="C74" si="24">$A$5</f>
        <v>BE</v>
      </c>
      <c r="D74" s="423"/>
      <c r="E74" s="424"/>
      <c r="F74" s="425"/>
      <c r="G74" s="426"/>
      <c r="H74" s="427"/>
      <c r="I74" s="433" t="s">
        <v>374</v>
      </c>
      <c r="J74" s="192"/>
      <c r="K74" s="209">
        <v>0.52</v>
      </c>
      <c r="L74" s="194" t="s">
        <v>63</v>
      </c>
      <c r="M74" s="195">
        <f t="shared" si="4"/>
        <v>286</v>
      </c>
      <c r="N74" s="196"/>
      <c r="O74" s="195"/>
      <c r="P74" s="197" t="s">
        <v>63</v>
      </c>
      <c r="Q74" s="435"/>
      <c r="R74" s="195"/>
      <c r="S74" s="197" t="s">
        <v>63</v>
      </c>
      <c r="T74" s="205">
        <f t="shared" si="3"/>
        <v>-286</v>
      </c>
      <c r="U74" s="199"/>
      <c r="V74" s="199"/>
      <c r="W74" s="208"/>
      <c r="X74" s="198"/>
      <c r="Y74" s="437" t="s">
        <v>64</v>
      </c>
      <c r="Z74" s="231"/>
      <c r="AA74" s="232"/>
      <c r="AB74" s="360"/>
    </row>
    <row r="75" spans="1:32" s="206" customFormat="1" ht="69.95" customHeight="1" x14ac:dyDescent="0.15">
      <c r="A75" s="613"/>
      <c r="B75" s="204">
        <f>$I$6</f>
        <v>677</v>
      </c>
      <c r="C75" s="422" t="str">
        <f>$A$6</f>
        <v>MG</v>
      </c>
      <c r="D75" s="423"/>
      <c r="E75" s="424"/>
      <c r="F75" s="425"/>
      <c r="G75" s="426"/>
      <c r="H75" s="427"/>
      <c r="I75" s="560"/>
      <c r="J75" s="192"/>
      <c r="K75" s="209">
        <v>0.52</v>
      </c>
      <c r="L75" s="194" t="s">
        <v>63</v>
      </c>
      <c r="M75" s="195">
        <f t="shared" si="4"/>
        <v>352.04</v>
      </c>
      <c r="N75" s="233"/>
      <c r="O75" s="195"/>
      <c r="P75" s="197" t="s">
        <v>63</v>
      </c>
      <c r="Q75" s="561"/>
      <c r="R75" s="195"/>
      <c r="S75" s="197" t="s">
        <v>63</v>
      </c>
      <c r="T75" s="198">
        <f t="shared" si="3"/>
        <v>-352.04</v>
      </c>
      <c r="U75" s="199"/>
      <c r="V75" s="200"/>
      <c r="W75" s="195"/>
      <c r="X75" s="195"/>
      <c r="Y75" s="562"/>
      <c r="Z75" s="201"/>
      <c r="AA75" s="202"/>
      <c r="AB75" s="361"/>
      <c r="AC75" s="234"/>
      <c r="AD75" s="230"/>
      <c r="AE75" s="230"/>
      <c r="AF75" s="230"/>
    </row>
    <row r="76" spans="1:32" s="206" customFormat="1" ht="69.95" customHeight="1" x14ac:dyDescent="0.15">
      <c r="A76" s="612"/>
      <c r="B76" s="191">
        <f>$I$7</f>
        <v>0</v>
      </c>
      <c r="C76" s="465">
        <f>$A$7</f>
        <v>0</v>
      </c>
      <c r="D76" s="465"/>
      <c r="E76" s="465"/>
      <c r="F76" s="425"/>
      <c r="G76" s="426"/>
      <c r="H76" s="427"/>
      <c r="I76" s="434"/>
      <c r="J76" s="192"/>
      <c r="K76" s="209">
        <v>0.52</v>
      </c>
      <c r="L76" s="194" t="s">
        <v>63</v>
      </c>
      <c r="M76" s="195">
        <f t="shared" si="4"/>
        <v>0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3"/>
        <v>0</v>
      </c>
      <c r="U76" s="199"/>
      <c r="V76" s="200"/>
      <c r="W76" s="195"/>
      <c r="X76" s="195"/>
      <c r="Y76" s="438"/>
      <c r="Z76" s="201"/>
      <c r="AA76" s="202"/>
      <c r="AB76" s="362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520</v>
      </c>
      <c r="C77" s="407" t="e">
        <f>#REF!</f>
        <v>#REF!</v>
      </c>
      <c r="D77" s="408"/>
      <c r="E77" s="409"/>
      <c r="F77" s="371"/>
      <c r="G77" s="372"/>
      <c r="H77" s="373"/>
      <c r="I77" s="614" t="s">
        <v>358</v>
      </c>
      <c r="J77" s="255"/>
      <c r="K77" s="263">
        <v>1</v>
      </c>
      <c r="L77" s="168" t="s">
        <v>63</v>
      </c>
      <c r="M77" s="169">
        <f t="shared" si="4"/>
        <v>520</v>
      </c>
      <c r="N77" s="171"/>
      <c r="O77" s="277"/>
      <c r="P77" s="169" t="s">
        <v>63</v>
      </c>
      <c r="Q77" s="376">
        <v>46207</v>
      </c>
      <c r="R77" s="277">
        <v>520</v>
      </c>
      <c r="S77" s="169" t="s">
        <v>63</v>
      </c>
      <c r="T77" s="278">
        <f t="shared" si="3"/>
        <v>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475</v>
      </c>
    </row>
    <row r="78" spans="1:32" s="176" customFormat="1" ht="54.95" customHeight="1" x14ac:dyDescent="0.15">
      <c r="A78" s="387"/>
      <c r="B78" s="164">
        <f>D11</f>
        <v>560</v>
      </c>
      <c r="C78" s="410"/>
      <c r="D78" s="411"/>
      <c r="E78" s="412"/>
      <c r="F78" s="371"/>
      <c r="G78" s="372"/>
      <c r="H78" s="373"/>
      <c r="I78" s="615"/>
      <c r="J78" s="255"/>
      <c r="K78" s="167">
        <v>1</v>
      </c>
      <c r="L78" s="168" t="s">
        <v>63</v>
      </c>
      <c r="M78" s="169">
        <f t="shared" si="4"/>
        <v>560</v>
      </c>
      <c r="N78" s="171"/>
      <c r="O78" s="277"/>
      <c r="P78" s="169" t="s">
        <v>63</v>
      </c>
      <c r="Q78" s="377"/>
      <c r="R78" s="277">
        <v>560</v>
      </c>
      <c r="S78" s="169" t="s">
        <v>63</v>
      </c>
      <c r="T78" s="278">
        <f t="shared" si="3"/>
        <v>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147</v>
      </c>
      <c r="C79" s="410"/>
      <c r="D79" s="411"/>
      <c r="E79" s="412"/>
      <c r="F79" s="371"/>
      <c r="G79" s="372"/>
      <c r="H79" s="373"/>
      <c r="I79" s="615"/>
      <c r="J79" s="255"/>
      <c r="K79" s="167">
        <v>1</v>
      </c>
      <c r="L79" s="168" t="s">
        <v>63</v>
      </c>
      <c r="M79" s="169">
        <f t="shared" si="4"/>
        <v>147</v>
      </c>
      <c r="N79" s="171"/>
      <c r="O79" s="277"/>
      <c r="P79" s="169" t="s">
        <v>63</v>
      </c>
      <c r="Q79" s="377"/>
      <c r="R79" s="277">
        <v>147</v>
      </c>
      <c r="S79" s="169" t="s">
        <v>63</v>
      </c>
      <c r="T79" s="278">
        <f t="shared" si="3"/>
        <v>0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/>
      <c r="G80" s="372"/>
      <c r="H80" s="373"/>
      <c r="I80" s="615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/>
      <c r="G81" s="372"/>
      <c r="H81" s="373"/>
      <c r="I81" s="61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419</v>
      </c>
      <c r="B82" s="164">
        <f>C5+C8</f>
        <v>240</v>
      </c>
      <c r="C82" s="456" t="str">
        <f>A5</f>
        <v>BE</v>
      </c>
      <c r="D82" s="456"/>
      <c r="E82" s="456"/>
      <c r="F82" s="371"/>
      <c r="G82" s="372"/>
      <c r="H82" s="373"/>
      <c r="I82" s="614"/>
      <c r="J82" s="276"/>
      <c r="K82" s="167">
        <v>1</v>
      </c>
      <c r="L82" s="168" t="s">
        <v>63</v>
      </c>
      <c r="M82" s="169">
        <f t="shared" si="4"/>
        <v>240</v>
      </c>
      <c r="N82" s="171"/>
      <c r="O82" s="277"/>
      <c r="P82" s="169" t="s">
        <v>63</v>
      </c>
      <c r="Q82" s="376">
        <v>46207</v>
      </c>
      <c r="R82" s="277">
        <v>240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475</v>
      </c>
    </row>
    <row r="83" spans="1:28" s="176" customFormat="1" ht="54.95" customHeight="1" x14ac:dyDescent="0.15">
      <c r="A83" s="387"/>
      <c r="B83" s="164">
        <f>D5+D8</f>
        <v>260</v>
      </c>
      <c r="C83" s="456"/>
      <c r="D83" s="456"/>
      <c r="E83" s="456"/>
      <c r="F83" s="371"/>
      <c r="G83" s="372"/>
      <c r="H83" s="373"/>
      <c r="I83" s="615"/>
      <c r="J83" s="276"/>
      <c r="K83" s="167">
        <v>1</v>
      </c>
      <c r="L83" s="168" t="s">
        <v>63</v>
      </c>
      <c r="M83" s="169">
        <f t="shared" si="4"/>
        <v>260</v>
      </c>
      <c r="N83" s="171"/>
      <c r="O83" s="277"/>
      <c r="P83" s="169" t="s">
        <v>63</v>
      </c>
      <c r="Q83" s="377"/>
      <c r="R83" s="277">
        <v>260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50</v>
      </c>
      <c r="C84" s="456"/>
      <c r="D84" s="456"/>
      <c r="E84" s="456"/>
      <c r="F84" s="371"/>
      <c r="G84" s="372"/>
      <c r="H84" s="373"/>
      <c r="I84" s="615"/>
      <c r="J84" s="276"/>
      <c r="K84" s="167">
        <v>1</v>
      </c>
      <c r="L84" s="168" t="s">
        <v>63</v>
      </c>
      <c r="M84" s="169">
        <f t="shared" si="4"/>
        <v>50</v>
      </c>
      <c r="N84" s="171"/>
      <c r="O84" s="277"/>
      <c r="P84" s="169" t="s">
        <v>63</v>
      </c>
      <c r="Q84" s="377"/>
      <c r="R84" s="277">
        <v>50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280</v>
      </c>
      <c r="C85" s="456" t="str">
        <f>A6</f>
        <v>MG</v>
      </c>
      <c r="D85" s="456"/>
      <c r="E85" s="456"/>
      <c r="F85" s="371"/>
      <c r="G85" s="372"/>
      <c r="H85" s="373"/>
      <c r="I85" s="615"/>
      <c r="J85" s="276"/>
      <c r="K85" s="167">
        <v>1</v>
      </c>
      <c r="L85" s="168" t="s">
        <v>63</v>
      </c>
      <c r="M85" s="169">
        <f t="shared" si="4"/>
        <v>280</v>
      </c>
      <c r="N85" s="171"/>
      <c r="O85" s="277"/>
      <c r="P85" s="169" t="s">
        <v>63</v>
      </c>
      <c r="Q85" s="377"/>
      <c r="R85" s="168">
        <v>280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300</v>
      </c>
      <c r="C86" s="456"/>
      <c r="D86" s="456"/>
      <c r="E86" s="456"/>
      <c r="F86" s="371"/>
      <c r="G86" s="372"/>
      <c r="H86" s="373"/>
      <c r="I86" s="615"/>
      <c r="J86" s="276"/>
      <c r="K86" s="167">
        <v>1</v>
      </c>
      <c r="L86" s="168" t="s">
        <v>63</v>
      </c>
      <c r="M86" s="169">
        <f t="shared" ref="M86:M106" si="25">K86*B86</f>
        <v>300</v>
      </c>
      <c r="N86" s="171"/>
      <c r="O86" s="277"/>
      <c r="P86" s="169" t="s">
        <v>63</v>
      </c>
      <c r="Q86" s="377"/>
      <c r="R86" s="168">
        <v>300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97</v>
      </c>
      <c r="C87" s="456"/>
      <c r="D87" s="456"/>
      <c r="E87" s="456"/>
      <c r="F87" s="371"/>
      <c r="G87" s="372"/>
      <c r="H87" s="373"/>
      <c r="I87" s="615"/>
      <c r="J87" s="276"/>
      <c r="K87" s="167">
        <v>1</v>
      </c>
      <c r="L87" s="168" t="s">
        <v>63</v>
      </c>
      <c r="M87" s="169">
        <f t="shared" si="25"/>
        <v>97</v>
      </c>
      <c r="N87" s="171"/>
      <c r="O87" s="277"/>
      <c r="P87" s="169" t="s">
        <v>63</v>
      </c>
      <c r="Q87" s="377"/>
      <c r="R87" s="277">
        <v>97</v>
      </c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0</v>
      </c>
      <c r="C88" s="456">
        <f>A7</f>
        <v>0</v>
      </c>
      <c r="D88" s="456"/>
      <c r="E88" s="456"/>
      <c r="F88" s="371"/>
      <c r="G88" s="372"/>
      <c r="H88" s="373"/>
      <c r="I88" s="615"/>
      <c r="J88" s="276"/>
      <c r="K88" s="167">
        <v>1</v>
      </c>
      <c r="L88" s="168" t="s">
        <v>63</v>
      </c>
      <c r="M88" s="169">
        <f t="shared" si="25"/>
        <v>0</v>
      </c>
      <c r="N88" s="171"/>
      <c r="O88" s="277"/>
      <c r="P88" s="169" t="s">
        <v>63</v>
      </c>
      <c r="Q88" s="377"/>
      <c r="R88" s="277"/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0</v>
      </c>
      <c r="C89" s="456"/>
      <c r="D89" s="456"/>
      <c r="E89" s="456"/>
      <c r="F89" s="371"/>
      <c r="G89" s="372"/>
      <c r="H89" s="373"/>
      <c r="I89" s="615"/>
      <c r="J89" s="276"/>
      <c r="K89" s="167">
        <v>1</v>
      </c>
      <c r="L89" s="168" t="s">
        <v>63</v>
      </c>
      <c r="M89" s="169">
        <f t="shared" si="25"/>
        <v>0</v>
      </c>
      <c r="N89" s="171"/>
      <c r="O89" s="277"/>
      <c r="P89" s="169" t="s">
        <v>63</v>
      </c>
      <c r="Q89" s="377"/>
      <c r="R89" s="277"/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0</v>
      </c>
      <c r="C90" s="456"/>
      <c r="D90" s="456"/>
      <c r="E90" s="456"/>
      <c r="F90" s="371"/>
      <c r="G90" s="372"/>
      <c r="H90" s="373"/>
      <c r="I90" s="616"/>
      <c r="J90" s="276"/>
      <c r="K90" s="167">
        <v>1</v>
      </c>
      <c r="L90" s="168" t="s">
        <v>63</v>
      </c>
      <c r="M90" s="169">
        <f t="shared" si="25"/>
        <v>0</v>
      </c>
      <c r="N90" s="171"/>
      <c r="O90" s="277"/>
      <c r="P90" s="169" t="s">
        <v>63</v>
      </c>
      <c r="Q90" s="378"/>
      <c r="R90" s="168"/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240</v>
      </c>
      <c r="C91" s="456" t="str">
        <f>A5</f>
        <v>BE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240</v>
      </c>
      <c r="N91" s="171"/>
      <c r="O91" s="277"/>
      <c r="P91" s="169" t="s">
        <v>63</v>
      </c>
      <c r="Q91" s="376"/>
      <c r="R91" s="277"/>
      <c r="S91" s="169" t="s">
        <v>63</v>
      </c>
      <c r="T91" s="278">
        <f t="shared" si="3"/>
        <v>-240</v>
      </c>
      <c r="U91" s="281"/>
      <c r="V91" s="282"/>
      <c r="W91" s="278"/>
      <c r="X91" s="278"/>
      <c r="Y91" s="374" t="s">
        <v>67</v>
      </c>
      <c r="Z91" s="374"/>
      <c r="AA91" s="374"/>
      <c r="AB91" s="404"/>
    </row>
    <row r="92" spans="1:28" s="176" customFormat="1" ht="54.95" customHeight="1" x14ac:dyDescent="0.15">
      <c r="A92" s="387"/>
      <c r="B92" s="164">
        <f>D5</f>
        <v>260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260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 t="shared" si="3"/>
        <v>-260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50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50</v>
      </c>
      <c r="N93" s="171"/>
      <c r="O93" s="277"/>
      <c r="P93" s="169" t="s">
        <v>63</v>
      </c>
      <c r="Q93" s="377"/>
      <c r="R93" s="277"/>
      <c r="S93" s="169" t="s">
        <v>63</v>
      </c>
      <c r="T93" s="278">
        <f t="shared" si="3"/>
        <v>-50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280</v>
      </c>
      <c r="C94" s="456" t="str">
        <f>A6</f>
        <v>MG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280</v>
      </c>
      <c r="N94" s="171"/>
      <c r="O94" s="277"/>
      <c r="P94" s="169" t="s">
        <v>63</v>
      </c>
      <c r="Q94" s="377"/>
      <c r="R94" s="168"/>
      <c r="S94" s="169" t="s">
        <v>63</v>
      </c>
      <c r="T94" s="278">
        <f t="shared" si="3"/>
        <v>-280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300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300</v>
      </c>
      <c r="N95" s="171"/>
      <c r="O95" s="277"/>
      <c r="P95" s="169" t="s">
        <v>63</v>
      </c>
      <c r="Q95" s="377"/>
      <c r="R95" s="168"/>
      <c r="S95" s="169" t="s">
        <v>63</v>
      </c>
      <c r="T95" s="278">
        <f t="shared" si="3"/>
        <v>-300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97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97</v>
      </c>
      <c r="N96" s="171"/>
      <c r="O96" s="277"/>
      <c r="P96" s="169" t="s">
        <v>63</v>
      </c>
      <c r="Q96" s="377"/>
      <c r="R96" s="277"/>
      <c r="S96" s="169" t="s">
        <v>63</v>
      </c>
      <c r="T96" s="278">
        <f t="shared" si="3"/>
        <v>-97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0</v>
      </c>
      <c r="C97" s="456">
        <f>A7</f>
        <v>0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0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520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520</v>
      </c>
      <c r="N100" s="89"/>
      <c r="O100" s="153"/>
      <c r="P100" s="88" t="s">
        <v>63</v>
      </c>
      <c r="Q100" s="398">
        <v>46207</v>
      </c>
      <c r="R100" s="93">
        <v>520</v>
      </c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478</v>
      </c>
    </row>
    <row r="101" spans="1:28" s="55" customFormat="1" ht="54.95" customHeight="1" x14ac:dyDescent="0.15">
      <c r="A101" s="387"/>
      <c r="B101" s="87">
        <f>D11</f>
        <v>560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560</v>
      </c>
      <c r="N101" s="89"/>
      <c r="O101" s="153"/>
      <c r="P101" s="88" t="s">
        <v>63</v>
      </c>
      <c r="Q101" s="399"/>
      <c r="R101" s="93">
        <v>560</v>
      </c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147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147</v>
      </c>
      <c r="N102" s="89"/>
      <c r="O102" s="153"/>
      <c r="P102" s="88" t="s">
        <v>63</v>
      </c>
      <c r="Q102" s="399"/>
      <c r="R102" s="93">
        <v>147</v>
      </c>
      <c r="S102" s="88" t="s">
        <v>63</v>
      </c>
      <c r="T102" s="154">
        <f t="shared" si="3"/>
        <v>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1227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1227</v>
      </c>
      <c r="N104" s="170"/>
      <c r="O104" s="170"/>
      <c r="P104" s="169" t="s">
        <v>63</v>
      </c>
      <c r="Q104" s="171">
        <v>46207</v>
      </c>
      <c r="R104" s="165">
        <v>1227</v>
      </c>
      <c r="S104" s="169" t="s">
        <v>63</v>
      </c>
      <c r="T104" s="154">
        <f t="shared" si="3"/>
        <v>0</v>
      </c>
      <c r="U104" s="170"/>
      <c r="V104" s="172"/>
      <c r="W104" s="172"/>
      <c r="X104" s="172"/>
      <c r="Y104" s="374" t="s">
        <v>72</v>
      </c>
      <c r="Z104" s="380"/>
      <c r="AA104" s="383"/>
      <c r="AB104" s="356" t="s">
        <v>475</v>
      </c>
    </row>
    <row r="105" spans="1:28" s="55" customFormat="1" ht="54.95" customHeight="1" x14ac:dyDescent="0.15">
      <c r="A105" s="163" t="s">
        <v>464</v>
      </c>
      <c r="B105" s="87">
        <f>I11</f>
        <v>1227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1227</v>
      </c>
      <c r="N105" s="91"/>
      <c r="O105" s="91"/>
      <c r="P105" s="169" t="s">
        <v>63</v>
      </c>
      <c r="Q105" s="171">
        <v>46207</v>
      </c>
      <c r="R105" s="165">
        <v>1227</v>
      </c>
      <c r="S105" s="169" t="s">
        <v>63</v>
      </c>
      <c r="T105" s="154">
        <f t="shared" si="3"/>
        <v>0</v>
      </c>
      <c r="U105" s="91"/>
      <c r="V105" s="91"/>
      <c r="W105" s="91"/>
      <c r="X105" s="91"/>
      <c r="Y105" s="375"/>
      <c r="Z105" s="381"/>
      <c r="AA105" s="384"/>
      <c r="AB105" s="353" t="s">
        <v>475</v>
      </c>
    </row>
    <row r="106" spans="1:28" s="55" customFormat="1" ht="54.95" customHeight="1" x14ac:dyDescent="0.15">
      <c r="A106" s="284" t="s">
        <v>160</v>
      </c>
      <c r="B106" s="87">
        <f>I11</f>
        <v>1227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1227</v>
      </c>
      <c r="N106" s="91"/>
      <c r="O106" s="91"/>
      <c r="P106" s="89" t="s">
        <v>63</v>
      </c>
      <c r="Q106" s="306">
        <v>46207</v>
      </c>
      <c r="R106" s="93">
        <v>1227</v>
      </c>
      <c r="S106" s="89" t="s">
        <v>63</v>
      </c>
      <c r="T106" s="154">
        <f t="shared" si="3"/>
        <v>0</v>
      </c>
      <c r="U106" s="91"/>
      <c r="V106" s="91"/>
      <c r="W106" s="91"/>
      <c r="X106" s="91"/>
      <c r="Y106" s="379"/>
      <c r="Z106" s="382"/>
      <c r="AA106" s="385"/>
      <c r="AB106" s="353" t="s">
        <v>478</v>
      </c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9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9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35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13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35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13"/>
      <c r="AC118" s="1"/>
    </row>
  </sheetData>
  <mergeCells count="370">
    <mergeCell ref="Z104:Z106"/>
    <mergeCell ref="AA104:AA106"/>
    <mergeCell ref="AB91:AB99"/>
    <mergeCell ref="F97:H97"/>
    <mergeCell ref="F98:H98"/>
    <mergeCell ref="F99:H99"/>
    <mergeCell ref="A100:A103"/>
    <mergeCell ref="C100:E103"/>
    <mergeCell ref="F100:H100"/>
    <mergeCell ref="Q100:Q103"/>
    <mergeCell ref="Y100:Y103"/>
    <mergeCell ref="AA91:AA95"/>
    <mergeCell ref="A91:A99"/>
    <mergeCell ref="AB100:AB103"/>
    <mergeCell ref="F105:H105"/>
    <mergeCell ref="C106:E106"/>
    <mergeCell ref="F106:H106"/>
    <mergeCell ref="C104:E104"/>
    <mergeCell ref="F104:H104"/>
    <mergeCell ref="Y104:Y106"/>
    <mergeCell ref="B108:C108"/>
    <mergeCell ref="F108:H108"/>
    <mergeCell ref="Z100:Z103"/>
    <mergeCell ref="AA100:AA103"/>
    <mergeCell ref="F92:H92"/>
    <mergeCell ref="F93:H93"/>
    <mergeCell ref="C94:E96"/>
    <mergeCell ref="F94:H94"/>
    <mergeCell ref="F95:H95"/>
    <mergeCell ref="F96:H96"/>
    <mergeCell ref="Y96:Y99"/>
    <mergeCell ref="Z96:Z99"/>
    <mergeCell ref="C91:E93"/>
    <mergeCell ref="F91:H91"/>
    <mergeCell ref="Q91:Q99"/>
    <mergeCell ref="Y91:Y95"/>
    <mergeCell ref="Z91:Z95"/>
    <mergeCell ref="B107:C107"/>
    <mergeCell ref="F101:H101"/>
    <mergeCell ref="F102:H102"/>
    <mergeCell ref="F103:H103"/>
    <mergeCell ref="AA96:AA99"/>
    <mergeCell ref="C97:E99"/>
    <mergeCell ref="C105:E105"/>
    <mergeCell ref="Z82:Z90"/>
    <mergeCell ref="AA82:AA90"/>
    <mergeCell ref="AB82:AB90"/>
    <mergeCell ref="F83:H83"/>
    <mergeCell ref="F84:H84"/>
    <mergeCell ref="C85:E87"/>
    <mergeCell ref="F85:H85"/>
    <mergeCell ref="F86:H86"/>
    <mergeCell ref="F87:H87"/>
    <mergeCell ref="C88:E90"/>
    <mergeCell ref="A82:A90"/>
    <mergeCell ref="C82:E84"/>
    <mergeCell ref="F82:H82"/>
    <mergeCell ref="I82:I90"/>
    <mergeCell ref="Q82:Q90"/>
    <mergeCell ref="Y82:Y90"/>
    <mergeCell ref="F88:H88"/>
    <mergeCell ref="F89:H89"/>
    <mergeCell ref="F90:H90"/>
    <mergeCell ref="Z77:Z81"/>
    <mergeCell ref="AA77:AA81"/>
    <mergeCell ref="AB77:AB81"/>
    <mergeCell ref="F78:H78"/>
    <mergeCell ref="F79:H79"/>
    <mergeCell ref="F80:H80"/>
    <mergeCell ref="F81:H81"/>
    <mergeCell ref="A77:A81"/>
    <mergeCell ref="C77:E81"/>
    <mergeCell ref="F77:H77"/>
    <mergeCell ref="I77:I81"/>
    <mergeCell ref="Q77:Q81"/>
    <mergeCell ref="Y77:Y81"/>
    <mergeCell ref="Y74:Y76"/>
    <mergeCell ref="AB74:AB76"/>
    <mergeCell ref="C75:E75"/>
    <mergeCell ref="F75:H75"/>
    <mergeCell ref="C76:E76"/>
    <mergeCell ref="F76:H76"/>
    <mergeCell ref="AB71:AB73"/>
    <mergeCell ref="C72:E72"/>
    <mergeCell ref="F72:H72"/>
    <mergeCell ref="C73:E73"/>
    <mergeCell ref="F73:H73"/>
    <mergeCell ref="Y71:Y73"/>
    <mergeCell ref="A74:A76"/>
    <mergeCell ref="C74:E74"/>
    <mergeCell ref="F74:H74"/>
    <mergeCell ref="I74:I76"/>
    <mergeCell ref="Q74:Q76"/>
    <mergeCell ref="A71:A73"/>
    <mergeCell ref="C71:E71"/>
    <mergeCell ref="F71:H71"/>
    <mergeCell ref="I71:I73"/>
    <mergeCell ref="Q71:Q73"/>
    <mergeCell ref="Y68:Y70"/>
    <mergeCell ref="AB68:AB70"/>
    <mergeCell ref="C69:E69"/>
    <mergeCell ref="F69:H69"/>
    <mergeCell ref="C70:E70"/>
    <mergeCell ref="F70:H70"/>
    <mergeCell ref="AB65:AB67"/>
    <mergeCell ref="C66:E66"/>
    <mergeCell ref="F66:H66"/>
    <mergeCell ref="C67:E67"/>
    <mergeCell ref="F67:H67"/>
    <mergeCell ref="Y65:Y67"/>
    <mergeCell ref="A68:A70"/>
    <mergeCell ref="C68:E68"/>
    <mergeCell ref="F68:H68"/>
    <mergeCell ref="I68:I70"/>
    <mergeCell ref="Q68:Q70"/>
    <mergeCell ref="A65:A67"/>
    <mergeCell ref="C65:E65"/>
    <mergeCell ref="F65:H65"/>
    <mergeCell ref="I65:I67"/>
    <mergeCell ref="Q65:Q67"/>
    <mergeCell ref="A62:A64"/>
    <mergeCell ref="C62:E62"/>
    <mergeCell ref="F62:H62"/>
    <mergeCell ref="Q62:Q64"/>
    <mergeCell ref="Y62:Y64"/>
    <mergeCell ref="AB62:AB64"/>
    <mergeCell ref="C63:E63"/>
    <mergeCell ref="F63:H63"/>
    <mergeCell ref="C64:E64"/>
    <mergeCell ref="F64:H64"/>
    <mergeCell ref="I62:I64"/>
    <mergeCell ref="A59:A61"/>
    <mergeCell ref="C59:E59"/>
    <mergeCell ref="F59:H59"/>
    <mergeCell ref="Y59:Y61"/>
    <mergeCell ref="C60:E60"/>
    <mergeCell ref="F60:H60"/>
    <mergeCell ref="C61:E61"/>
    <mergeCell ref="F61:H61"/>
    <mergeCell ref="Y56:Y58"/>
    <mergeCell ref="A56:A58"/>
    <mergeCell ref="AB56:AB61"/>
    <mergeCell ref="C57:E57"/>
    <mergeCell ref="F57:H57"/>
    <mergeCell ref="C58:E58"/>
    <mergeCell ref="F58:H58"/>
    <mergeCell ref="AB53:AB55"/>
    <mergeCell ref="C54:E54"/>
    <mergeCell ref="F54:H54"/>
    <mergeCell ref="C55:E55"/>
    <mergeCell ref="F55:H55"/>
    <mergeCell ref="C56:E56"/>
    <mergeCell ref="F56:H56"/>
    <mergeCell ref="I56:I58"/>
    <mergeCell ref="Q56:Q61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C49:E49"/>
    <mergeCell ref="F49:H49"/>
    <mergeCell ref="A50:A52"/>
    <mergeCell ref="C50:E50"/>
    <mergeCell ref="F50:H50"/>
    <mergeCell ref="I50:I52"/>
    <mergeCell ref="Y50:Y52"/>
    <mergeCell ref="C51:E51"/>
    <mergeCell ref="A44:A46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F51:H51"/>
    <mergeCell ref="AC51:AF51"/>
    <mergeCell ref="C52:E52"/>
    <mergeCell ref="F52:H52"/>
    <mergeCell ref="AC52:AF52"/>
    <mergeCell ref="AC48:AF48"/>
    <mergeCell ref="AC49:AF49"/>
    <mergeCell ref="C44:E44"/>
    <mergeCell ref="F44:H44"/>
    <mergeCell ref="I44:I46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Q20:Q22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B15:AB17"/>
    <mergeCell ref="I15:I17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Q15:Q17"/>
    <mergeCell ref="Y15:Y17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7DD5-7EAD-496A-919A-F89039B31B5B}">
  <sheetPr>
    <pageSetUpPr fitToPage="1"/>
  </sheetPr>
  <dimension ref="A1:AF94"/>
  <sheetViews>
    <sheetView view="pageBreakPreview" topLeftCell="A73" zoomScale="75" zoomScaleNormal="100" zoomScaleSheetLayoutView="75" workbookViewId="0">
      <selection activeCell="B2" sqref="B2:G2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420</v>
      </c>
      <c r="C2" s="548"/>
      <c r="D2" s="548"/>
      <c r="E2" s="548"/>
      <c r="F2" s="548"/>
      <c r="G2" s="549"/>
      <c r="H2" s="180" t="s">
        <v>1</v>
      </c>
      <c r="I2" s="550">
        <f>I11</f>
        <v>663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301</v>
      </c>
      <c r="B5" s="480"/>
      <c r="C5" s="182">
        <v>320</v>
      </c>
      <c r="D5" s="182">
        <v>290</v>
      </c>
      <c r="E5" s="182">
        <v>53</v>
      </c>
      <c r="F5" s="182"/>
      <c r="G5" s="182"/>
      <c r="H5" s="542" t="s">
        <v>24</v>
      </c>
      <c r="I5" s="524">
        <f t="shared" ref="I5:I11" si="0">SUM(C5:G5)</f>
        <v>663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/>
      <c r="B6" s="523"/>
      <c r="C6" s="182"/>
      <c r="D6" s="182"/>
      <c r="E6" s="182"/>
      <c r="F6" s="182"/>
      <c r="G6" s="182"/>
      <c r="H6" s="537"/>
      <c r="I6" s="524">
        <f t="shared" si="0"/>
        <v>0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46192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92"/>
      <c r="L9" s="291"/>
      <c r="M9" s="295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320</v>
      </c>
      <c r="D11" s="181">
        <f>SUM(D5:D10)</f>
        <v>290</v>
      </c>
      <c r="E11" s="181">
        <f>SUM(E5:E10)</f>
        <v>53</v>
      </c>
      <c r="F11" s="181">
        <f>SUM(F5:F10)</f>
        <v>0</v>
      </c>
      <c r="G11" s="181">
        <f>SUM(G5:G10)</f>
        <v>0</v>
      </c>
      <c r="H11" s="182"/>
      <c r="I11" s="481">
        <f t="shared" si="0"/>
        <v>663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46296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326.39999999999998</v>
      </c>
      <c r="D12" s="43">
        <f>D11*1.02</f>
        <v>295.8</v>
      </c>
      <c r="E12" s="43">
        <f>E11*1.02</f>
        <v>54.06</v>
      </c>
      <c r="F12" s="43">
        <f>F11*1.02</f>
        <v>0</v>
      </c>
      <c r="G12" s="43">
        <f>G11*1.02</f>
        <v>0</v>
      </c>
      <c r="H12" s="44"/>
      <c r="I12" s="486">
        <f>I11*1.02</f>
        <v>676.26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 t="shared" ref="B15:B25" si="1">$I$5</f>
        <v>663</v>
      </c>
      <c r="C15" s="474" t="str">
        <f t="shared" ref="C15:C25" si="2">$A$5</f>
        <v>BR</v>
      </c>
      <c r="D15" s="475"/>
      <c r="E15" s="476"/>
      <c r="F15" s="474"/>
      <c r="G15" s="475"/>
      <c r="H15" s="476"/>
      <c r="I15" s="477" t="s">
        <v>99</v>
      </c>
      <c r="J15" s="65" t="s">
        <v>6</v>
      </c>
      <c r="K15" s="66">
        <v>2.33</v>
      </c>
      <c r="L15" s="67" t="s">
        <v>7</v>
      </c>
      <c r="M15" s="68">
        <f>K15*B15</f>
        <v>1544.79</v>
      </c>
      <c r="N15" s="69"/>
      <c r="O15" s="70"/>
      <c r="P15" s="67" t="s">
        <v>7</v>
      </c>
      <c r="Q15" s="478">
        <v>46200</v>
      </c>
      <c r="R15" s="122">
        <v>1546.7</v>
      </c>
      <c r="S15" s="71" t="s">
        <v>7</v>
      </c>
      <c r="T15" s="123">
        <f t="shared" ref="T15:T82" si="3">R15-M15</f>
        <v>1.9100000000000819</v>
      </c>
      <c r="U15" s="72"/>
      <c r="V15" s="72"/>
      <c r="W15" s="73"/>
      <c r="X15" s="74"/>
      <c r="Y15" s="479" t="s">
        <v>329</v>
      </c>
      <c r="Z15" s="63"/>
      <c r="AA15" s="64"/>
      <c r="AB15" s="566" t="s">
        <v>467</v>
      </c>
      <c r="AC15" s="471"/>
      <c r="AD15" s="472"/>
      <c r="AE15" s="472"/>
      <c r="AF15" s="472"/>
    </row>
    <row r="16" spans="1:32" s="55" customFormat="1" ht="69.95" customHeight="1" thickBot="1" x14ac:dyDescent="0.2">
      <c r="A16" s="432"/>
      <c r="B16" s="182">
        <f>$I$6</f>
        <v>0</v>
      </c>
      <c r="C16" s="368">
        <f>$A$6</f>
        <v>0</v>
      </c>
      <c r="D16" s="369"/>
      <c r="E16" s="370"/>
      <c r="F16" s="368"/>
      <c r="G16" s="369"/>
      <c r="H16" s="370"/>
      <c r="I16" s="442"/>
      <c r="J16" s="76" t="s">
        <v>6</v>
      </c>
      <c r="K16" s="83">
        <v>2.33</v>
      </c>
      <c r="L16" s="77" t="s">
        <v>7</v>
      </c>
      <c r="M16" s="78">
        <f t="shared" ref="M16:M82" si="4">K16*B16</f>
        <v>0</v>
      </c>
      <c r="N16" s="79"/>
      <c r="O16" s="128"/>
      <c r="P16" s="77" t="s">
        <v>7</v>
      </c>
      <c r="Q16" s="444"/>
      <c r="R16" s="130"/>
      <c r="S16" s="75" t="s">
        <v>7</v>
      </c>
      <c r="T16" s="81">
        <f t="shared" si="3"/>
        <v>0</v>
      </c>
      <c r="U16" s="131"/>
      <c r="V16" s="131"/>
      <c r="W16" s="132"/>
      <c r="X16" s="133"/>
      <c r="Y16" s="446"/>
      <c r="Z16" s="134"/>
      <c r="AA16" s="135"/>
      <c r="AB16" s="362"/>
      <c r="AC16" s="471"/>
      <c r="AD16" s="472"/>
      <c r="AE16" s="472"/>
      <c r="AF16" s="472"/>
    </row>
    <row r="17" spans="1:32" s="55" customFormat="1" ht="69.95" hidden="1" customHeight="1" x14ac:dyDescent="0.15">
      <c r="A17" s="431" t="s">
        <v>83</v>
      </c>
      <c r="B17" s="182">
        <f t="shared" si="1"/>
        <v>663</v>
      </c>
      <c r="C17" s="461" t="str">
        <f t="shared" si="2"/>
        <v>BR</v>
      </c>
      <c r="D17" s="461"/>
      <c r="E17" s="461"/>
      <c r="F17" s="461"/>
      <c r="G17" s="461"/>
      <c r="H17" s="461"/>
      <c r="I17" s="75" t="s">
        <v>8</v>
      </c>
      <c r="J17" s="76" t="s">
        <v>6</v>
      </c>
      <c r="K17" s="136"/>
      <c r="L17" s="77" t="s">
        <v>7</v>
      </c>
      <c r="M17" s="78">
        <f t="shared" si="4"/>
        <v>0</v>
      </c>
      <c r="N17" s="79"/>
      <c r="O17" s="78"/>
      <c r="P17" s="77" t="s">
        <v>7</v>
      </c>
      <c r="Q17" s="443"/>
      <c r="R17" s="78"/>
      <c r="S17" s="80" t="s">
        <v>7</v>
      </c>
      <c r="T17" s="81">
        <f t="shared" si="3"/>
        <v>0</v>
      </c>
      <c r="U17" s="82"/>
      <c r="V17" s="137"/>
      <c r="W17" s="78"/>
      <c r="X17" s="78"/>
      <c r="Y17" s="445" t="s">
        <v>57</v>
      </c>
      <c r="Z17" s="138"/>
      <c r="AA17" s="135"/>
      <c r="AB17" s="360"/>
      <c r="AC17" s="178"/>
      <c r="AD17" s="179"/>
      <c r="AE17" s="179"/>
      <c r="AF17" s="179"/>
    </row>
    <row r="18" spans="1:32" s="55" customFormat="1" ht="69.95" hidden="1" customHeight="1" x14ac:dyDescent="0.15">
      <c r="A18" s="432"/>
      <c r="B18" s="182">
        <f>$I$6</f>
        <v>0</v>
      </c>
      <c r="C18" s="461">
        <f>$A$6</f>
        <v>0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 t="s">
        <v>84</v>
      </c>
      <c r="O18" s="128"/>
      <c r="P18" s="77" t="s">
        <v>7</v>
      </c>
      <c r="Q18" s="444"/>
      <c r="R18" s="130"/>
      <c r="S18" s="75" t="s">
        <v>7</v>
      </c>
      <c r="T18" s="81">
        <f t="shared" si="3"/>
        <v>0</v>
      </c>
      <c r="U18" s="131"/>
      <c r="V18" s="131"/>
      <c r="W18" s="132"/>
      <c r="X18" s="133"/>
      <c r="Y18" s="446"/>
      <c r="Z18" s="134"/>
      <c r="AA18" s="135"/>
      <c r="AB18" s="362"/>
      <c r="AC18" s="178"/>
      <c r="AD18" s="179"/>
      <c r="AE18" s="179"/>
      <c r="AF18" s="179"/>
    </row>
    <row r="19" spans="1:32" s="55" customFormat="1" ht="69.95" customHeight="1" thickTop="1" x14ac:dyDescent="0.15">
      <c r="A19" s="431" t="s">
        <v>470</v>
      </c>
      <c r="B19" s="185">
        <f t="shared" si="1"/>
        <v>663</v>
      </c>
      <c r="C19" s="474" t="str">
        <f t="shared" si="2"/>
        <v>BR</v>
      </c>
      <c r="D19" s="475"/>
      <c r="E19" s="476"/>
      <c r="F19" s="368"/>
      <c r="G19" s="369"/>
      <c r="H19" s="370"/>
      <c r="I19" s="441" t="s">
        <v>472</v>
      </c>
      <c r="J19" s="76" t="s">
        <v>6</v>
      </c>
      <c r="K19" s="136">
        <v>0.08</v>
      </c>
      <c r="L19" s="77" t="s">
        <v>471</v>
      </c>
      <c r="M19" s="78">
        <f t="shared" si="4"/>
        <v>53.04</v>
      </c>
      <c r="N19" s="79"/>
      <c r="O19" s="128"/>
      <c r="P19" s="77" t="s">
        <v>7</v>
      </c>
      <c r="Q19" s="443">
        <v>46207</v>
      </c>
      <c r="R19" s="130">
        <v>54</v>
      </c>
      <c r="S19" s="75"/>
      <c r="T19" s="81"/>
      <c r="U19" s="131"/>
      <c r="V19" s="131"/>
      <c r="W19" s="132"/>
      <c r="X19" s="133"/>
      <c r="Y19" s="445" t="s">
        <v>486</v>
      </c>
      <c r="Z19" s="134"/>
      <c r="AA19" s="135"/>
      <c r="AB19" s="360" t="s">
        <v>485</v>
      </c>
      <c r="AC19" s="178"/>
      <c r="AD19" s="179"/>
      <c r="AE19" s="179"/>
      <c r="AF19" s="179"/>
    </row>
    <row r="20" spans="1:32" s="55" customFormat="1" ht="69.95" customHeight="1" x14ac:dyDescent="0.15">
      <c r="A20" s="432"/>
      <c r="B20" s="182">
        <f>$I$6</f>
        <v>0</v>
      </c>
      <c r="C20" s="368">
        <f>$A$6</f>
        <v>0</v>
      </c>
      <c r="D20" s="369"/>
      <c r="E20" s="370"/>
      <c r="F20" s="368"/>
      <c r="G20" s="369"/>
      <c r="H20" s="370"/>
      <c r="I20" s="442"/>
      <c r="J20" s="76" t="s">
        <v>6</v>
      </c>
      <c r="K20" s="136">
        <v>0.08</v>
      </c>
      <c r="L20" s="77" t="s">
        <v>471</v>
      </c>
      <c r="M20" s="78">
        <f t="shared" si="4"/>
        <v>0</v>
      </c>
      <c r="N20" s="79"/>
      <c r="O20" s="128"/>
      <c r="P20" s="77" t="s">
        <v>7</v>
      </c>
      <c r="Q20" s="444"/>
      <c r="R20" s="130"/>
      <c r="S20" s="75"/>
      <c r="T20" s="81"/>
      <c r="U20" s="131"/>
      <c r="V20" s="131"/>
      <c r="W20" s="132"/>
      <c r="X20" s="133"/>
      <c r="Y20" s="446"/>
      <c r="Z20" s="134"/>
      <c r="AA20" s="135"/>
      <c r="AB20" s="362"/>
      <c r="AC20" s="178"/>
      <c r="AD20" s="179"/>
      <c r="AE20" s="179"/>
      <c r="AF20" s="179"/>
    </row>
    <row r="21" spans="1:32" s="55" customFormat="1" ht="69.95" customHeight="1" x14ac:dyDescent="0.15">
      <c r="A21" s="431" t="s">
        <v>421</v>
      </c>
      <c r="B21" s="182">
        <f t="shared" si="1"/>
        <v>663</v>
      </c>
      <c r="C21" s="461" t="str">
        <f t="shared" si="2"/>
        <v>BR</v>
      </c>
      <c r="D21" s="461"/>
      <c r="E21" s="461"/>
      <c r="F21" s="461"/>
      <c r="G21" s="461"/>
      <c r="H21" s="461"/>
      <c r="I21" s="441" t="s">
        <v>8</v>
      </c>
      <c r="J21" s="76" t="s">
        <v>6</v>
      </c>
      <c r="K21" s="136">
        <v>1.1100000000000001</v>
      </c>
      <c r="L21" s="77" t="s">
        <v>7</v>
      </c>
      <c r="M21" s="78">
        <f t="shared" si="4"/>
        <v>735.93000000000006</v>
      </c>
      <c r="N21" s="79"/>
      <c r="O21" s="78"/>
      <c r="P21" s="80" t="s">
        <v>7</v>
      </c>
      <c r="Q21" s="443">
        <v>46207</v>
      </c>
      <c r="R21" s="78">
        <v>736</v>
      </c>
      <c r="S21" s="80" t="s">
        <v>7</v>
      </c>
      <c r="T21" s="81">
        <f t="shared" si="3"/>
        <v>6.9999999999936335E-2</v>
      </c>
      <c r="U21" s="82"/>
      <c r="V21" s="137"/>
      <c r="W21" s="78"/>
      <c r="X21" s="78"/>
      <c r="Y21" s="445" t="s">
        <v>93</v>
      </c>
      <c r="Z21" s="138"/>
      <c r="AA21" s="135"/>
      <c r="AB21" s="360" t="s">
        <v>485</v>
      </c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$I$6</f>
        <v>0</v>
      </c>
      <c r="C22" s="461">
        <f>$A$6</f>
        <v>0</v>
      </c>
      <c r="D22" s="461"/>
      <c r="E22" s="461"/>
      <c r="F22" s="461"/>
      <c r="G22" s="461"/>
      <c r="H22" s="461"/>
      <c r="I22" s="442"/>
      <c r="J22" s="76" t="s">
        <v>6</v>
      </c>
      <c r="K22" s="136">
        <v>1.1100000000000001</v>
      </c>
      <c r="L22" s="77" t="s">
        <v>7</v>
      </c>
      <c r="M22" s="78">
        <f t="shared" si="4"/>
        <v>0</v>
      </c>
      <c r="N22" s="79"/>
      <c r="O22" s="128"/>
      <c r="P22" s="77" t="s">
        <v>7</v>
      </c>
      <c r="Q22" s="447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228"/>
      <c r="AA22" s="228"/>
      <c r="AB22" s="361"/>
      <c r="AC22" s="178"/>
      <c r="AD22" s="179"/>
      <c r="AE22" s="179"/>
      <c r="AF22" s="179"/>
    </row>
    <row r="23" spans="1:32" s="55" customFormat="1" ht="69.95" customHeight="1" x14ac:dyDescent="0.15">
      <c r="A23" s="431" t="s">
        <v>391</v>
      </c>
      <c r="B23" s="182">
        <f t="shared" si="1"/>
        <v>663</v>
      </c>
      <c r="C23" s="461" t="str">
        <f t="shared" si="2"/>
        <v>BR</v>
      </c>
      <c r="D23" s="461"/>
      <c r="E23" s="461"/>
      <c r="F23" s="461"/>
      <c r="G23" s="461"/>
      <c r="H23" s="461"/>
      <c r="I23" s="441" t="s">
        <v>144</v>
      </c>
      <c r="J23" s="76" t="s">
        <v>6</v>
      </c>
      <c r="K23" s="136">
        <v>0.42</v>
      </c>
      <c r="L23" s="77" t="s">
        <v>7</v>
      </c>
      <c r="M23" s="78">
        <f t="shared" si="4"/>
        <v>278.45999999999998</v>
      </c>
      <c r="N23" s="79"/>
      <c r="O23" s="78"/>
      <c r="P23" s="80" t="s">
        <v>7</v>
      </c>
      <c r="Q23" s="447"/>
      <c r="R23" s="78">
        <v>279</v>
      </c>
      <c r="S23" s="80" t="s">
        <v>7</v>
      </c>
      <c r="T23" s="81">
        <f t="shared" si="3"/>
        <v>0.54000000000002046</v>
      </c>
      <c r="U23" s="82"/>
      <c r="V23" s="137"/>
      <c r="W23" s="78"/>
      <c r="X23" s="78"/>
      <c r="Y23" s="445" t="s">
        <v>93</v>
      </c>
      <c r="Z23" s="138"/>
      <c r="AA23" s="135"/>
      <c r="AB23" s="361"/>
      <c r="AC23" s="178"/>
      <c r="AD23" s="179"/>
      <c r="AE23" s="179"/>
      <c r="AF23" s="179"/>
    </row>
    <row r="24" spans="1:32" s="55" customFormat="1" ht="69.95" customHeight="1" x14ac:dyDescent="0.15">
      <c r="A24" s="432"/>
      <c r="B24" s="182">
        <f>$I$6</f>
        <v>0</v>
      </c>
      <c r="C24" s="461">
        <f>$A$6</f>
        <v>0</v>
      </c>
      <c r="D24" s="461"/>
      <c r="E24" s="461"/>
      <c r="F24" s="461"/>
      <c r="G24" s="461"/>
      <c r="H24" s="461"/>
      <c r="I24" s="442"/>
      <c r="J24" s="76" t="s">
        <v>6</v>
      </c>
      <c r="K24" s="136">
        <v>0.42</v>
      </c>
      <c r="L24" s="77" t="s">
        <v>7</v>
      </c>
      <c r="M24" s="78">
        <f t="shared" si="4"/>
        <v>0</v>
      </c>
      <c r="N24" s="79"/>
      <c r="O24" s="128"/>
      <c r="P24" s="77" t="s">
        <v>7</v>
      </c>
      <c r="Q24" s="444"/>
      <c r="R24" s="130"/>
      <c r="S24" s="75" t="s">
        <v>7</v>
      </c>
      <c r="T24" s="81">
        <f t="shared" si="3"/>
        <v>0</v>
      </c>
      <c r="U24" s="131"/>
      <c r="V24" s="131"/>
      <c r="W24" s="132"/>
      <c r="X24" s="133"/>
      <c r="Y24" s="446"/>
      <c r="Z24" s="228"/>
      <c r="AA24" s="228"/>
      <c r="AB24" s="362"/>
      <c r="AC24" s="178"/>
      <c r="AD24" s="179"/>
      <c r="AE24" s="179"/>
      <c r="AF24" s="179"/>
    </row>
    <row r="25" spans="1:32" s="55" customFormat="1" ht="69.95" customHeight="1" x14ac:dyDescent="0.15">
      <c r="A25" s="431" t="s">
        <v>353</v>
      </c>
      <c r="B25" s="182">
        <f t="shared" si="1"/>
        <v>663</v>
      </c>
      <c r="C25" s="461" t="str">
        <f t="shared" si="2"/>
        <v>BR</v>
      </c>
      <c r="D25" s="461"/>
      <c r="E25" s="461"/>
      <c r="F25" s="461"/>
      <c r="G25" s="461"/>
      <c r="H25" s="461"/>
      <c r="I25" s="441" t="s">
        <v>58</v>
      </c>
      <c r="J25" s="76" t="s">
        <v>6</v>
      </c>
      <c r="K25" s="136">
        <v>1.53</v>
      </c>
      <c r="L25" s="77" t="s">
        <v>7</v>
      </c>
      <c r="M25" s="81">
        <f t="shared" si="4"/>
        <v>1014.39</v>
      </c>
      <c r="N25" s="79"/>
      <c r="O25" s="78"/>
      <c r="P25" s="80" t="s">
        <v>7</v>
      </c>
      <c r="Q25" s="443">
        <v>46207</v>
      </c>
      <c r="R25" s="81">
        <v>1014</v>
      </c>
      <c r="S25" s="80" t="s">
        <v>7</v>
      </c>
      <c r="T25" s="81">
        <f t="shared" si="3"/>
        <v>-0.38999999999998636</v>
      </c>
      <c r="U25" s="82"/>
      <c r="V25" s="137"/>
      <c r="W25" s="78"/>
      <c r="X25" s="78"/>
      <c r="Y25" s="445" t="s">
        <v>59</v>
      </c>
      <c r="Z25" s="138"/>
      <c r="AA25" s="135"/>
      <c r="AB25" s="360" t="s">
        <v>485</v>
      </c>
      <c r="AC25" s="178"/>
      <c r="AD25" s="179"/>
      <c r="AE25" s="179"/>
      <c r="AF25" s="179"/>
    </row>
    <row r="26" spans="1:32" s="55" customFormat="1" ht="69.95" customHeight="1" x14ac:dyDescent="0.15">
      <c r="A26" s="432"/>
      <c r="B26" s="182">
        <f>$I$6</f>
        <v>0</v>
      </c>
      <c r="C26" s="461">
        <f>$A$6</f>
        <v>0</v>
      </c>
      <c r="D26" s="461"/>
      <c r="E26" s="461"/>
      <c r="F26" s="461"/>
      <c r="G26" s="461"/>
      <c r="H26" s="461"/>
      <c r="I26" s="442"/>
      <c r="J26" s="76" t="s">
        <v>6</v>
      </c>
      <c r="K26" s="136">
        <v>1.53</v>
      </c>
      <c r="L26" s="77" t="s">
        <v>7</v>
      </c>
      <c r="M26" s="78">
        <f t="shared" si="4"/>
        <v>0</v>
      </c>
      <c r="N26" s="79"/>
      <c r="O26" s="128"/>
      <c r="P26" s="77" t="s">
        <v>7</v>
      </c>
      <c r="Q26" s="444"/>
      <c r="R26" s="294"/>
      <c r="S26" s="75" t="s">
        <v>7</v>
      </c>
      <c r="T26" s="81">
        <f t="shared" si="3"/>
        <v>0</v>
      </c>
      <c r="U26" s="131"/>
      <c r="V26" s="131"/>
      <c r="W26" s="132"/>
      <c r="X26" s="133"/>
      <c r="Y26" s="446"/>
      <c r="Z26" s="134"/>
      <c r="AA26" s="135"/>
      <c r="AB26" s="361"/>
      <c r="AC26" s="178"/>
      <c r="AD26" s="179"/>
      <c r="AE26" s="179"/>
      <c r="AF26" s="179"/>
    </row>
    <row r="27" spans="1:32" s="203" customFormat="1" ht="69.95" customHeight="1" x14ac:dyDescent="0.15">
      <c r="A27" s="431" t="s">
        <v>376</v>
      </c>
      <c r="B27" s="182">
        <f>$I$5</f>
        <v>663</v>
      </c>
      <c r="C27" s="461" t="str">
        <f>$A$5</f>
        <v>BR</v>
      </c>
      <c r="D27" s="461"/>
      <c r="E27" s="461"/>
      <c r="F27" s="461"/>
      <c r="G27" s="461"/>
      <c r="H27" s="461"/>
      <c r="I27" s="441" t="s">
        <v>58</v>
      </c>
      <c r="J27" s="76" t="s">
        <v>6</v>
      </c>
      <c r="K27" s="136">
        <v>7.0000000000000007E-2</v>
      </c>
      <c r="L27" s="77" t="s">
        <v>7</v>
      </c>
      <c r="M27" s="78">
        <f>K27*B27</f>
        <v>46.410000000000004</v>
      </c>
      <c r="N27" s="79"/>
      <c r="O27" s="78"/>
      <c r="P27" s="80" t="s">
        <v>7</v>
      </c>
      <c r="Q27" s="443">
        <v>46207</v>
      </c>
      <c r="R27" s="78">
        <v>46</v>
      </c>
      <c r="S27" s="80" t="s">
        <v>9</v>
      </c>
      <c r="T27" s="81">
        <f t="shared" si="3"/>
        <v>-0.41000000000000369</v>
      </c>
      <c r="U27" s="82"/>
      <c r="V27" s="137"/>
      <c r="W27" s="78"/>
      <c r="X27" s="78"/>
      <c r="Y27" s="445" t="s">
        <v>59</v>
      </c>
      <c r="Z27" s="141"/>
      <c r="AA27" s="135"/>
      <c r="AB27" s="361"/>
    </row>
    <row r="28" spans="1:32" s="203" customFormat="1" ht="69.95" customHeight="1" x14ac:dyDescent="0.15">
      <c r="A28" s="432"/>
      <c r="B28" s="182">
        <f>$I$6</f>
        <v>0</v>
      </c>
      <c r="C28" s="461">
        <f>$A$6</f>
        <v>0</v>
      </c>
      <c r="D28" s="461"/>
      <c r="E28" s="461"/>
      <c r="F28" s="461"/>
      <c r="G28" s="461"/>
      <c r="H28" s="461"/>
      <c r="I28" s="442"/>
      <c r="J28" s="76" t="s">
        <v>6</v>
      </c>
      <c r="K28" s="83">
        <v>7.0000000000000007E-2</v>
      </c>
      <c r="L28" s="77" t="s">
        <v>7</v>
      </c>
      <c r="M28" s="78">
        <f>K28*B28</f>
        <v>0</v>
      </c>
      <c r="N28" s="79"/>
      <c r="O28" s="128"/>
      <c r="P28" s="77" t="s">
        <v>7</v>
      </c>
      <c r="Q28" s="444"/>
      <c r="R28" s="137"/>
      <c r="S28" s="75" t="s">
        <v>9</v>
      </c>
      <c r="T28" s="81">
        <f t="shared" si="3"/>
        <v>0</v>
      </c>
      <c r="U28" s="131"/>
      <c r="V28" s="131"/>
      <c r="W28" s="132"/>
      <c r="X28" s="133"/>
      <c r="Y28" s="446"/>
      <c r="Z28" s="134"/>
      <c r="AA28" s="135"/>
      <c r="AB28" s="362"/>
      <c r="AC28" s="466"/>
      <c r="AD28" s="467"/>
      <c r="AE28" s="467"/>
      <c r="AF28" s="467"/>
    </row>
    <row r="29" spans="1:32" s="143" customFormat="1" ht="69.95" customHeight="1" x14ac:dyDescent="0.15">
      <c r="A29" s="464" t="s">
        <v>378</v>
      </c>
      <c r="B29" s="182">
        <f>$I$5</f>
        <v>663</v>
      </c>
      <c r="C29" s="461" t="str">
        <f>$A$5</f>
        <v>BR</v>
      </c>
      <c r="D29" s="461"/>
      <c r="E29" s="461"/>
      <c r="F29" s="461"/>
      <c r="G29" s="461"/>
      <c r="H29" s="461"/>
      <c r="I29" s="441" t="s">
        <v>76</v>
      </c>
      <c r="J29" s="76"/>
      <c r="K29" s="136">
        <v>1.7</v>
      </c>
      <c r="L29" s="77" t="s">
        <v>7</v>
      </c>
      <c r="M29" s="78">
        <f>K29*B29/100</f>
        <v>11.270999999999999</v>
      </c>
      <c r="N29" s="79"/>
      <c r="O29" s="78"/>
      <c r="P29" s="80" t="s">
        <v>7</v>
      </c>
      <c r="Q29" s="443">
        <v>46207</v>
      </c>
      <c r="R29" s="78">
        <v>12</v>
      </c>
      <c r="S29" s="80" t="s">
        <v>9</v>
      </c>
      <c r="T29" s="81">
        <f t="shared" si="3"/>
        <v>0.72900000000000098</v>
      </c>
      <c r="U29" s="82"/>
      <c r="V29" s="137"/>
      <c r="W29" s="78"/>
      <c r="X29" s="78"/>
      <c r="Y29" s="445" t="s">
        <v>94</v>
      </c>
      <c r="Z29" s="141"/>
      <c r="AA29" s="135"/>
      <c r="AB29" s="360" t="s">
        <v>485</v>
      </c>
    </row>
    <row r="30" spans="1:32" s="143" customFormat="1" ht="69.95" customHeight="1" x14ac:dyDescent="0.15">
      <c r="A30" s="464"/>
      <c r="B30" s="182">
        <f>$I$6</f>
        <v>0</v>
      </c>
      <c r="C30" s="461">
        <f>$A$6</f>
        <v>0</v>
      </c>
      <c r="D30" s="461"/>
      <c r="E30" s="461"/>
      <c r="F30" s="461"/>
      <c r="G30" s="461"/>
      <c r="H30" s="461"/>
      <c r="I30" s="442"/>
      <c r="J30" s="76"/>
      <c r="K30" s="136">
        <v>1.7</v>
      </c>
      <c r="L30" s="77" t="s">
        <v>7</v>
      </c>
      <c r="M30" s="78">
        <f>K30*B30/100</f>
        <v>0</v>
      </c>
      <c r="N30" s="79"/>
      <c r="O30" s="128"/>
      <c r="P30" s="77" t="s">
        <v>7</v>
      </c>
      <c r="Q30" s="447"/>
      <c r="R30" s="137"/>
      <c r="S30" s="75" t="s">
        <v>9</v>
      </c>
      <c r="T30" s="81">
        <f t="shared" si="3"/>
        <v>0</v>
      </c>
      <c r="U30" s="131"/>
      <c r="V30" s="131"/>
      <c r="W30" s="132"/>
      <c r="X30" s="133"/>
      <c r="Y30" s="446"/>
      <c r="Z30" s="134"/>
      <c r="AA30" s="135"/>
      <c r="AB30" s="361"/>
      <c r="AC30" s="577"/>
      <c r="AD30" s="578"/>
      <c r="AE30" s="578"/>
      <c r="AF30" s="578"/>
    </row>
    <row r="31" spans="1:32" s="143" customFormat="1" ht="69.95" customHeight="1" x14ac:dyDescent="0.15">
      <c r="A31" s="464" t="s">
        <v>422</v>
      </c>
      <c r="B31" s="182">
        <f>$I$5</f>
        <v>663</v>
      </c>
      <c r="C31" s="461" t="str">
        <f>$A$5</f>
        <v>BR</v>
      </c>
      <c r="D31" s="461"/>
      <c r="E31" s="461"/>
      <c r="F31" s="461"/>
      <c r="G31" s="461"/>
      <c r="H31" s="461"/>
      <c r="I31" s="441" t="s">
        <v>76</v>
      </c>
      <c r="J31" s="76"/>
      <c r="K31" s="136">
        <v>8.1</v>
      </c>
      <c r="L31" s="77" t="s">
        <v>7</v>
      </c>
      <c r="M31" s="78">
        <f t="shared" ref="M31:M32" si="5">K31*B31/50</f>
        <v>107.40600000000001</v>
      </c>
      <c r="N31" s="79"/>
      <c r="O31" s="78"/>
      <c r="P31" s="80" t="s">
        <v>7</v>
      </c>
      <c r="Q31" s="447"/>
      <c r="R31" s="78">
        <v>108</v>
      </c>
      <c r="S31" s="80" t="s">
        <v>9</v>
      </c>
      <c r="T31" s="81">
        <f t="shared" si="3"/>
        <v>0.59399999999999409</v>
      </c>
      <c r="U31" s="82"/>
      <c r="V31" s="137"/>
      <c r="W31" s="78"/>
      <c r="X31" s="78"/>
      <c r="Y31" s="445" t="s">
        <v>94</v>
      </c>
      <c r="Z31" s="141"/>
      <c r="AA31" s="135"/>
      <c r="AB31" s="361"/>
    </row>
    <row r="32" spans="1:32" s="143" customFormat="1" ht="69.95" customHeight="1" x14ac:dyDescent="0.15">
      <c r="A32" s="464"/>
      <c r="B32" s="182">
        <f>$I$6</f>
        <v>0</v>
      </c>
      <c r="C32" s="461">
        <f>$A$6</f>
        <v>0</v>
      </c>
      <c r="D32" s="461"/>
      <c r="E32" s="461"/>
      <c r="F32" s="461"/>
      <c r="G32" s="461"/>
      <c r="H32" s="461"/>
      <c r="I32" s="442"/>
      <c r="J32" s="76"/>
      <c r="K32" s="136">
        <v>8.1</v>
      </c>
      <c r="L32" s="77" t="s">
        <v>7</v>
      </c>
      <c r="M32" s="78">
        <f t="shared" si="5"/>
        <v>0</v>
      </c>
      <c r="N32" s="79"/>
      <c r="O32" s="128"/>
      <c r="P32" s="77" t="s">
        <v>7</v>
      </c>
      <c r="Q32" s="444"/>
      <c r="R32" s="137"/>
      <c r="S32" s="75" t="s">
        <v>9</v>
      </c>
      <c r="T32" s="81">
        <f t="shared" si="3"/>
        <v>0</v>
      </c>
      <c r="U32" s="131"/>
      <c r="V32" s="131"/>
      <c r="W32" s="132"/>
      <c r="X32" s="133"/>
      <c r="Y32" s="446"/>
      <c r="Z32" s="134"/>
      <c r="AA32" s="135"/>
      <c r="AB32" s="362"/>
      <c r="AC32" s="577"/>
      <c r="AD32" s="578"/>
      <c r="AE32" s="578"/>
      <c r="AF32" s="578"/>
    </row>
    <row r="33" spans="1:32" s="203" customFormat="1" ht="69.95" customHeight="1" x14ac:dyDescent="0.15">
      <c r="A33" s="464" t="s">
        <v>379</v>
      </c>
      <c r="B33" s="182">
        <f>$I$5</f>
        <v>663</v>
      </c>
      <c r="C33" s="461" t="str">
        <f>$A$5</f>
        <v>BR</v>
      </c>
      <c r="D33" s="461"/>
      <c r="E33" s="461"/>
      <c r="F33" s="461"/>
      <c r="G33" s="461"/>
      <c r="H33" s="461"/>
      <c r="I33" s="441" t="s">
        <v>174</v>
      </c>
      <c r="J33" s="76"/>
      <c r="K33" s="136">
        <v>1</v>
      </c>
      <c r="L33" s="77" t="s">
        <v>65</v>
      </c>
      <c r="M33" s="78">
        <f>K33*B33</f>
        <v>663</v>
      </c>
      <c r="N33" s="79"/>
      <c r="O33" s="78"/>
      <c r="P33" s="80" t="s">
        <v>7</v>
      </c>
      <c r="Q33" s="443">
        <v>46207</v>
      </c>
      <c r="R33" s="78">
        <v>663</v>
      </c>
      <c r="S33" s="80" t="s">
        <v>9</v>
      </c>
      <c r="T33" s="81">
        <f t="shared" si="3"/>
        <v>0</v>
      </c>
      <c r="U33" s="82"/>
      <c r="V33" s="137"/>
      <c r="W33" s="78"/>
      <c r="X33" s="78"/>
      <c r="Y33" s="621" t="s">
        <v>57</v>
      </c>
      <c r="Z33" s="141"/>
      <c r="AA33" s="135"/>
      <c r="AB33" s="360" t="s">
        <v>475</v>
      </c>
    </row>
    <row r="34" spans="1:32" s="203" customFormat="1" ht="69.95" customHeight="1" x14ac:dyDescent="0.15">
      <c r="A34" s="464"/>
      <c r="B34" s="182">
        <f>$I$6</f>
        <v>0</v>
      </c>
      <c r="C34" s="461">
        <f>$A$6</f>
        <v>0</v>
      </c>
      <c r="D34" s="461"/>
      <c r="E34" s="461"/>
      <c r="F34" s="461"/>
      <c r="G34" s="461"/>
      <c r="H34" s="461"/>
      <c r="I34" s="442"/>
      <c r="J34" s="76"/>
      <c r="K34" s="83">
        <v>1</v>
      </c>
      <c r="L34" s="77" t="s">
        <v>65</v>
      </c>
      <c r="M34" s="78">
        <f t="shared" ref="M34:M36" si="6">K34*B34</f>
        <v>0</v>
      </c>
      <c r="N34" s="79"/>
      <c r="O34" s="128"/>
      <c r="P34" s="77" t="s">
        <v>7</v>
      </c>
      <c r="Q34" s="444"/>
      <c r="R34" s="137"/>
      <c r="S34" s="75" t="s">
        <v>9</v>
      </c>
      <c r="T34" s="81">
        <f t="shared" si="3"/>
        <v>0</v>
      </c>
      <c r="U34" s="131"/>
      <c r="V34" s="131"/>
      <c r="W34" s="132"/>
      <c r="X34" s="133"/>
      <c r="Y34" s="622"/>
      <c r="Z34" s="134"/>
      <c r="AA34" s="135"/>
      <c r="AB34" s="362"/>
      <c r="AC34" s="466"/>
      <c r="AD34" s="467"/>
      <c r="AE34" s="467"/>
      <c r="AF34" s="467"/>
    </row>
    <row r="35" spans="1:32" s="203" customFormat="1" ht="69.95" customHeight="1" x14ac:dyDescent="0.15">
      <c r="A35" s="431" t="s">
        <v>380</v>
      </c>
      <c r="B35" s="182">
        <f>$I$5</f>
        <v>663</v>
      </c>
      <c r="C35" s="461" t="str">
        <f>$A$5</f>
        <v>BR</v>
      </c>
      <c r="D35" s="461"/>
      <c r="E35" s="461"/>
      <c r="F35" s="368"/>
      <c r="G35" s="369"/>
      <c r="H35" s="370"/>
      <c r="I35" s="441"/>
      <c r="J35" s="76"/>
      <c r="K35" s="83">
        <v>1</v>
      </c>
      <c r="L35" s="77" t="s">
        <v>381</v>
      </c>
      <c r="M35" s="78">
        <f t="shared" si="6"/>
        <v>663</v>
      </c>
      <c r="N35" s="79"/>
      <c r="O35" s="128"/>
      <c r="P35" s="77"/>
      <c r="Q35" s="443">
        <v>46207</v>
      </c>
      <c r="R35" s="137">
        <v>663</v>
      </c>
      <c r="S35" s="75"/>
      <c r="T35" s="81">
        <f t="shared" si="3"/>
        <v>0</v>
      </c>
      <c r="U35" s="131"/>
      <c r="V35" s="131"/>
      <c r="W35" s="132"/>
      <c r="X35" s="133"/>
      <c r="Y35" s="621" t="s">
        <v>57</v>
      </c>
      <c r="Z35" s="134"/>
      <c r="AA35" s="135"/>
      <c r="AB35" s="360" t="s">
        <v>475</v>
      </c>
      <c r="AC35" s="334"/>
      <c r="AD35" s="335"/>
      <c r="AE35" s="335"/>
      <c r="AF35" s="335"/>
    </row>
    <row r="36" spans="1:32" s="203" customFormat="1" ht="69.95" customHeight="1" x14ac:dyDescent="0.15">
      <c r="A36" s="432"/>
      <c r="B36" s="182">
        <f>$I$6</f>
        <v>0</v>
      </c>
      <c r="C36" s="461">
        <f>$A$6</f>
        <v>0</v>
      </c>
      <c r="D36" s="461"/>
      <c r="E36" s="461"/>
      <c r="F36" s="368"/>
      <c r="G36" s="369"/>
      <c r="H36" s="370"/>
      <c r="I36" s="442"/>
      <c r="J36" s="76"/>
      <c r="K36" s="83">
        <v>1</v>
      </c>
      <c r="L36" s="77" t="s">
        <v>381</v>
      </c>
      <c r="M36" s="78">
        <f t="shared" si="6"/>
        <v>0</v>
      </c>
      <c r="N36" s="79"/>
      <c r="O36" s="128"/>
      <c r="P36" s="77"/>
      <c r="Q36" s="444"/>
      <c r="R36" s="137"/>
      <c r="S36" s="75"/>
      <c r="T36" s="81">
        <f t="shared" si="3"/>
        <v>0</v>
      </c>
      <c r="U36" s="131"/>
      <c r="V36" s="131"/>
      <c r="W36" s="132"/>
      <c r="X36" s="133"/>
      <c r="Y36" s="622"/>
      <c r="Z36" s="134"/>
      <c r="AA36" s="135"/>
      <c r="AB36" s="362"/>
      <c r="AC36" s="334"/>
      <c r="AD36" s="335"/>
      <c r="AE36" s="335"/>
      <c r="AF36" s="335"/>
    </row>
    <row r="37" spans="1:32" s="143" customFormat="1" ht="69.95" customHeight="1" x14ac:dyDescent="0.15">
      <c r="A37" s="431" t="s">
        <v>426</v>
      </c>
      <c r="B37" s="182">
        <f>$I$5</f>
        <v>663</v>
      </c>
      <c r="C37" s="461" t="str">
        <f>$A$5</f>
        <v>BR</v>
      </c>
      <c r="D37" s="461"/>
      <c r="E37" s="461"/>
      <c r="F37" s="461" t="str">
        <f>$A$5</f>
        <v>BR</v>
      </c>
      <c r="G37" s="461"/>
      <c r="H37" s="461"/>
      <c r="I37" s="441" t="s">
        <v>425</v>
      </c>
      <c r="J37" s="76"/>
      <c r="K37" s="139">
        <v>150</v>
      </c>
      <c r="L37" s="77" t="s">
        <v>61</v>
      </c>
      <c r="M37" s="78">
        <f t="shared" ref="M37:M38" si="7">K37*B37/2500</f>
        <v>39.78</v>
      </c>
      <c r="N37" s="79"/>
      <c r="O37" s="78"/>
      <c r="P37" s="80" t="s">
        <v>10</v>
      </c>
      <c r="Q37" s="443">
        <v>46207</v>
      </c>
      <c r="R37" s="78">
        <v>40</v>
      </c>
      <c r="S37" s="80" t="s">
        <v>10</v>
      </c>
      <c r="T37" s="81">
        <f>R37-M37</f>
        <v>0.21999999999999886</v>
      </c>
      <c r="U37" s="82"/>
      <c r="V37" s="137"/>
      <c r="W37" s="78"/>
      <c r="X37" s="78"/>
      <c r="Y37" s="445" t="s">
        <v>94</v>
      </c>
      <c r="Z37" s="141"/>
      <c r="AA37" s="135"/>
      <c r="AB37" s="360" t="s">
        <v>485</v>
      </c>
    </row>
    <row r="38" spans="1:32" s="55" customFormat="1" ht="69.95" customHeight="1" x14ac:dyDescent="0.15">
      <c r="A38" s="432"/>
      <c r="B38" s="186">
        <f>$I$6</f>
        <v>0</v>
      </c>
      <c r="C38" s="395">
        <f>$A$6</f>
        <v>0</v>
      </c>
      <c r="D38" s="396"/>
      <c r="E38" s="397"/>
      <c r="F38" s="395">
        <f>$A$6</f>
        <v>0</v>
      </c>
      <c r="G38" s="396"/>
      <c r="H38" s="397"/>
      <c r="I38" s="442"/>
      <c r="J38" s="144"/>
      <c r="K38" s="139">
        <v>150</v>
      </c>
      <c r="L38" s="145" t="s">
        <v>61</v>
      </c>
      <c r="M38" s="78">
        <f t="shared" si="7"/>
        <v>0</v>
      </c>
      <c r="N38" s="146"/>
      <c r="O38" s="147"/>
      <c r="P38" s="145" t="s">
        <v>10</v>
      </c>
      <c r="Q38" s="447"/>
      <c r="R38" s="161"/>
      <c r="S38" s="148" t="s">
        <v>10</v>
      </c>
      <c r="T38" s="84">
        <f>R38-M38</f>
        <v>0</v>
      </c>
      <c r="U38" s="149"/>
      <c r="V38" s="149"/>
      <c r="W38" s="150"/>
      <c r="X38" s="151"/>
      <c r="Y38" s="446"/>
      <c r="Z38" s="216"/>
      <c r="AA38" s="217"/>
      <c r="AB38" s="361"/>
      <c r="AC38" s="471"/>
      <c r="AD38" s="472"/>
      <c r="AE38" s="472"/>
      <c r="AF38" s="472"/>
    </row>
    <row r="39" spans="1:32" s="143" customFormat="1" ht="69.95" customHeight="1" x14ac:dyDescent="0.15">
      <c r="A39" s="431" t="s">
        <v>427</v>
      </c>
      <c r="B39" s="182">
        <f>$I$5</f>
        <v>663</v>
      </c>
      <c r="C39" s="461" t="str">
        <f>$A$5</f>
        <v>BR</v>
      </c>
      <c r="D39" s="461"/>
      <c r="E39" s="461"/>
      <c r="F39" s="461" t="str">
        <f>$A$5</f>
        <v>BR</v>
      </c>
      <c r="G39" s="461"/>
      <c r="H39" s="461"/>
      <c r="I39" s="441" t="s">
        <v>424</v>
      </c>
      <c r="J39" s="76"/>
      <c r="K39" s="139">
        <v>280</v>
      </c>
      <c r="L39" s="77" t="s">
        <v>61</v>
      </c>
      <c r="M39" s="78">
        <f>K39*B39/4000</f>
        <v>46.41</v>
      </c>
      <c r="N39" s="79"/>
      <c r="O39" s="78"/>
      <c r="P39" s="80" t="s">
        <v>10</v>
      </c>
      <c r="Q39" s="447"/>
      <c r="R39" s="78">
        <v>47</v>
      </c>
      <c r="S39" s="80" t="s">
        <v>10</v>
      </c>
      <c r="T39" s="81">
        <f t="shared" si="3"/>
        <v>0.59000000000000341</v>
      </c>
      <c r="U39" s="82"/>
      <c r="V39" s="137"/>
      <c r="W39" s="78"/>
      <c r="X39" s="78"/>
      <c r="Y39" s="445" t="s">
        <v>94</v>
      </c>
      <c r="Z39" s="141"/>
      <c r="AA39" s="135"/>
      <c r="AB39" s="361"/>
    </row>
    <row r="40" spans="1:32" s="55" customFormat="1" ht="69.95" customHeight="1" x14ac:dyDescent="0.15">
      <c r="A40" s="432"/>
      <c r="B40" s="186">
        <f>$I$6</f>
        <v>0</v>
      </c>
      <c r="C40" s="395">
        <f>$A$6</f>
        <v>0</v>
      </c>
      <c r="D40" s="396"/>
      <c r="E40" s="397"/>
      <c r="F40" s="395">
        <f>$A$6</f>
        <v>0</v>
      </c>
      <c r="G40" s="396"/>
      <c r="H40" s="397"/>
      <c r="I40" s="442"/>
      <c r="J40" s="144"/>
      <c r="K40" s="139">
        <v>280</v>
      </c>
      <c r="L40" s="145" t="s">
        <v>61</v>
      </c>
      <c r="M40" s="78">
        <f>K40*B40/4000</f>
        <v>0</v>
      </c>
      <c r="N40" s="146"/>
      <c r="O40" s="147"/>
      <c r="P40" s="145" t="s">
        <v>10</v>
      </c>
      <c r="Q40" s="447"/>
      <c r="R40" s="161"/>
      <c r="S40" s="148" t="s">
        <v>10</v>
      </c>
      <c r="T40" s="84">
        <f t="shared" si="3"/>
        <v>0</v>
      </c>
      <c r="U40" s="149"/>
      <c r="V40" s="149"/>
      <c r="W40" s="150"/>
      <c r="X40" s="151"/>
      <c r="Y40" s="446"/>
      <c r="Z40" s="216"/>
      <c r="AA40" s="217"/>
      <c r="AB40" s="361"/>
      <c r="AC40" s="471"/>
      <c r="AD40" s="472"/>
      <c r="AE40" s="472"/>
      <c r="AF40" s="472"/>
    </row>
    <row r="41" spans="1:32" s="143" customFormat="1" ht="69.95" customHeight="1" x14ac:dyDescent="0.15">
      <c r="A41" s="431" t="s">
        <v>177</v>
      </c>
      <c r="B41" s="182">
        <f>$I$5</f>
        <v>663</v>
      </c>
      <c r="C41" s="461" t="str">
        <f>$A$5</f>
        <v>BR</v>
      </c>
      <c r="D41" s="461"/>
      <c r="E41" s="461"/>
      <c r="F41" s="461" t="str">
        <f>$A$5</f>
        <v>BR</v>
      </c>
      <c r="G41" s="461"/>
      <c r="H41" s="461"/>
      <c r="I41" s="441" t="s">
        <v>60</v>
      </c>
      <c r="J41" s="76"/>
      <c r="K41" s="139">
        <v>5</v>
      </c>
      <c r="L41" s="77" t="s">
        <v>61</v>
      </c>
      <c r="M41" s="78">
        <f>K41*B41/4000</f>
        <v>0.82874999999999999</v>
      </c>
      <c r="N41" s="79"/>
      <c r="O41" s="78"/>
      <c r="P41" s="80" t="s">
        <v>10</v>
      </c>
      <c r="Q41" s="447"/>
      <c r="R41" s="78">
        <v>2</v>
      </c>
      <c r="S41" s="80" t="s">
        <v>10</v>
      </c>
      <c r="T41" s="81">
        <f t="shared" si="3"/>
        <v>1.1712500000000001</v>
      </c>
      <c r="U41" s="82"/>
      <c r="V41" s="137"/>
      <c r="W41" s="78"/>
      <c r="X41" s="78"/>
      <c r="Y41" s="445" t="s">
        <v>94</v>
      </c>
      <c r="Z41" s="141"/>
      <c r="AA41" s="135"/>
      <c r="AB41" s="361"/>
    </row>
    <row r="42" spans="1:32" s="55" customFormat="1" ht="69.95" customHeight="1" x14ac:dyDescent="0.15">
      <c r="A42" s="432"/>
      <c r="B42" s="186">
        <f>$I$6</f>
        <v>0</v>
      </c>
      <c r="C42" s="395">
        <f>$A$6</f>
        <v>0</v>
      </c>
      <c r="D42" s="396"/>
      <c r="E42" s="397"/>
      <c r="F42" s="395">
        <f>$A$6</f>
        <v>0</v>
      </c>
      <c r="G42" s="396"/>
      <c r="H42" s="397"/>
      <c r="I42" s="442"/>
      <c r="J42" s="144"/>
      <c r="K42" s="139">
        <v>5</v>
      </c>
      <c r="L42" s="145" t="s">
        <v>61</v>
      </c>
      <c r="M42" s="78">
        <f>K42*B42/4000</f>
        <v>0</v>
      </c>
      <c r="N42" s="146"/>
      <c r="O42" s="147"/>
      <c r="P42" s="145" t="s">
        <v>10</v>
      </c>
      <c r="Q42" s="447"/>
      <c r="R42" s="161"/>
      <c r="S42" s="148" t="s">
        <v>10</v>
      </c>
      <c r="T42" s="84">
        <f t="shared" si="3"/>
        <v>0</v>
      </c>
      <c r="U42" s="149"/>
      <c r="V42" s="149"/>
      <c r="W42" s="150"/>
      <c r="X42" s="151"/>
      <c r="Y42" s="446"/>
      <c r="Z42" s="216"/>
      <c r="AA42" s="217"/>
      <c r="AB42" s="361"/>
      <c r="AC42" s="471"/>
      <c r="AD42" s="472"/>
      <c r="AE42" s="472"/>
      <c r="AF42" s="472"/>
    </row>
    <row r="43" spans="1:32" s="203" customFormat="1" ht="69.95" customHeight="1" x14ac:dyDescent="0.15">
      <c r="A43" s="431" t="s">
        <v>423</v>
      </c>
      <c r="B43" s="182">
        <f>$I$5</f>
        <v>663</v>
      </c>
      <c r="C43" s="461" t="str">
        <f>$A$5</f>
        <v>BR</v>
      </c>
      <c r="D43" s="461"/>
      <c r="E43" s="461"/>
      <c r="F43" s="461" t="str">
        <f>$A$5</f>
        <v>BR</v>
      </c>
      <c r="G43" s="461"/>
      <c r="H43" s="461"/>
      <c r="I43" s="441" t="s">
        <v>118</v>
      </c>
      <c r="J43" s="76"/>
      <c r="K43" s="139">
        <v>5</v>
      </c>
      <c r="L43" s="77" t="s">
        <v>61</v>
      </c>
      <c r="M43" s="78">
        <f>K43*B43/500</f>
        <v>6.63</v>
      </c>
      <c r="N43" s="79"/>
      <c r="O43" s="78"/>
      <c r="P43" s="80" t="s">
        <v>10</v>
      </c>
      <c r="Q43" s="447"/>
      <c r="R43" s="78">
        <v>27</v>
      </c>
      <c r="S43" s="80" t="s">
        <v>10</v>
      </c>
      <c r="T43" s="81">
        <f t="shared" si="3"/>
        <v>20.37</v>
      </c>
      <c r="U43" s="82"/>
      <c r="V43" s="137"/>
      <c r="W43" s="78"/>
      <c r="X43" s="78"/>
      <c r="Y43" s="445" t="s">
        <v>94</v>
      </c>
      <c r="Z43" s="141"/>
      <c r="AA43" s="135"/>
      <c r="AB43" s="361"/>
    </row>
    <row r="44" spans="1:32" s="206" customFormat="1" ht="69.95" customHeight="1" x14ac:dyDescent="0.15">
      <c r="A44" s="432"/>
      <c r="B44" s="186">
        <f>$I$6</f>
        <v>0</v>
      </c>
      <c r="C44" s="395">
        <f>$A$6</f>
        <v>0</v>
      </c>
      <c r="D44" s="396"/>
      <c r="E44" s="397"/>
      <c r="F44" s="395">
        <f>$A$6</f>
        <v>0</v>
      </c>
      <c r="G44" s="396"/>
      <c r="H44" s="397"/>
      <c r="I44" s="442"/>
      <c r="J44" s="144"/>
      <c r="K44" s="139">
        <v>5</v>
      </c>
      <c r="L44" s="145" t="s">
        <v>61</v>
      </c>
      <c r="M44" s="78">
        <f>K44*B44/500</f>
        <v>0</v>
      </c>
      <c r="N44" s="146"/>
      <c r="O44" s="147"/>
      <c r="P44" s="145" t="s">
        <v>10</v>
      </c>
      <c r="Q44" s="444"/>
      <c r="R44" s="161"/>
      <c r="S44" s="148" t="s">
        <v>10</v>
      </c>
      <c r="T44" s="84">
        <f t="shared" si="3"/>
        <v>0</v>
      </c>
      <c r="U44" s="149"/>
      <c r="V44" s="149"/>
      <c r="W44" s="150"/>
      <c r="X44" s="151"/>
      <c r="Y44" s="446"/>
      <c r="Z44" s="216"/>
      <c r="AA44" s="217"/>
      <c r="AB44" s="362"/>
      <c r="AC44" s="567"/>
      <c r="AD44" s="568"/>
      <c r="AE44" s="568"/>
      <c r="AF44" s="568"/>
    </row>
    <row r="45" spans="1:32" s="55" customFormat="1" ht="69.95" customHeight="1" x14ac:dyDescent="0.15">
      <c r="A45" s="431" t="s">
        <v>173</v>
      </c>
      <c r="B45" s="191">
        <f t="shared" ref="B45" si="8">$I$5</f>
        <v>663</v>
      </c>
      <c r="C45" s="422" t="str">
        <f t="shared" ref="C45" si="9">$A$5</f>
        <v>BR</v>
      </c>
      <c r="D45" s="423"/>
      <c r="E45" s="424"/>
      <c r="F45" s="425"/>
      <c r="G45" s="423"/>
      <c r="H45" s="424"/>
      <c r="I45" s="433" t="s">
        <v>174</v>
      </c>
      <c r="J45" s="192"/>
      <c r="K45" s="193">
        <v>1</v>
      </c>
      <c r="L45" s="194" t="s">
        <v>65</v>
      </c>
      <c r="M45" s="195">
        <f t="shared" ref="M45:M46" si="10">K45*B45</f>
        <v>663</v>
      </c>
      <c r="N45" s="196"/>
      <c r="O45" s="195"/>
      <c r="P45" s="194" t="s">
        <v>65</v>
      </c>
      <c r="Q45" s="435"/>
      <c r="R45" s="195"/>
      <c r="S45" s="194" t="s">
        <v>65</v>
      </c>
      <c r="T45" s="205">
        <f t="shared" si="3"/>
        <v>-663</v>
      </c>
      <c r="U45" s="199"/>
      <c r="V45" s="199"/>
      <c r="W45" s="208"/>
      <c r="X45" s="198"/>
      <c r="Y45" s="437" t="s">
        <v>57</v>
      </c>
      <c r="Z45" s="231"/>
      <c r="AA45" s="232"/>
      <c r="AB45" s="360"/>
    </row>
    <row r="46" spans="1:32" s="55" customFormat="1" ht="69.95" customHeight="1" x14ac:dyDescent="0.15">
      <c r="A46" s="432"/>
      <c r="B46" s="204">
        <f>$I$6</f>
        <v>0</v>
      </c>
      <c r="C46" s="453">
        <f>$A$6</f>
        <v>0</v>
      </c>
      <c r="D46" s="454"/>
      <c r="E46" s="455"/>
      <c r="F46" s="425"/>
      <c r="G46" s="423"/>
      <c r="H46" s="424"/>
      <c r="I46" s="434"/>
      <c r="J46" s="192"/>
      <c r="K46" s="193">
        <v>1</v>
      </c>
      <c r="L46" s="194" t="s">
        <v>65</v>
      </c>
      <c r="M46" s="195">
        <f t="shared" si="10"/>
        <v>0</v>
      </c>
      <c r="N46" s="233"/>
      <c r="O46" s="195"/>
      <c r="P46" s="194" t="s">
        <v>65</v>
      </c>
      <c r="Q46" s="561"/>
      <c r="R46" s="195"/>
      <c r="S46" s="194" t="s">
        <v>65</v>
      </c>
      <c r="T46" s="198">
        <f t="shared" si="3"/>
        <v>0</v>
      </c>
      <c r="U46" s="199"/>
      <c r="V46" s="200"/>
      <c r="W46" s="195"/>
      <c r="X46" s="195"/>
      <c r="Y46" s="438"/>
      <c r="Z46" s="201"/>
      <c r="AA46" s="202"/>
      <c r="AB46" s="361"/>
      <c r="AC46" s="142"/>
      <c r="AD46" s="179"/>
      <c r="AE46" s="179"/>
      <c r="AF46" s="179"/>
    </row>
    <row r="47" spans="1:32" s="55" customFormat="1" ht="69.95" customHeight="1" x14ac:dyDescent="0.15">
      <c r="A47" s="431" t="s">
        <v>428</v>
      </c>
      <c r="B47" s="182">
        <f t="shared" ref="B47:B51" si="11">$I$5</f>
        <v>663</v>
      </c>
      <c r="C47" s="368" t="str">
        <f t="shared" ref="C47:C51" si="12">$A$5</f>
        <v>BR</v>
      </c>
      <c r="D47" s="369"/>
      <c r="E47" s="370"/>
      <c r="F47" s="428"/>
      <c r="G47" s="429"/>
      <c r="H47" s="430"/>
      <c r="I47" s="441" t="s">
        <v>75</v>
      </c>
      <c r="J47" s="76"/>
      <c r="K47" s="139">
        <v>2</v>
      </c>
      <c r="L47" s="77" t="s">
        <v>63</v>
      </c>
      <c r="M47" s="78">
        <f t="shared" si="4"/>
        <v>1326</v>
      </c>
      <c r="N47" s="79"/>
      <c r="O47" s="78"/>
      <c r="P47" s="80" t="s">
        <v>63</v>
      </c>
      <c r="Q47" s="443"/>
      <c r="R47" s="78"/>
      <c r="S47" s="80" t="s">
        <v>63</v>
      </c>
      <c r="T47" s="84">
        <f t="shared" si="3"/>
        <v>-1326</v>
      </c>
      <c r="U47" s="82"/>
      <c r="V47" s="82"/>
      <c r="W47" s="83"/>
      <c r="X47" s="81"/>
      <c r="Y47" s="445" t="s">
        <v>64</v>
      </c>
      <c r="Z47" s="86"/>
      <c r="AA47" s="85"/>
      <c r="AB47" s="360"/>
    </row>
    <row r="48" spans="1:32" s="55" customFormat="1" ht="69.95" customHeight="1" x14ac:dyDescent="0.15">
      <c r="A48" s="432"/>
      <c r="B48" s="186">
        <f>$I$6</f>
        <v>0</v>
      </c>
      <c r="C48" s="368">
        <f>$A$6</f>
        <v>0</v>
      </c>
      <c r="D48" s="369"/>
      <c r="E48" s="370"/>
      <c r="F48" s="428"/>
      <c r="G48" s="429"/>
      <c r="H48" s="430"/>
      <c r="I48" s="442"/>
      <c r="J48" s="76"/>
      <c r="K48" s="139">
        <v>2</v>
      </c>
      <c r="L48" s="77" t="s">
        <v>63</v>
      </c>
      <c r="M48" s="78">
        <f t="shared" si="4"/>
        <v>0</v>
      </c>
      <c r="N48" s="140"/>
      <c r="O48" s="78"/>
      <c r="P48" s="80" t="s">
        <v>63</v>
      </c>
      <c r="Q48" s="447"/>
      <c r="R48" s="78"/>
      <c r="S48" s="80" t="s">
        <v>63</v>
      </c>
      <c r="T48" s="81">
        <f t="shared" si="3"/>
        <v>0</v>
      </c>
      <c r="U48" s="82"/>
      <c r="V48" s="137"/>
      <c r="W48" s="78"/>
      <c r="X48" s="78"/>
      <c r="Y48" s="446"/>
      <c r="Z48" s="141"/>
      <c r="AA48" s="135"/>
      <c r="AB48" s="361"/>
      <c r="AC48" s="142"/>
      <c r="AD48" s="179"/>
      <c r="AE48" s="179"/>
      <c r="AF48" s="179"/>
    </row>
    <row r="49" spans="1:32" s="55" customFormat="1" ht="69.95" customHeight="1" x14ac:dyDescent="0.15">
      <c r="A49" s="431" t="s">
        <v>429</v>
      </c>
      <c r="B49" s="182">
        <f t="shared" si="11"/>
        <v>663</v>
      </c>
      <c r="C49" s="368" t="str">
        <f t="shared" si="12"/>
        <v>BR</v>
      </c>
      <c r="D49" s="369"/>
      <c r="E49" s="370"/>
      <c r="F49" s="428"/>
      <c r="G49" s="429"/>
      <c r="H49" s="430"/>
      <c r="I49" s="441" t="s">
        <v>121</v>
      </c>
      <c r="J49" s="76"/>
      <c r="K49" s="136">
        <v>1</v>
      </c>
      <c r="L49" s="77" t="s">
        <v>386</v>
      </c>
      <c r="M49" s="78">
        <f t="shared" si="4"/>
        <v>663</v>
      </c>
      <c r="N49" s="140"/>
      <c r="O49" s="78"/>
      <c r="P49" s="80"/>
      <c r="Q49" s="447"/>
      <c r="R49" s="78"/>
      <c r="S49" s="80"/>
      <c r="T49" s="84">
        <f t="shared" si="3"/>
        <v>-663</v>
      </c>
      <c r="U49" s="82"/>
      <c r="V49" s="137"/>
      <c r="W49" s="78"/>
      <c r="X49" s="78"/>
      <c r="Y49" s="445"/>
      <c r="Z49" s="86"/>
      <c r="AA49" s="85"/>
      <c r="AB49" s="361"/>
      <c r="AC49" s="142"/>
      <c r="AD49" s="179"/>
      <c r="AE49" s="179"/>
      <c r="AF49" s="179"/>
    </row>
    <row r="50" spans="1:32" s="55" customFormat="1" ht="69.95" customHeight="1" x14ac:dyDescent="0.15">
      <c r="A50" s="432"/>
      <c r="B50" s="186">
        <f>$I$6</f>
        <v>0</v>
      </c>
      <c r="C50" s="368">
        <f>$A$6</f>
        <v>0</v>
      </c>
      <c r="D50" s="369"/>
      <c r="E50" s="370"/>
      <c r="F50" s="428"/>
      <c r="G50" s="429"/>
      <c r="H50" s="430"/>
      <c r="I50" s="442"/>
      <c r="J50" s="76"/>
      <c r="K50" s="136">
        <v>1</v>
      </c>
      <c r="L50" s="77" t="s">
        <v>386</v>
      </c>
      <c r="M50" s="78">
        <f t="shared" si="4"/>
        <v>0</v>
      </c>
      <c r="N50" s="140"/>
      <c r="O50" s="78"/>
      <c r="P50" s="80"/>
      <c r="Q50" s="447"/>
      <c r="R50" s="78"/>
      <c r="S50" s="80"/>
      <c r="T50" s="84">
        <f t="shared" si="3"/>
        <v>0</v>
      </c>
      <c r="U50" s="82"/>
      <c r="V50" s="137"/>
      <c r="W50" s="78"/>
      <c r="X50" s="78"/>
      <c r="Y50" s="446"/>
      <c r="Z50" s="86"/>
      <c r="AA50" s="85"/>
      <c r="AB50" s="361"/>
      <c r="AC50" s="142"/>
      <c r="AD50" s="179"/>
      <c r="AE50" s="179"/>
      <c r="AF50" s="179"/>
    </row>
    <row r="51" spans="1:32" s="55" customFormat="1" ht="69.95" customHeight="1" x14ac:dyDescent="0.15">
      <c r="A51" s="431" t="s">
        <v>430</v>
      </c>
      <c r="B51" s="182">
        <f t="shared" si="11"/>
        <v>663</v>
      </c>
      <c r="C51" s="368" t="str">
        <f t="shared" si="12"/>
        <v>BR</v>
      </c>
      <c r="D51" s="369"/>
      <c r="E51" s="370"/>
      <c r="F51" s="428"/>
      <c r="G51" s="429"/>
      <c r="H51" s="430"/>
      <c r="I51" s="441" t="s">
        <v>121</v>
      </c>
      <c r="J51" s="76"/>
      <c r="K51" s="298">
        <v>1</v>
      </c>
      <c r="L51" s="77" t="s">
        <v>63</v>
      </c>
      <c r="M51" s="78">
        <f t="shared" si="4"/>
        <v>663</v>
      </c>
      <c r="N51" s="79"/>
      <c r="O51" s="78"/>
      <c r="P51" s="80" t="s">
        <v>63</v>
      </c>
      <c r="Q51" s="447"/>
      <c r="R51" s="78"/>
      <c r="S51" s="80" t="s">
        <v>63</v>
      </c>
      <c r="T51" s="84">
        <f t="shared" si="3"/>
        <v>-663</v>
      </c>
      <c r="U51" s="82"/>
      <c r="V51" s="82"/>
      <c r="W51" s="83"/>
      <c r="X51" s="81"/>
      <c r="Y51" s="445" t="s">
        <v>64</v>
      </c>
      <c r="Z51" s="86"/>
      <c r="AA51" s="85"/>
      <c r="AB51" s="361"/>
    </row>
    <row r="52" spans="1:32" s="55" customFormat="1" ht="69.95" customHeight="1" x14ac:dyDescent="0.15">
      <c r="A52" s="432"/>
      <c r="B52" s="186">
        <f>$I$6</f>
        <v>0</v>
      </c>
      <c r="C52" s="368">
        <f>$A$6</f>
        <v>0</v>
      </c>
      <c r="D52" s="369"/>
      <c r="E52" s="370"/>
      <c r="F52" s="428"/>
      <c r="G52" s="429"/>
      <c r="H52" s="430"/>
      <c r="I52" s="442"/>
      <c r="J52" s="76"/>
      <c r="K52" s="298">
        <v>1</v>
      </c>
      <c r="L52" s="77" t="s">
        <v>63</v>
      </c>
      <c r="M52" s="78">
        <f t="shared" si="4"/>
        <v>0</v>
      </c>
      <c r="N52" s="140"/>
      <c r="O52" s="78"/>
      <c r="P52" s="80" t="s">
        <v>63</v>
      </c>
      <c r="Q52" s="444"/>
      <c r="R52" s="78"/>
      <c r="S52" s="80" t="s">
        <v>63</v>
      </c>
      <c r="T52" s="81">
        <f t="shared" si="3"/>
        <v>0</v>
      </c>
      <c r="U52" s="82"/>
      <c r="V52" s="137"/>
      <c r="W52" s="78"/>
      <c r="X52" s="78"/>
      <c r="Y52" s="446"/>
      <c r="Z52" s="141"/>
      <c r="AA52" s="135"/>
      <c r="AB52" s="362"/>
      <c r="AC52" s="142"/>
      <c r="AD52" s="179"/>
      <c r="AE52" s="179"/>
      <c r="AF52" s="179"/>
    </row>
    <row r="53" spans="1:32" s="55" customFormat="1" ht="54.95" customHeight="1" x14ac:dyDescent="0.15">
      <c r="A53" s="386" t="s">
        <v>66</v>
      </c>
      <c r="B53" s="87">
        <f>C11</f>
        <v>320</v>
      </c>
      <c r="C53" s="389" t="e">
        <f>#REF!</f>
        <v>#REF!</v>
      </c>
      <c r="D53" s="390"/>
      <c r="E53" s="391"/>
      <c r="F53" s="368" t="s">
        <v>98</v>
      </c>
      <c r="G53" s="369"/>
      <c r="H53" s="370"/>
      <c r="I53" s="623" t="s">
        <v>410</v>
      </c>
      <c r="J53" s="75"/>
      <c r="K53" s="139">
        <v>1</v>
      </c>
      <c r="L53" s="77" t="s">
        <v>63</v>
      </c>
      <c r="M53" s="88">
        <f t="shared" si="4"/>
        <v>320</v>
      </c>
      <c r="N53" s="89"/>
      <c r="O53" s="153"/>
      <c r="P53" s="88" t="s">
        <v>63</v>
      </c>
      <c r="Q53" s="443">
        <v>46207</v>
      </c>
      <c r="R53" s="153">
        <v>320</v>
      </c>
      <c r="S53" s="88" t="s">
        <v>63</v>
      </c>
      <c r="T53" s="154">
        <f t="shared" si="3"/>
        <v>0</v>
      </c>
      <c r="U53" s="129"/>
      <c r="V53" s="155"/>
      <c r="W53" s="154"/>
      <c r="X53" s="154"/>
      <c r="Y53" s="401" t="s">
        <v>72</v>
      </c>
      <c r="Z53" s="401"/>
      <c r="AA53" s="401"/>
      <c r="AB53" s="579" t="s">
        <v>485</v>
      </c>
    </row>
    <row r="54" spans="1:32" s="55" customFormat="1" ht="54.95" customHeight="1" x14ac:dyDescent="0.15">
      <c r="A54" s="387"/>
      <c r="B54" s="87">
        <f>D11</f>
        <v>290</v>
      </c>
      <c r="C54" s="392"/>
      <c r="D54" s="393"/>
      <c r="E54" s="394"/>
      <c r="F54" s="368" t="s">
        <v>98</v>
      </c>
      <c r="G54" s="369"/>
      <c r="H54" s="370"/>
      <c r="I54" s="624"/>
      <c r="J54" s="75"/>
      <c r="K54" s="156">
        <v>1</v>
      </c>
      <c r="L54" s="77" t="s">
        <v>63</v>
      </c>
      <c r="M54" s="88">
        <f t="shared" si="4"/>
        <v>290</v>
      </c>
      <c r="N54" s="89"/>
      <c r="O54" s="153"/>
      <c r="P54" s="88" t="s">
        <v>63</v>
      </c>
      <c r="Q54" s="447"/>
      <c r="R54" s="153">
        <v>290</v>
      </c>
      <c r="S54" s="88" t="s">
        <v>63</v>
      </c>
      <c r="T54" s="154">
        <f t="shared" si="3"/>
        <v>0</v>
      </c>
      <c r="U54" s="129"/>
      <c r="V54" s="155"/>
      <c r="W54" s="154"/>
      <c r="X54" s="154"/>
      <c r="Y54" s="402"/>
      <c r="Z54" s="402"/>
      <c r="AA54" s="402"/>
      <c r="AB54" s="580"/>
    </row>
    <row r="55" spans="1:32" s="55" customFormat="1" ht="54.95" customHeight="1" x14ac:dyDescent="0.15">
      <c r="A55" s="387"/>
      <c r="B55" s="87">
        <f>E11</f>
        <v>53</v>
      </c>
      <c r="C55" s="392"/>
      <c r="D55" s="393"/>
      <c r="E55" s="394"/>
      <c r="F55" s="368" t="s">
        <v>98</v>
      </c>
      <c r="G55" s="369"/>
      <c r="H55" s="370"/>
      <c r="I55" s="624"/>
      <c r="J55" s="75"/>
      <c r="K55" s="156">
        <v>1</v>
      </c>
      <c r="L55" s="77" t="s">
        <v>63</v>
      </c>
      <c r="M55" s="88">
        <f t="shared" si="4"/>
        <v>53</v>
      </c>
      <c r="N55" s="89"/>
      <c r="O55" s="153"/>
      <c r="P55" s="88" t="s">
        <v>63</v>
      </c>
      <c r="Q55" s="447"/>
      <c r="R55" s="153">
        <v>53</v>
      </c>
      <c r="S55" s="88" t="s">
        <v>63</v>
      </c>
      <c r="T55" s="154">
        <f t="shared" si="3"/>
        <v>0</v>
      </c>
      <c r="U55" s="129"/>
      <c r="V55" s="155"/>
      <c r="W55" s="154"/>
      <c r="X55" s="154"/>
      <c r="Y55" s="402"/>
      <c r="Z55" s="402"/>
      <c r="AA55" s="402"/>
      <c r="AB55" s="580"/>
    </row>
    <row r="56" spans="1:32" s="55" customFormat="1" ht="54.95" customHeight="1" x14ac:dyDescent="0.15">
      <c r="A56" s="387"/>
      <c r="B56" s="87">
        <f>F11</f>
        <v>0</v>
      </c>
      <c r="C56" s="392"/>
      <c r="D56" s="393"/>
      <c r="E56" s="394"/>
      <c r="F56" s="368" t="s">
        <v>98</v>
      </c>
      <c r="G56" s="369"/>
      <c r="H56" s="370"/>
      <c r="I56" s="624"/>
      <c r="J56" s="75"/>
      <c r="K56" s="156">
        <v>1</v>
      </c>
      <c r="L56" s="77" t="s">
        <v>63</v>
      </c>
      <c r="M56" s="88">
        <f t="shared" si="4"/>
        <v>0</v>
      </c>
      <c r="N56" s="89"/>
      <c r="O56" s="153"/>
      <c r="P56" s="88" t="s">
        <v>63</v>
      </c>
      <c r="Q56" s="447"/>
      <c r="R56" s="153"/>
      <c r="S56" s="88" t="s">
        <v>63</v>
      </c>
      <c r="T56" s="154">
        <f t="shared" si="3"/>
        <v>0</v>
      </c>
      <c r="U56" s="129"/>
      <c r="V56" s="155"/>
      <c r="W56" s="154"/>
      <c r="X56" s="154"/>
      <c r="Y56" s="402"/>
      <c r="Z56" s="402"/>
      <c r="AA56" s="402"/>
      <c r="AB56" s="580"/>
    </row>
    <row r="57" spans="1:32" s="55" customFormat="1" ht="54.95" customHeight="1" x14ac:dyDescent="0.15">
      <c r="A57" s="388"/>
      <c r="B57" s="87">
        <f>G11</f>
        <v>0</v>
      </c>
      <c r="C57" s="395"/>
      <c r="D57" s="396"/>
      <c r="E57" s="397"/>
      <c r="F57" s="368" t="s">
        <v>98</v>
      </c>
      <c r="G57" s="369"/>
      <c r="H57" s="370"/>
      <c r="I57" s="625"/>
      <c r="J57" s="75"/>
      <c r="K57" s="156">
        <v>1</v>
      </c>
      <c r="L57" s="77" t="s">
        <v>63</v>
      </c>
      <c r="M57" s="88">
        <f t="shared" si="4"/>
        <v>0</v>
      </c>
      <c r="N57" s="89"/>
      <c r="O57" s="153"/>
      <c r="P57" s="88" t="s">
        <v>63</v>
      </c>
      <c r="Q57" s="444"/>
      <c r="R57" s="153"/>
      <c r="S57" s="88" t="s">
        <v>63</v>
      </c>
      <c r="T57" s="154">
        <f t="shared" si="3"/>
        <v>0</v>
      </c>
      <c r="U57" s="129"/>
      <c r="V57" s="155"/>
      <c r="W57" s="154"/>
      <c r="X57" s="154"/>
      <c r="Y57" s="403"/>
      <c r="Z57" s="403"/>
      <c r="AA57" s="403"/>
      <c r="AB57" s="581"/>
    </row>
    <row r="58" spans="1:32" s="55" customFormat="1" ht="54.95" customHeight="1" x14ac:dyDescent="0.15">
      <c r="A58" s="386" t="s">
        <v>68</v>
      </c>
      <c r="B58" s="87">
        <f>C5</f>
        <v>320</v>
      </c>
      <c r="C58" s="461" t="str">
        <f>A5</f>
        <v>BR</v>
      </c>
      <c r="D58" s="461"/>
      <c r="E58" s="461"/>
      <c r="F58" s="368"/>
      <c r="G58" s="369"/>
      <c r="H58" s="370"/>
      <c r="I58" s="152"/>
      <c r="J58" s="152"/>
      <c r="K58" s="156">
        <v>1</v>
      </c>
      <c r="L58" s="77" t="s">
        <v>63</v>
      </c>
      <c r="M58" s="88">
        <f t="shared" si="4"/>
        <v>320</v>
      </c>
      <c r="N58" s="89"/>
      <c r="O58" s="153"/>
      <c r="P58" s="88" t="s">
        <v>63</v>
      </c>
      <c r="Q58" s="443">
        <v>46207</v>
      </c>
      <c r="R58" s="153">
        <v>320</v>
      </c>
      <c r="S58" s="88" t="s">
        <v>63</v>
      </c>
      <c r="T58" s="154">
        <f t="shared" si="3"/>
        <v>0</v>
      </c>
      <c r="U58" s="157"/>
      <c r="V58" s="158"/>
      <c r="W58" s="154"/>
      <c r="X58" s="154"/>
      <c r="Y58" s="582" t="s">
        <v>72</v>
      </c>
      <c r="Z58" s="582"/>
      <c r="AA58" s="582"/>
      <c r="AB58" s="579" t="s">
        <v>485</v>
      </c>
    </row>
    <row r="59" spans="1:32" s="55" customFormat="1" ht="54.95" customHeight="1" x14ac:dyDescent="0.15">
      <c r="A59" s="387"/>
      <c r="B59" s="87">
        <f>D5</f>
        <v>290</v>
      </c>
      <c r="C59" s="461"/>
      <c r="D59" s="461"/>
      <c r="E59" s="461"/>
      <c r="F59" s="368"/>
      <c r="G59" s="369"/>
      <c r="H59" s="370"/>
      <c r="I59" s="152"/>
      <c r="J59" s="152"/>
      <c r="K59" s="156">
        <v>1</v>
      </c>
      <c r="L59" s="77" t="s">
        <v>63</v>
      </c>
      <c r="M59" s="88">
        <f t="shared" si="4"/>
        <v>290</v>
      </c>
      <c r="N59" s="89"/>
      <c r="O59" s="153"/>
      <c r="P59" s="88" t="s">
        <v>63</v>
      </c>
      <c r="Q59" s="447"/>
      <c r="R59" s="153">
        <v>290</v>
      </c>
      <c r="S59" s="88" t="s">
        <v>63</v>
      </c>
      <c r="T59" s="154">
        <f t="shared" si="3"/>
        <v>0</v>
      </c>
      <c r="U59" s="157"/>
      <c r="V59" s="158"/>
      <c r="W59" s="154"/>
      <c r="X59" s="154"/>
      <c r="Y59" s="582"/>
      <c r="Z59" s="582"/>
      <c r="AA59" s="582"/>
      <c r="AB59" s="580"/>
    </row>
    <row r="60" spans="1:32" s="55" customFormat="1" ht="54.95" customHeight="1" x14ac:dyDescent="0.15">
      <c r="A60" s="387"/>
      <c r="B60" s="87">
        <f>E5</f>
        <v>53</v>
      </c>
      <c r="C60" s="461"/>
      <c r="D60" s="461"/>
      <c r="E60" s="461"/>
      <c r="F60" s="368"/>
      <c r="G60" s="369"/>
      <c r="H60" s="370"/>
      <c r="I60" s="152"/>
      <c r="J60" s="152"/>
      <c r="K60" s="156">
        <v>1</v>
      </c>
      <c r="L60" s="77" t="s">
        <v>63</v>
      </c>
      <c r="M60" s="88">
        <f t="shared" si="4"/>
        <v>53</v>
      </c>
      <c r="N60" s="89"/>
      <c r="O60" s="153"/>
      <c r="P60" s="88" t="s">
        <v>63</v>
      </c>
      <c r="Q60" s="447"/>
      <c r="R60" s="153">
        <v>53</v>
      </c>
      <c r="S60" s="88" t="s">
        <v>63</v>
      </c>
      <c r="T60" s="154">
        <f t="shared" si="3"/>
        <v>0</v>
      </c>
      <c r="U60" s="157"/>
      <c r="V60" s="158"/>
      <c r="W60" s="154"/>
      <c r="X60" s="154"/>
      <c r="Y60" s="582"/>
      <c r="Z60" s="582"/>
      <c r="AA60" s="582"/>
      <c r="AB60" s="580"/>
    </row>
    <row r="61" spans="1:32" s="55" customFormat="1" ht="54.95" customHeight="1" x14ac:dyDescent="0.15">
      <c r="A61" s="387"/>
      <c r="B61" s="87">
        <f>C6</f>
        <v>0</v>
      </c>
      <c r="C61" s="461">
        <f>A6</f>
        <v>0</v>
      </c>
      <c r="D61" s="461"/>
      <c r="E61" s="461"/>
      <c r="F61" s="368"/>
      <c r="G61" s="369"/>
      <c r="H61" s="370"/>
      <c r="I61" s="152"/>
      <c r="J61" s="152"/>
      <c r="K61" s="156">
        <v>1</v>
      </c>
      <c r="L61" s="77" t="s">
        <v>63</v>
      </c>
      <c r="M61" s="88">
        <f t="shared" si="4"/>
        <v>0</v>
      </c>
      <c r="N61" s="89"/>
      <c r="O61" s="153"/>
      <c r="P61" s="88" t="s">
        <v>63</v>
      </c>
      <c r="Q61" s="447"/>
      <c r="R61" s="77"/>
      <c r="S61" s="88" t="s">
        <v>63</v>
      </c>
      <c r="T61" s="154">
        <f t="shared" si="3"/>
        <v>0</v>
      </c>
      <c r="U61" s="157"/>
      <c r="V61" s="158"/>
      <c r="W61" s="154"/>
      <c r="X61" s="154"/>
      <c r="Y61" s="582" t="s">
        <v>72</v>
      </c>
      <c r="Z61" s="582"/>
      <c r="AA61" s="582"/>
      <c r="AB61" s="580"/>
    </row>
    <row r="62" spans="1:32" s="55" customFormat="1" ht="54.95" customHeight="1" x14ac:dyDescent="0.15">
      <c r="A62" s="387"/>
      <c r="B62" s="87">
        <f>D6</f>
        <v>0</v>
      </c>
      <c r="C62" s="461"/>
      <c r="D62" s="461"/>
      <c r="E62" s="461"/>
      <c r="F62" s="368"/>
      <c r="G62" s="369"/>
      <c r="H62" s="370"/>
      <c r="I62" s="152"/>
      <c r="J62" s="152"/>
      <c r="K62" s="156">
        <v>1</v>
      </c>
      <c r="L62" s="77" t="s">
        <v>63</v>
      </c>
      <c r="M62" s="88">
        <f t="shared" si="4"/>
        <v>0</v>
      </c>
      <c r="N62" s="89"/>
      <c r="O62" s="153"/>
      <c r="P62" s="88" t="s">
        <v>63</v>
      </c>
      <c r="Q62" s="447"/>
      <c r="R62" s="77"/>
      <c r="S62" s="88" t="s">
        <v>63</v>
      </c>
      <c r="T62" s="154">
        <f t="shared" si="3"/>
        <v>0</v>
      </c>
      <c r="U62" s="157"/>
      <c r="V62" s="158"/>
      <c r="W62" s="154"/>
      <c r="X62" s="154"/>
      <c r="Y62" s="582"/>
      <c r="Z62" s="582"/>
      <c r="AA62" s="582"/>
      <c r="AB62" s="580"/>
    </row>
    <row r="63" spans="1:32" s="55" customFormat="1" ht="54.95" customHeight="1" x14ac:dyDescent="0.15">
      <c r="A63" s="387"/>
      <c r="B63" s="87">
        <f>E6</f>
        <v>0</v>
      </c>
      <c r="C63" s="461"/>
      <c r="D63" s="461"/>
      <c r="E63" s="461"/>
      <c r="F63" s="368"/>
      <c r="G63" s="369"/>
      <c r="H63" s="370"/>
      <c r="I63" s="152"/>
      <c r="J63" s="152"/>
      <c r="K63" s="156">
        <v>1</v>
      </c>
      <c r="L63" s="77" t="s">
        <v>63</v>
      </c>
      <c r="M63" s="88">
        <f t="shared" si="4"/>
        <v>0</v>
      </c>
      <c r="N63" s="89"/>
      <c r="O63" s="153"/>
      <c r="P63" s="88" t="s">
        <v>63</v>
      </c>
      <c r="Q63" s="447"/>
      <c r="R63" s="153"/>
      <c r="S63" s="88" t="s">
        <v>63</v>
      </c>
      <c r="T63" s="154">
        <f>R63-M63</f>
        <v>0</v>
      </c>
      <c r="U63" s="157"/>
      <c r="V63" s="158"/>
      <c r="W63" s="154"/>
      <c r="X63" s="154"/>
      <c r="Y63" s="582"/>
      <c r="Z63" s="582"/>
      <c r="AA63" s="582"/>
      <c r="AB63" s="580"/>
    </row>
    <row r="64" spans="1:32" s="55" customFormat="1" ht="54.95" customHeight="1" x14ac:dyDescent="0.15">
      <c r="A64" s="387"/>
      <c r="B64" s="87">
        <f>C7</f>
        <v>0</v>
      </c>
      <c r="C64" s="392">
        <f>A7</f>
        <v>0</v>
      </c>
      <c r="D64" s="393"/>
      <c r="E64" s="394"/>
      <c r="F64" s="368"/>
      <c r="G64" s="369"/>
      <c r="H64" s="370"/>
      <c r="I64" s="152"/>
      <c r="J64" s="152"/>
      <c r="K64" s="156">
        <v>1</v>
      </c>
      <c r="L64" s="77" t="s">
        <v>63</v>
      </c>
      <c r="M64" s="88">
        <f t="shared" si="4"/>
        <v>0</v>
      </c>
      <c r="N64" s="89"/>
      <c r="O64" s="153"/>
      <c r="P64" s="88" t="s">
        <v>63</v>
      </c>
      <c r="Q64" s="447"/>
      <c r="R64" s="153"/>
      <c r="S64" s="88" t="s">
        <v>63</v>
      </c>
      <c r="T64" s="154">
        <f>R64-M64</f>
        <v>0</v>
      </c>
      <c r="U64" s="157"/>
      <c r="V64" s="158"/>
      <c r="W64" s="154"/>
      <c r="X64" s="154"/>
      <c r="Y64" s="582" t="s">
        <v>72</v>
      </c>
      <c r="Z64" s="582"/>
      <c r="AA64" s="582"/>
      <c r="AB64" s="580"/>
    </row>
    <row r="65" spans="1:28" s="55" customFormat="1" ht="54.95" customHeight="1" x14ac:dyDescent="0.15">
      <c r="A65" s="387"/>
      <c r="B65" s="87">
        <f>D7</f>
        <v>0</v>
      </c>
      <c r="C65" s="392"/>
      <c r="D65" s="393"/>
      <c r="E65" s="394"/>
      <c r="F65" s="368"/>
      <c r="G65" s="369"/>
      <c r="H65" s="370"/>
      <c r="I65" s="152"/>
      <c r="J65" s="152"/>
      <c r="K65" s="156">
        <v>1</v>
      </c>
      <c r="L65" s="77" t="s">
        <v>63</v>
      </c>
      <c r="M65" s="88">
        <f t="shared" si="4"/>
        <v>0</v>
      </c>
      <c r="N65" s="89"/>
      <c r="O65" s="153"/>
      <c r="P65" s="88" t="s">
        <v>63</v>
      </c>
      <c r="Q65" s="447"/>
      <c r="R65" s="153"/>
      <c r="S65" s="88" t="s">
        <v>63</v>
      </c>
      <c r="T65" s="154">
        <f>R65-M65</f>
        <v>0</v>
      </c>
      <c r="U65" s="157"/>
      <c r="V65" s="158"/>
      <c r="W65" s="154"/>
      <c r="X65" s="154"/>
      <c r="Y65" s="582"/>
      <c r="Z65" s="582"/>
      <c r="AA65" s="582"/>
      <c r="AB65" s="580"/>
    </row>
    <row r="66" spans="1:28" s="55" customFormat="1" ht="54.95" customHeight="1" x14ac:dyDescent="0.15">
      <c r="A66" s="387"/>
      <c r="B66" s="87">
        <f>E7</f>
        <v>0</v>
      </c>
      <c r="C66" s="392"/>
      <c r="D66" s="393"/>
      <c r="E66" s="394"/>
      <c r="F66" s="368"/>
      <c r="G66" s="369"/>
      <c r="H66" s="370"/>
      <c r="I66" s="152"/>
      <c r="J66" s="152"/>
      <c r="K66" s="156">
        <v>1</v>
      </c>
      <c r="L66" s="77" t="s">
        <v>63</v>
      </c>
      <c r="M66" s="88">
        <f t="shared" si="4"/>
        <v>0</v>
      </c>
      <c r="N66" s="89"/>
      <c r="O66" s="153"/>
      <c r="P66" s="88" t="s">
        <v>63</v>
      </c>
      <c r="Q66" s="444"/>
      <c r="R66" s="77"/>
      <c r="S66" s="88" t="s">
        <v>63</v>
      </c>
      <c r="T66" s="154">
        <f>R66-M66</f>
        <v>0</v>
      </c>
      <c r="U66" s="157"/>
      <c r="V66" s="158"/>
      <c r="W66" s="154"/>
      <c r="X66" s="154"/>
      <c r="Y66" s="582"/>
      <c r="Z66" s="582"/>
      <c r="AA66" s="582"/>
      <c r="AB66" s="581"/>
    </row>
    <row r="67" spans="1:28" s="55" customFormat="1" ht="54.95" customHeight="1" x14ac:dyDescent="0.15">
      <c r="A67" s="386" t="s">
        <v>69</v>
      </c>
      <c r="B67" s="87">
        <f>C5</f>
        <v>320</v>
      </c>
      <c r="C67" s="461" t="str">
        <f>A5</f>
        <v>BR</v>
      </c>
      <c r="D67" s="461"/>
      <c r="E67" s="461"/>
      <c r="F67" s="368"/>
      <c r="G67" s="369"/>
      <c r="H67" s="370"/>
      <c r="I67" s="152"/>
      <c r="J67" s="152"/>
      <c r="K67" s="156">
        <v>1</v>
      </c>
      <c r="L67" s="77" t="s">
        <v>63</v>
      </c>
      <c r="M67" s="88">
        <f t="shared" si="4"/>
        <v>320</v>
      </c>
      <c r="N67" s="89"/>
      <c r="O67" s="153"/>
      <c r="P67" s="88" t="s">
        <v>63</v>
      </c>
      <c r="Q67" s="443"/>
      <c r="R67" s="153"/>
      <c r="S67" s="88" t="s">
        <v>63</v>
      </c>
      <c r="T67" s="154">
        <f t="shared" si="3"/>
        <v>-320</v>
      </c>
      <c r="U67" s="583"/>
      <c r="V67" s="158"/>
      <c r="W67" s="154"/>
      <c r="X67" s="154"/>
      <c r="Y67" s="401" t="s">
        <v>67</v>
      </c>
      <c r="Z67" s="401"/>
      <c r="AA67" s="401"/>
      <c r="AB67" s="579"/>
    </row>
    <row r="68" spans="1:28" s="55" customFormat="1" ht="54.95" customHeight="1" x14ac:dyDescent="0.15">
      <c r="A68" s="387"/>
      <c r="B68" s="87">
        <f>D5</f>
        <v>290</v>
      </c>
      <c r="C68" s="461"/>
      <c r="D68" s="461"/>
      <c r="E68" s="461"/>
      <c r="F68" s="368"/>
      <c r="G68" s="369"/>
      <c r="H68" s="370"/>
      <c r="I68" s="152"/>
      <c r="J68" s="152"/>
      <c r="K68" s="156">
        <v>1</v>
      </c>
      <c r="L68" s="77" t="s">
        <v>63</v>
      </c>
      <c r="M68" s="88">
        <f t="shared" si="4"/>
        <v>290</v>
      </c>
      <c r="N68" s="89"/>
      <c r="O68" s="153"/>
      <c r="P68" s="88" t="s">
        <v>63</v>
      </c>
      <c r="Q68" s="447"/>
      <c r="R68" s="153"/>
      <c r="S68" s="88" t="s">
        <v>63</v>
      </c>
      <c r="T68" s="154">
        <f t="shared" si="3"/>
        <v>-290</v>
      </c>
      <c r="U68" s="584"/>
      <c r="V68" s="158"/>
      <c r="W68" s="154"/>
      <c r="X68" s="154"/>
      <c r="Y68" s="402"/>
      <c r="Z68" s="402"/>
      <c r="AA68" s="402"/>
      <c r="AB68" s="580"/>
    </row>
    <row r="69" spans="1:28" s="55" customFormat="1" ht="54.95" customHeight="1" x14ac:dyDescent="0.15">
      <c r="A69" s="387"/>
      <c r="B69" s="87">
        <f>E5</f>
        <v>53</v>
      </c>
      <c r="C69" s="461"/>
      <c r="D69" s="461"/>
      <c r="E69" s="461"/>
      <c r="F69" s="368"/>
      <c r="G69" s="369"/>
      <c r="H69" s="370"/>
      <c r="I69" s="152"/>
      <c r="J69" s="152"/>
      <c r="K69" s="156">
        <v>1</v>
      </c>
      <c r="L69" s="77" t="s">
        <v>63</v>
      </c>
      <c r="M69" s="88">
        <f t="shared" si="4"/>
        <v>53</v>
      </c>
      <c r="N69" s="89"/>
      <c r="O69" s="153"/>
      <c r="P69" s="88" t="s">
        <v>63</v>
      </c>
      <c r="Q69" s="447"/>
      <c r="R69" s="153"/>
      <c r="S69" s="88" t="s">
        <v>63</v>
      </c>
      <c r="T69" s="154">
        <f t="shared" si="3"/>
        <v>-53</v>
      </c>
      <c r="U69" s="584"/>
      <c r="V69" s="158"/>
      <c r="W69" s="154"/>
      <c r="X69" s="154"/>
      <c r="Y69" s="402"/>
      <c r="Z69" s="402"/>
      <c r="AA69" s="402"/>
      <c r="AB69" s="580"/>
    </row>
    <row r="70" spans="1:28" s="55" customFormat="1" ht="54.95" customHeight="1" x14ac:dyDescent="0.15">
      <c r="A70" s="387"/>
      <c r="B70" s="87">
        <f>C6</f>
        <v>0</v>
      </c>
      <c r="C70" s="461">
        <f>A6</f>
        <v>0</v>
      </c>
      <c r="D70" s="461"/>
      <c r="E70" s="461"/>
      <c r="F70" s="368"/>
      <c r="G70" s="369"/>
      <c r="H70" s="370"/>
      <c r="I70" s="152"/>
      <c r="J70" s="152"/>
      <c r="K70" s="156">
        <v>1</v>
      </c>
      <c r="L70" s="77" t="s">
        <v>63</v>
      </c>
      <c r="M70" s="88">
        <f t="shared" si="4"/>
        <v>0</v>
      </c>
      <c r="N70" s="89"/>
      <c r="O70" s="153"/>
      <c r="P70" s="88" t="s">
        <v>63</v>
      </c>
      <c r="Q70" s="447"/>
      <c r="R70" s="77"/>
      <c r="S70" s="88" t="s">
        <v>63</v>
      </c>
      <c r="T70" s="154">
        <f t="shared" si="3"/>
        <v>0</v>
      </c>
      <c r="U70" s="584"/>
      <c r="V70" s="158"/>
      <c r="W70" s="154"/>
      <c r="X70" s="154"/>
      <c r="Y70" s="402"/>
      <c r="Z70" s="401"/>
      <c r="AA70" s="401"/>
      <c r="AB70" s="580"/>
    </row>
    <row r="71" spans="1:28" s="55" customFormat="1" ht="54.95" customHeight="1" x14ac:dyDescent="0.15">
      <c r="A71" s="387"/>
      <c r="B71" s="87">
        <f>D6</f>
        <v>0</v>
      </c>
      <c r="C71" s="461"/>
      <c r="D71" s="461"/>
      <c r="E71" s="461"/>
      <c r="F71" s="368"/>
      <c r="G71" s="369"/>
      <c r="H71" s="370"/>
      <c r="I71" s="152"/>
      <c r="J71" s="152"/>
      <c r="K71" s="156">
        <v>1</v>
      </c>
      <c r="L71" s="77" t="s">
        <v>63</v>
      </c>
      <c r="M71" s="88">
        <f t="shared" si="4"/>
        <v>0</v>
      </c>
      <c r="N71" s="89"/>
      <c r="O71" s="153"/>
      <c r="P71" s="88" t="s">
        <v>63</v>
      </c>
      <c r="Q71" s="447"/>
      <c r="R71" s="77"/>
      <c r="S71" s="88" t="s">
        <v>63</v>
      </c>
      <c r="T71" s="154">
        <f t="shared" si="3"/>
        <v>0</v>
      </c>
      <c r="U71" s="585"/>
      <c r="V71" s="158"/>
      <c r="W71" s="154"/>
      <c r="X71" s="154"/>
      <c r="Y71" s="402"/>
      <c r="Z71" s="402"/>
      <c r="AA71" s="402"/>
      <c r="AB71" s="580"/>
    </row>
    <row r="72" spans="1:28" s="55" customFormat="1" ht="54.95" customHeight="1" x14ac:dyDescent="0.15">
      <c r="A72" s="387"/>
      <c r="B72" s="87">
        <f>E6</f>
        <v>0</v>
      </c>
      <c r="C72" s="461"/>
      <c r="D72" s="461"/>
      <c r="E72" s="461"/>
      <c r="F72" s="368"/>
      <c r="G72" s="369"/>
      <c r="H72" s="370"/>
      <c r="I72" s="152"/>
      <c r="J72" s="152"/>
      <c r="K72" s="156">
        <v>1</v>
      </c>
      <c r="L72" s="77" t="s">
        <v>63</v>
      </c>
      <c r="M72" s="88">
        <f t="shared" si="4"/>
        <v>0</v>
      </c>
      <c r="N72" s="89"/>
      <c r="O72" s="153"/>
      <c r="P72" s="88" t="s">
        <v>63</v>
      </c>
      <c r="Q72" s="447"/>
      <c r="R72" s="153"/>
      <c r="S72" s="88" t="s">
        <v>63</v>
      </c>
      <c r="T72" s="154">
        <f t="shared" si="3"/>
        <v>0</v>
      </c>
      <c r="U72" s="157"/>
      <c r="V72" s="158"/>
      <c r="W72" s="154"/>
      <c r="X72" s="154"/>
      <c r="Y72" s="402"/>
      <c r="Z72" s="402"/>
      <c r="AA72" s="402"/>
      <c r="AB72" s="580"/>
    </row>
    <row r="73" spans="1:28" s="55" customFormat="1" ht="54.95" customHeight="1" x14ac:dyDescent="0.15">
      <c r="A73" s="387"/>
      <c r="B73" s="87">
        <f>C7</f>
        <v>0</v>
      </c>
      <c r="C73" s="461">
        <f>A7</f>
        <v>0</v>
      </c>
      <c r="D73" s="461"/>
      <c r="E73" s="461"/>
      <c r="F73" s="368"/>
      <c r="G73" s="369"/>
      <c r="H73" s="370"/>
      <c r="I73" s="152"/>
      <c r="J73" s="152"/>
      <c r="K73" s="156">
        <v>1</v>
      </c>
      <c r="L73" s="77" t="s">
        <v>63</v>
      </c>
      <c r="M73" s="88">
        <f t="shared" si="4"/>
        <v>0</v>
      </c>
      <c r="N73" s="89"/>
      <c r="O73" s="153"/>
      <c r="P73" s="88" t="s">
        <v>63</v>
      </c>
      <c r="Q73" s="447"/>
      <c r="R73" s="153"/>
      <c r="S73" s="88" t="s">
        <v>63</v>
      </c>
      <c r="T73" s="154">
        <f t="shared" si="3"/>
        <v>0</v>
      </c>
      <c r="U73" s="157"/>
      <c r="V73" s="158"/>
      <c r="W73" s="154"/>
      <c r="X73" s="154"/>
      <c r="Y73" s="402"/>
      <c r="Z73" s="401"/>
      <c r="AA73" s="401"/>
      <c r="AB73" s="580"/>
    </row>
    <row r="74" spans="1:28" s="55" customFormat="1" ht="54.95" customHeight="1" x14ac:dyDescent="0.15">
      <c r="A74" s="387"/>
      <c r="B74" s="87">
        <f>D7</f>
        <v>0</v>
      </c>
      <c r="C74" s="461"/>
      <c r="D74" s="461"/>
      <c r="E74" s="461"/>
      <c r="F74" s="368"/>
      <c r="G74" s="369"/>
      <c r="H74" s="370"/>
      <c r="I74" s="152"/>
      <c r="J74" s="152"/>
      <c r="K74" s="156">
        <v>1</v>
      </c>
      <c r="L74" s="77" t="s">
        <v>63</v>
      </c>
      <c r="M74" s="88">
        <f t="shared" si="4"/>
        <v>0</v>
      </c>
      <c r="N74" s="89"/>
      <c r="O74" s="153"/>
      <c r="P74" s="88" t="s">
        <v>63</v>
      </c>
      <c r="Q74" s="447"/>
      <c r="R74" s="153"/>
      <c r="S74" s="88" t="s">
        <v>63</v>
      </c>
      <c r="T74" s="154">
        <f t="shared" si="3"/>
        <v>0</v>
      </c>
      <c r="U74" s="157"/>
      <c r="V74" s="158"/>
      <c r="W74" s="154"/>
      <c r="X74" s="154"/>
      <c r="Y74" s="402"/>
      <c r="Z74" s="402"/>
      <c r="AA74" s="402"/>
      <c r="AB74" s="580"/>
    </row>
    <row r="75" spans="1:28" s="55" customFormat="1" ht="54.95" customHeight="1" x14ac:dyDescent="0.15">
      <c r="A75" s="387"/>
      <c r="B75" s="87">
        <f>E7</f>
        <v>0</v>
      </c>
      <c r="C75" s="461"/>
      <c r="D75" s="461"/>
      <c r="E75" s="461"/>
      <c r="F75" s="368"/>
      <c r="G75" s="369"/>
      <c r="H75" s="370"/>
      <c r="I75" s="152"/>
      <c r="J75" s="152"/>
      <c r="K75" s="156">
        <v>1</v>
      </c>
      <c r="L75" s="77" t="s">
        <v>63</v>
      </c>
      <c r="M75" s="88">
        <f t="shared" si="4"/>
        <v>0</v>
      </c>
      <c r="N75" s="89"/>
      <c r="O75" s="153"/>
      <c r="P75" s="88" t="s">
        <v>63</v>
      </c>
      <c r="Q75" s="444"/>
      <c r="R75" s="77"/>
      <c r="S75" s="88" t="s">
        <v>63</v>
      </c>
      <c r="T75" s="154">
        <f t="shared" si="3"/>
        <v>0</v>
      </c>
      <c r="U75" s="157"/>
      <c r="V75" s="158"/>
      <c r="W75" s="154"/>
      <c r="X75" s="154"/>
      <c r="Y75" s="403"/>
      <c r="Z75" s="402"/>
      <c r="AA75" s="403"/>
      <c r="AB75" s="581"/>
    </row>
    <row r="76" spans="1:28" s="55" customFormat="1" ht="54.95" customHeight="1" x14ac:dyDescent="0.15">
      <c r="A76" s="386" t="s">
        <v>70</v>
      </c>
      <c r="B76" s="87">
        <f>C11</f>
        <v>320</v>
      </c>
      <c r="C76" s="389" t="s">
        <v>71</v>
      </c>
      <c r="D76" s="390"/>
      <c r="E76" s="391"/>
      <c r="F76" s="368"/>
      <c r="G76" s="369"/>
      <c r="H76" s="370"/>
      <c r="I76" s="152"/>
      <c r="J76" s="90"/>
      <c r="K76" s="156">
        <v>1</v>
      </c>
      <c r="L76" s="77" t="s">
        <v>63</v>
      </c>
      <c r="M76" s="88">
        <f t="shared" si="4"/>
        <v>320</v>
      </c>
      <c r="N76" s="89"/>
      <c r="O76" s="153"/>
      <c r="P76" s="88" t="s">
        <v>63</v>
      </c>
      <c r="Q76" s="443"/>
      <c r="R76" s="93">
        <v>320</v>
      </c>
      <c r="S76" s="88" t="s">
        <v>63</v>
      </c>
      <c r="T76" s="154">
        <f t="shared" si="3"/>
        <v>0</v>
      </c>
      <c r="U76" s="91"/>
      <c r="V76" s="159"/>
      <c r="W76" s="159"/>
      <c r="X76" s="159"/>
      <c r="Y76" s="401" t="s">
        <v>94</v>
      </c>
      <c r="Z76" s="416"/>
      <c r="AA76" s="416"/>
      <c r="AB76" s="419" t="s">
        <v>485</v>
      </c>
    </row>
    <row r="77" spans="1:28" s="55" customFormat="1" ht="54.95" customHeight="1" x14ac:dyDescent="0.15">
      <c r="A77" s="387"/>
      <c r="B77" s="87">
        <f>D11</f>
        <v>290</v>
      </c>
      <c r="C77" s="392"/>
      <c r="D77" s="393"/>
      <c r="E77" s="394"/>
      <c r="F77" s="368"/>
      <c r="G77" s="369"/>
      <c r="H77" s="370"/>
      <c r="I77" s="152"/>
      <c r="J77" s="90"/>
      <c r="K77" s="156">
        <v>1</v>
      </c>
      <c r="L77" s="77" t="s">
        <v>63</v>
      </c>
      <c r="M77" s="88">
        <f t="shared" si="4"/>
        <v>290</v>
      </c>
      <c r="N77" s="89"/>
      <c r="O77" s="153"/>
      <c r="P77" s="88" t="s">
        <v>63</v>
      </c>
      <c r="Q77" s="447"/>
      <c r="R77" s="93">
        <v>290</v>
      </c>
      <c r="S77" s="88" t="s">
        <v>63</v>
      </c>
      <c r="T77" s="154">
        <f t="shared" si="3"/>
        <v>0</v>
      </c>
      <c r="U77" s="91"/>
      <c r="V77" s="159"/>
      <c r="W77" s="159"/>
      <c r="X77" s="159"/>
      <c r="Y77" s="402"/>
      <c r="Z77" s="417"/>
      <c r="AA77" s="417"/>
      <c r="AB77" s="420"/>
    </row>
    <row r="78" spans="1:28" s="55" customFormat="1" ht="54.95" customHeight="1" x14ac:dyDescent="0.15">
      <c r="A78" s="387"/>
      <c r="B78" s="87">
        <f>E11</f>
        <v>53</v>
      </c>
      <c r="C78" s="392"/>
      <c r="D78" s="393"/>
      <c r="E78" s="394"/>
      <c r="F78" s="368"/>
      <c r="G78" s="369"/>
      <c r="H78" s="370"/>
      <c r="I78" s="152"/>
      <c r="J78" s="90"/>
      <c r="K78" s="156">
        <v>1</v>
      </c>
      <c r="L78" s="77" t="s">
        <v>63</v>
      </c>
      <c r="M78" s="88">
        <f t="shared" si="4"/>
        <v>53</v>
      </c>
      <c r="N78" s="89"/>
      <c r="O78" s="153"/>
      <c r="P78" s="88" t="s">
        <v>63</v>
      </c>
      <c r="Q78" s="447"/>
      <c r="R78" s="93">
        <v>53</v>
      </c>
      <c r="S78" s="88" t="s">
        <v>63</v>
      </c>
      <c r="T78" s="154">
        <f t="shared" si="3"/>
        <v>0</v>
      </c>
      <c r="U78" s="91"/>
      <c r="V78" s="159"/>
      <c r="W78" s="159"/>
      <c r="X78" s="159"/>
      <c r="Y78" s="402"/>
      <c r="Z78" s="417"/>
      <c r="AA78" s="417"/>
      <c r="AB78" s="420"/>
    </row>
    <row r="79" spans="1:28" s="55" customFormat="1" ht="54.95" customHeight="1" x14ac:dyDescent="0.15">
      <c r="A79" s="388"/>
      <c r="B79" s="87">
        <f>F11</f>
        <v>0</v>
      </c>
      <c r="C79" s="395"/>
      <c r="D79" s="396"/>
      <c r="E79" s="397"/>
      <c r="F79" s="368"/>
      <c r="G79" s="369"/>
      <c r="H79" s="370"/>
      <c r="I79" s="152"/>
      <c r="J79" s="90"/>
      <c r="K79" s="156"/>
      <c r="L79" s="77" t="s">
        <v>63</v>
      </c>
      <c r="M79" s="88">
        <f t="shared" si="4"/>
        <v>0</v>
      </c>
      <c r="N79" s="89"/>
      <c r="O79" s="153"/>
      <c r="P79" s="88" t="s">
        <v>63</v>
      </c>
      <c r="Q79" s="444"/>
      <c r="R79" s="162"/>
      <c r="S79" s="88" t="s">
        <v>63</v>
      </c>
      <c r="T79" s="154">
        <f t="shared" si="3"/>
        <v>0</v>
      </c>
      <c r="U79" s="91"/>
      <c r="V79" s="159"/>
      <c r="W79" s="159"/>
      <c r="X79" s="159"/>
      <c r="Y79" s="403"/>
      <c r="Z79" s="418"/>
      <c r="AA79" s="418"/>
      <c r="AB79" s="421"/>
    </row>
    <row r="80" spans="1:28" s="176" customFormat="1" ht="54.95" customHeight="1" x14ac:dyDescent="0.15">
      <c r="A80" s="92" t="s">
        <v>73</v>
      </c>
      <c r="B80" s="164">
        <f>I11</f>
        <v>663</v>
      </c>
      <c r="C80" s="371" t="s">
        <v>71</v>
      </c>
      <c r="D80" s="372"/>
      <c r="E80" s="373"/>
      <c r="F80" s="371"/>
      <c r="G80" s="372"/>
      <c r="H80" s="373"/>
      <c r="I80" s="165"/>
      <c r="J80" s="166"/>
      <c r="K80" s="167">
        <v>1</v>
      </c>
      <c r="L80" s="168" t="s">
        <v>63</v>
      </c>
      <c r="M80" s="88">
        <f t="shared" si="4"/>
        <v>663</v>
      </c>
      <c r="N80" s="170"/>
      <c r="O80" s="170"/>
      <c r="P80" s="169" t="s">
        <v>63</v>
      </c>
      <c r="Q80" s="363">
        <v>46207</v>
      </c>
      <c r="R80" s="165">
        <v>663</v>
      </c>
      <c r="S80" s="169" t="s">
        <v>63</v>
      </c>
      <c r="T80" s="154">
        <f t="shared" si="3"/>
        <v>0</v>
      </c>
      <c r="U80" s="170"/>
      <c r="V80" s="172"/>
      <c r="W80" s="172"/>
      <c r="X80" s="172"/>
      <c r="Y80" s="173" t="s">
        <v>72</v>
      </c>
      <c r="Z80" s="174"/>
      <c r="AA80" s="175"/>
      <c r="AB80" s="586" t="s">
        <v>485</v>
      </c>
    </row>
    <row r="81" spans="1:29" s="55" customFormat="1" ht="54.95" customHeight="1" x14ac:dyDescent="0.15">
      <c r="A81" s="92" t="s">
        <v>81</v>
      </c>
      <c r="B81" s="87">
        <f>I11</f>
        <v>663</v>
      </c>
      <c r="C81" s="368" t="s">
        <v>71</v>
      </c>
      <c r="D81" s="369"/>
      <c r="E81" s="370"/>
      <c r="F81" s="368"/>
      <c r="G81" s="369"/>
      <c r="H81" s="370"/>
      <c r="I81" s="93"/>
      <c r="J81" s="90"/>
      <c r="K81" s="156">
        <v>1</v>
      </c>
      <c r="L81" s="77" t="s">
        <v>63</v>
      </c>
      <c r="M81" s="88">
        <f>K81*B81</f>
        <v>663</v>
      </c>
      <c r="N81" s="91"/>
      <c r="O81" s="91"/>
      <c r="P81" s="169" t="s">
        <v>63</v>
      </c>
      <c r="Q81" s="364"/>
      <c r="R81" s="165">
        <v>663</v>
      </c>
      <c r="S81" s="169" t="s">
        <v>63</v>
      </c>
      <c r="T81" s="154">
        <f t="shared" si="3"/>
        <v>0</v>
      </c>
      <c r="U81" s="91"/>
      <c r="V81" s="91"/>
      <c r="W81" s="91"/>
      <c r="X81" s="91"/>
      <c r="Y81" s="160" t="s">
        <v>72</v>
      </c>
      <c r="Z81" s="94"/>
      <c r="AA81" s="95"/>
      <c r="AB81" s="587"/>
    </row>
    <row r="82" spans="1:29" s="55" customFormat="1" ht="54.95" customHeight="1" x14ac:dyDescent="0.15">
      <c r="A82" s="96" t="s">
        <v>74</v>
      </c>
      <c r="B82" s="87">
        <f>I11</f>
        <v>663</v>
      </c>
      <c r="C82" s="368" t="s">
        <v>71</v>
      </c>
      <c r="D82" s="369"/>
      <c r="E82" s="370"/>
      <c r="F82" s="368"/>
      <c r="G82" s="369"/>
      <c r="H82" s="370"/>
      <c r="I82" s="93"/>
      <c r="J82" s="93"/>
      <c r="K82" s="156">
        <v>1</v>
      </c>
      <c r="L82" s="77" t="s">
        <v>63</v>
      </c>
      <c r="M82" s="88">
        <f t="shared" si="4"/>
        <v>663</v>
      </c>
      <c r="N82" s="91"/>
      <c r="O82" s="91"/>
      <c r="P82" s="89" t="s">
        <v>63</v>
      </c>
      <c r="Q82" s="365"/>
      <c r="R82" s="93">
        <v>663</v>
      </c>
      <c r="S82" s="89" t="s">
        <v>63</v>
      </c>
      <c r="T82" s="154">
        <f t="shared" si="3"/>
        <v>0</v>
      </c>
      <c r="U82" s="91"/>
      <c r="V82" s="91"/>
      <c r="W82" s="91"/>
      <c r="X82" s="91"/>
      <c r="Y82" s="160" t="s">
        <v>72</v>
      </c>
      <c r="Z82" s="97"/>
      <c r="AA82" s="98"/>
      <c r="AB82" s="588"/>
    </row>
    <row r="83" spans="1:29" x14ac:dyDescent="0.15">
      <c r="A83" s="177"/>
      <c r="B83" s="366"/>
      <c r="C83" s="366"/>
      <c r="D83" s="177"/>
      <c r="E83" s="177"/>
      <c r="F83" s="100"/>
      <c r="G83" s="100"/>
      <c r="H83" s="100"/>
      <c r="I83" s="177"/>
      <c r="J83" s="177"/>
      <c r="K83" s="101"/>
      <c r="L83" s="102"/>
      <c r="M83" s="103"/>
      <c r="N83" s="104"/>
      <c r="O83" s="104"/>
      <c r="P83" s="177"/>
      <c r="Q83" s="105"/>
      <c r="R83" s="105"/>
      <c r="S83" s="106"/>
      <c r="T83" s="107"/>
      <c r="U83" s="108"/>
      <c r="V83" s="108"/>
      <c r="W83" s="109"/>
      <c r="X83" s="107"/>
      <c r="Y83" s="110"/>
      <c r="Z83" s="111"/>
      <c r="AA83" s="111"/>
    </row>
    <row r="84" spans="1:29" x14ac:dyDescent="0.15">
      <c r="A84" s="177"/>
      <c r="B84" s="366"/>
      <c r="C84" s="366"/>
      <c r="D84" s="177"/>
      <c r="E84" s="177"/>
      <c r="F84" s="367"/>
      <c r="G84" s="367"/>
      <c r="H84" s="367"/>
      <c r="I84" s="177"/>
      <c r="J84" s="177"/>
      <c r="K84" s="101"/>
      <c r="L84" s="102"/>
      <c r="M84" s="103"/>
      <c r="N84" s="104"/>
      <c r="O84" s="104"/>
      <c r="P84" s="177"/>
      <c r="Q84" s="105"/>
      <c r="R84" s="105"/>
      <c r="S84" s="106"/>
      <c r="T84" s="107"/>
      <c r="U84" s="108"/>
      <c r="V84" s="108"/>
      <c r="W84" s="109"/>
      <c r="X84" s="107"/>
      <c r="Y84" s="112"/>
      <c r="Z84" s="111"/>
      <c r="AA84" s="111"/>
    </row>
    <row r="85" spans="1:29" x14ac:dyDescent="0.15">
      <c r="J85" s="177"/>
    </row>
    <row r="86" spans="1:29" x14ac:dyDescent="0.15">
      <c r="J86" s="177"/>
    </row>
    <row r="93" spans="1:29" s="114" customFormat="1" x14ac:dyDescent="0.15">
      <c r="A93" s="1"/>
      <c r="B93" s="113"/>
      <c r="C93" s="1"/>
      <c r="D93" s="1"/>
      <c r="E93" s="1"/>
      <c r="F93" s="1"/>
      <c r="G93" s="1"/>
      <c r="H93" s="1"/>
      <c r="I93" s="1"/>
      <c r="J93" s="1"/>
      <c r="L93" s="115"/>
      <c r="M93" s="116"/>
      <c r="N93" s="117"/>
      <c r="O93" s="117"/>
      <c r="P93" s="1"/>
      <c r="Q93" s="118"/>
      <c r="R93" s="118"/>
      <c r="S93" s="115"/>
      <c r="T93" s="119"/>
      <c r="U93" s="1"/>
      <c r="V93" s="1"/>
      <c r="W93" s="120"/>
      <c r="X93" s="121"/>
      <c r="Y93" s="1"/>
      <c r="Z93" s="1"/>
      <c r="AA93" s="1"/>
      <c r="AB93" s="1"/>
      <c r="AC93" s="1"/>
    </row>
    <row r="94" spans="1:29" s="114" customFormat="1" x14ac:dyDescent="0.15">
      <c r="A94" s="1"/>
      <c r="B94" s="113"/>
      <c r="C94" s="1"/>
      <c r="D94" s="1"/>
      <c r="E94" s="1"/>
      <c r="F94" s="1"/>
      <c r="G94" s="1"/>
      <c r="H94" s="1"/>
      <c r="I94" s="1"/>
      <c r="J94" s="1"/>
      <c r="L94" s="115"/>
      <c r="M94" s="116"/>
      <c r="N94" s="117"/>
      <c r="O94" s="117"/>
      <c r="P94" s="1"/>
      <c r="Q94" s="118"/>
      <c r="R94" s="118"/>
      <c r="S94" s="115"/>
      <c r="T94" s="119"/>
      <c r="U94" s="1"/>
      <c r="V94" s="1"/>
      <c r="W94" s="120"/>
      <c r="X94" s="121"/>
      <c r="Y94" s="1"/>
      <c r="Z94" s="1"/>
      <c r="AA94" s="1"/>
      <c r="AB94" s="1"/>
      <c r="AC94" s="1"/>
    </row>
  </sheetData>
  <mergeCells count="305">
    <mergeCell ref="F20:H20"/>
    <mergeCell ref="Y19:Y20"/>
    <mergeCell ref="AB19:AB20"/>
    <mergeCell ref="Q19:Q20"/>
    <mergeCell ref="F81:H81"/>
    <mergeCell ref="C82:E82"/>
    <mergeCell ref="F82:H82"/>
    <mergeCell ref="B83:C83"/>
    <mergeCell ref="B84:C84"/>
    <mergeCell ref="F84:H84"/>
    <mergeCell ref="AA76:AA79"/>
    <mergeCell ref="AB76:AB79"/>
    <mergeCell ref="F77:H77"/>
    <mergeCell ref="F78:H78"/>
    <mergeCell ref="F79:H79"/>
    <mergeCell ref="C80:E80"/>
    <mergeCell ref="F80:H80"/>
    <mergeCell ref="Q80:Q82"/>
    <mergeCell ref="AB80:AB82"/>
    <mergeCell ref="C81:E81"/>
    <mergeCell ref="AB67:AB75"/>
    <mergeCell ref="F68:H68"/>
    <mergeCell ref="F69:H69"/>
    <mergeCell ref="C70:E72"/>
    <mergeCell ref="A76:A79"/>
    <mergeCell ref="C76:E79"/>
    <mergeCell ref="F76:H76"/>
    <mergeCell ref="Q76:Q79"/>
    <mergeCell ref="Y76:Y79"/>
    <mergeCell ref="Z76:Z79"/>
    <mergeCell ref="F72:H72"/>
    <mergeCell ref="C73:E75"/>
    <mergeCell ref="F73:H73"/>
    <mergeCell ref="Z73:Z75"/>
    <mergeCell ref="Y64:Y66"/>
    <mergeCell ref="Z64:Z66"/>
    <mergeCell ref="AA64:AA66"/>
    <mergeCell ref="F65:H65"/>
    <mergeCell ref="F66:H66"/>
    <mergeCell ref="A67:A75"/>
    <mergeCell ref="C67:E69"/>
    <mergeCell ref="F67:H67"/>
    <mergeCell ref="Q67:Q75"/>
    <mergeCell ref="U67:U71"/>
    <mergeCell ref="Y67:Y75"/>
    <mergeCell ref="A58:A66"/>
    <mergeCell ref="AA73:AA75"/>
    <mergeCell ref="F74:H74"/>
    <mergeCell ref="F75:H75"/>
    <mergeCell ref="Z67:Z69"/>
    <mergeCell ref="AA67:AA69"/>
    <mergeCell ref="F70:H70"/>
    <mergeCell ref="Z70:Z72"/>
    <mergeCell ref="AA70:AA72"/>
    <mergeCell ref="F71:H71"/>
    <mergeCell ref="A53:A57"/>
    <mergeCell ref="C53:E57"/>
    <mergeCell ref="F53:H53"/>
    <mergeCell ref="Q53:Q57"/>
    <mergeCell ref="Y53:Y57"/>
    <mergeCell ref="Z53:Z57"/>
    <mergeCell ref="AA58:AA60"/>
    <mergeCell ref="AB58:AB66"/>
    <mergeCell ref="F59:H59"/>
    <mergeCell ref="F60:H60"/>
    <mergeCell ref="C61:E63"/>
    <mergeCell ref="F61:H61"/>
    <mergeCell ref="Y61:Y63"/>
    <mergeCell ref="Z61:Z63"/>
    <mergeCell ref="AA61:AA63"/>
    <mergeCell ref="F62:H62"/>
    <mergeCell ref="C58:E60"/>
    <mergeCell ref="F58:H58"/>
    <mergeCell ref="Q58:Q66"/>
    <mergeCell ref="Y58:Y60"/>
    <mergeCell ref="Z58:Z60"/>
    <mergeCell ref="F63:H63"/>
    <mergeCell ref="C64:E66"/>
    <mergeCell ref="F64:H64"/>
    <mergeCell ref="C52:E52"/>
    <mergeCell ref="F52:H52"/>
    <mergeCell ref="AA53:AA57"/>
    <mergeCell ref="AB53:AB57"/>
    <mergeCell ref="F54:H54"/>
    <mergeCell ref="F55:H55"/>
    <mergeCell ref="F56:H56"/>
    <mergeCell ref="F57:H57"/>
    <mergeCell ref="I53:I57"/>
    <mergeCell ref="C48:E48"/>
    <mergeCell ref="F48:H48"/>
    <mergeCell ref="A49:A50"/>
    <mergeCell ref="C49:E49"/>
    <mergeCell ref="F49:H49"/>
    <mergeCell ref="I49:I50"/>
    <mergeCell ref="AB45:AB46"/>
    <mergeCell ref="C46:E46"/>
    <mergeCell ref="F46:H46"/>
    <mergeCell ref="A47:A48"/>
    <mergeCell ref="C47:E47"/>
    <mergeCell ref="F47:H47"/>
    <mergeCell ref="I47:I48"/>
    <mergeCell ref="Q47:Q52"/>
    <mergeCell ref="Y47:Y48"/>
    <mergeCell ref="AB47:AB52"/>
    <mergeCell ref="Y49:Y50"/>
    <mergeCell ref="C50:E50"/>
    <mergeCell ref="F50:H50"/>
    <mergeCell ref="A51:A52"/>
    <mergeCell ref="C51:E51"/>
    <mergeCell ref="F51:H51"/>
    <mergeCell ref="I51:I52"/>
    <mergeCell ref="Y51:Y52"/>
    <mergeCell ref="C44:E44"/>
    <mergeCell ref="F44:H44"/>
    <mergeCell ref="AC44:AF44"/>
    <mergeCell ref="A45:A46"/>
    <mergeCell ref="C45:E45"/>
    <mergeCell ref="F45:H45"/>
    <mergeCell ref="I45:I46"/>
    <mergeCell ref="Q45:Q46"/>
    <mergeCell ref="Y45:Y46"/>
    <mergeCell ref="A43:A44"/>
    <mergeCell ref="C43:E43"/>
    <mergeCell ref="F43:H43"/>
    <mergeCell ref="I43:I44"/>
    <mergeCell ref="Y43:Y44"/>
    <mergeCell ref="Q37:Q44"/>
    <mergeCell ref="AB37:AB44"/>
    <mergeCell ref="A41:A42"/>
    <mergeCell ref="C41:E41"/>
    <mergeCell ref="F41:H41"/>
    <mergeCell ref="I41:I42"/>
    <mergeCell ref="Y41:Y42"/>
    <mergeCell ref="C42:E42"/>
    <mergeCell ref="F42:H42"/>
    <mergeCell ref="AC42:AF42"/>
    <mergeCell ref="C38:E38"/>
    <mergeCell ref="F38:H38"/>
    <mergeCell ref="AC38:AF38"/>
    <mergeCell ref="A39:A40"/>
    <mergeCell ref="C39:E39"/>
    <mergeCell ref="F39:H39"/>
    <mergeCell ref="I39:I40"/>
    <mergeCell ref="Y39:Y40"/>
    <mergeCell ref="C40:E40"/>
    <mergeCell ref="A37:A38"/>
    <mergeCell ref="C37:E37"/>
    <mergeCell ref="F37:H37"/>
    <mergeCell ref="I37:I38"/>
    <mergeCell ref="Y37:Y38"/>
    <mergeCell ref="F40:H40"/>
    <mergeCell ref="AC34:AF34"/>
    <mergeCell ref="A35:A36"/>
    <mergeCell ref="C35:E35"/>
    <mergeCell ref="F35:H35"/>
    <mergeCell ref="I35:I36"/>
    <mergeCell ref="Y35:Y36"/>
    <mergeCell ref="AB35:AB36"/>
    <mergeCell ref="C36:E36"/>
    <mergeCell ref="F36:H36"/>
    <mergeCell ref="AC40:AF40"/>
    <mergeCell ref="Q35:Q36"/>
    <mergeCell ref="A33:A34"/>
    <mergeCell ref="C33:E33"/>
    <mergeCell ref="F33:H33"/>
    <mergeCell ref="I33:I34"/>
    <mergeCell ref="Q33:Q34"/>
    <mergeCell ref="Y33:Y34"/>
    <mergeCell ref="AB33:AB34"/>
    <mergeCell ref="C34:E34"/>
    <mergeCell ref="F34:H34"/>
    <mergeCell ref="AC28:AF28"/>
    <mergeCell ref="A29:A30"/>
    <mergeCell ref="C29:E29"/>
    <mergeCell ref="F29:H29"/>
    <mergeCell ref="I29:I30"/>
    <mergeCell ref="Q29:Q32"/>
    <mergeCell ref="Y29:Y30"/>
    <mergeCell ref="AB29:AB32"/>
    <mergeCell ref="C30:E30"/>
    <mergeCell ref="F30:H30"/>
    <mergeCell ref="AC30:AF30"/>
    <mergeCell ref="A31:A32"/>
    <mergeCell ref="C31:E31"/>
    <mergeCell ref="F31:H31"/>
    <mergeCell ref="I31:I32"/>
    <mergeCell ref="Y31:Y32"/>
    <mergeCell ref="C32:E32"/>
    <mergeCell ref="F32:H32"/>
    <mergeCell ref="AC32:AF32"/>
    <mergeCell ref="AB25:AB28"/>
    <mergeCell ref="N13:P13"/>
    <mergeCell ref="C26:E26"/>
    <mergeCell ref="F26:H26"/>
    <mergeCell ref="A27:A28"/>
    <mergeCell ref="C27:E27"/>
    <mergeCell ref="F27:H27"/>
    <mergeCell ref="I27:I28"/>
    <mergeCell ref="Q27:Q28"/>
    <mergeCell ref="Y27:Y28"/>
    <mergeCell ref="A25:A26"/>
    <mergeCell ref="C25:E25"/>
    <mergeCell ref="F25:H25"/>
    <mergeCell ref="I25:I26"/>
    <mergeCell ref="Q25:Q26"/>
    <mergeCell ref="Y25:Y26"/>
    <mergeCell ref="C28:E28"/>
    <mergeCell ref="F28:H28"/>
    <mergeCell ref="I19:I20"/>
    <mergeCell ref="A19:A20"/>
    <mergeCell ref="C19:E19"/>
    <mergeCell ref="C20:E20"/>
    <mergeCell ref="F19:H19"/>
    <mergeCell ref="AB21:AB24"/>
    <mergeCell ref="C22:E22"/>
    <mergeCell ref="F22:H22"/>
    <mergeCell ref="A23:A24"/>
    <mergeCell ref="C23:E23"/>
    <mergeCell ref="F23:H23"/>
    <mergeCell ref="I23:I24"/>
    <mergeCell ref="Y23:Y24"/>
    <mergeCell ref="C24:E24"/>
    <mergeCell ref="F24:H24"/>
    <mergeCell ref="A21:A22"/>
    <mergeCell ref="C21:E21"/>
    <mergeCell ref="F21:H21"/>
    <mergeCell ref="I21:I22"/>
    <mergeCell ref="Q21:Q24"/>
    <mergeCell ref="Y21:Y22"/>
    <mergeCell ref="AC15:AF15"/>
    <mergeCell ref="C16:E16"/>
    <mergeCell ref="F16:H16"/>
    <mergeCell ref="AC16:AF16"/>
    <mergeCell ref="A17:A18"/>
    <mergeCell ref="C17:E17"/>
    <mergeCell ref="F17:H17"/>
    <mergeCell ref="Q17:Q18"/>
    <mergeCell ref="Y17:Y18"/>
    <mergeCell ref="A15:A16"/>
    <mergeCell ref="C15:E15"/>
    <mergeCell ref="F15:H15"/>
    <mergeCell ref="I15:I16"/>
    <mergeCell ref="Q15:Q16"/>
    <mergeCell ref="Y15:Y16"/>
    <mergeCell ref="AB17:AB18"/>
    <mergeCell ref="C18:E18"/>
    <mergeCell ref="F18:H18"/>
    <mergeCell ref="AB15:AB16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5" orientation="portrait" r:id="rId1"/>
  <headerFooter alignWithMargins="0"/>
  <rowBreaks count="1" manualBreakCount="1">
    <brk id="57" max="27" man="1"/>
  </rowBreaks>
  <colBreaks count="1" manualBreakCount="1">
    <brk id="2" max="46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8CEC-B0DF-4389-BC81-DF5B6894AEDD}">
  <sheetPr>
    <pageSetUpPr fitToPage="1"/>
  </sheetPr>
  <dimension ref="A1:AF118"/>
  <sheetViews>
    <sheetView view="pageBreakPreview" topLeftCell="A80" zoomScale="75" zoomScaleNormal="100" zoomScaleSheetLayoutView="75" workbookViewId="0">
      <selection activeCell="M16" sqref="M16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431</v>
      </c>
      <c r="C2" s="548"/>
      <c r="D2" s="548"/>
      <c r="E2" s="548"/>
      <c r="F2" s="548"/>
      <c r="G2" s="549"/>
      <c r="H2" s="180" t="s">
        <v>1</v>
      </c>
      <c r="I2" s="550">
        <f>I11</f>
        <v>1379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 t="s">
        <v>474</v>
      </c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295</v>
      </c>
      <c r="B5" s="480"/>
      <c r="C5" s="182">
        <v>266</v>
      </c>
      <c r="D5" s="182">
        <v>260</v>
      </c>
      <c r="E5" s="182">
        <v>70</v>
      </c>
      <c r="F5" s="182"/>
      <c r="G5" s="182"/>
      <c r="H5" s="542" t="s">
        <v>24</v>
      </c>
      <c r="I5" s="524">
        <f t="shared" ref="I5:I11" si="0">SUM(C5:G5)</f>
        <v>596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232</v>
      </c>
      <c r="B6" s="523"/>
      <c r="C6" s="182">
        <v>343</v>
      </c>
      <c r="D6" s="182">
        <v>340</v>
      </c>
      <c r="E6" s="182">
        <v>100</v>
      </c>
      <c r="F6" s="182"/>
      <c r="G6" s="182"/>
      <c r="H6" s="537"/>
      <c r="I6" s="524">
        <f t="shared" si="0"/>
        <v>783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46192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609</v>
      </c>
      <c r="D11" s="181">
        <f>SUM(D5:D10)</f>
        <v>600</v>
      </c>
      <c r="E11" s="181">
        <f>SUM(E5:E10)</f>
        <v>170</v>
      </c>
      <c r="F11" s="181">
        <f>SUM(F5:F10)</f>
        <v>0</v>
      </c>
      <c r="G11" s="181">
        <f>SUM(G5:G10)</f>
        <v>0</v>
      </c>
      <c r="H11" s="182"/>
      <c r="I11" s="481">
        <f t="shared" si="0"/>
        <v>1379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46311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621.18000000000006</v>
      </c>
      <c r="D12" s="43">
        <f>D11*1.02</f>
        <v>612</v>
      </c>
      <c r="E12" s="43">
        <f>E11*1.02</f>
        <v>173.4</v>
      </c>
      <c r="F12" s="43">
        <f>F11*1.02</f>
        <v>0</v>
      </c>
      <c r="G12" s="43">
        <f>G11*1.02</f>
        <v>0</v>
      </c>
      <c r="H12" s="44"/>
      <c r="I12" s="486">
        <f>I11*1.02</f>
        <v>1406.58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596</v>
      </c>
      <c r="C15" s="474" t="str">
        <f t="shared" ref="C15:C29" si="2">$A$5</f>
        <v>DE</v>
      </c>
      <c r="D15" s="475"/>
      <c r="E15" s="476"/>
      <c r="F15" s="474"/>
      <c r="G15" s="475"/>
      <c r="H15" s="476"/>
      <c r="I15" s="477" t="s">
        <v>133</v>
      </c>
      <c r="J15" s="65" t="s">
        <v>6</v>
      </c>
      <c r="K15" s="66">
        <v>1.58</v>
      </c>
      <c r="L15" s="67" t="s">
        <v>7</v>
      </c>
      <c r="M15" s="68">
        <f>K15*B15</f>
        <v>941.68000000000006</v>
      </c>
      <c r="N15" s="69"/>
      <c r="O15" s="70"/>
      <c r="P15" s="67" t="s">
        <v>7</v>
      </c>
      <c r="Q15" s="478">
        <v>46200</v>
      </c>
      <c r="R15" s="293">
        <v>775</v>
      </c>
      <c r="S15" s="71" t="s">
        <v>7</v>
      </c>
      <c r="T15" s="123">
        <f t="shared" ref="T15:T106" si="3">R15-M15</f>
        <v>-166.68000000000006</v>
      </c>
      <c r="U15" s="72"/>
      <c r="V15" s="72"/>
      <c r="W15" s="73"/>
      <c r="X15" s="74"/>
      <c r="Y15" s="479" t="s">
        <v>412</v>
      </c>
      <c r="Z15" s="63"/>
      <c r="AA15" s="64"/>
      <c r="AB15" s="360" t="s">
        <v>468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783</v>
      </c>
      <c r="C16" s="368" t="str">
        <f>$A$6</f>
        <v>DG</v>
      </c>
      <c r="D16" s="369"/>
      <c r="E16" s="370"/>
      <c r="F16" s="368"/>
      <c r="G16" s="369"/>
      <c r="H16" s="370"/>
      <c r="I16" s="563"/>
      <c r="J16" s="76" t="s">
        <v>6</v>
      </c>
      <c r="K16" s="83">
        <v>1.58</v>
      </c>
      <c r="L16" s="77" t="s">
        <v>7</v>
      </c>
      <c r="M16" s="78">
        <f t="shared" ref="M16:M85" si="4">K16*B16</f>
        <v>1237.1400000000001</v>
      </c>
      <c r="N16" s="79"/>
      <c r="O16" s="128"/>
      <c r="P16" s="77" t="s">
        <v>7</v>
      </c>
      <c r="Q16" s="447"/>
      <c r="R16" s="137">
        <v>1019</v>
      </c>
      <c r="S16" s="75" t="s">
        <v>7</v>
      </c>
      <c r="T16" s="81">
        <f t="shared" si="3"/>
        <v>-218.1400000000001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442"/>
      <c r="J17" s="76" t="s">
        <v>6</v>
      </c>
      <c r="K17" s="83">
        <v>1.58</v>
      </c>
      <c r="L17" s="77" t="s">
        <v>7</v>
      </c>
      <c r="M17" s="78">
        <f t="shared" si="4"/>
        <v>0</v>
      </c>
      <c r="N17" s="79"/>
      <c r="O17" s="128"/>
      <c r="P17" s="77" t="s">
        <v>7</v>
      </c>
      <c r="Q17" s="444"/>
      <c r="R17" s="137"/>
      <c r="S17" s="75" t="s">
        <v>7</v>
      </c>
      <c r="T17" s="81">
        <f t="shared" si="3"/>
        <v>0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596</v>
      </c>
      <c r="C18" s="461" t="str">
        <f t="shared" si="2"/>
        <v>DE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783</v>
      </c>
      <c r="C19" s="461" t="str">
        <f>$A$6</f>
        <v>DG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433</v>
      </c>
      <c r="B20" s="182">
        <f t="shared" ref="B20" si="5">$I$5</f>
        <v>596</v>
      </c>
      <c r="C20" s="461" t="str">
        <f t="shared" ref="C20" si="6">$A$5</f>
        <v>DE</v>
      </c>
      <c r="D20" s="461"/>
      <c r="E20" s="461"/>
      <c r="F20" s="461"/>
      <c r="G20" s="461"/>
      <c r="H20" s="461"/>
      <c r="I20" s="441" t="s">
        <v>58</v>
      </c>
      <c r="J20" s="76" t="s">
        <v>6</v>
      </c>
      <c r="K20" s="136">
        <v>0.04</v>
      </c>
      <c r="L20" s="77" t="s">
        <v>7</v>
      </c>
      <c r="M20" s="78">
        <f t="shared" si="4"/>
        <v>23.84</v>
      </c>
      <c r="N20" s="79"/>
      <c r="O20" s="78"/>
      <c r="P20" s="80" t="s">
        <v>7</v>
      </c>
      <c r="Q20" s="129">
        <v>46221</v>
      </c>
      <c r="R20" s="78">
        <v>24</v>
      </c>
      <c r="S20" s="80" t="s">
        <v>7</v>
      </c>
      <c r="T20" s="81">
        <f t="shared" si="3"/>
        <v>0.16000000000000014</v>
      </c>
      <c r="U20" s="82"/>
      <c r="V20" s="137"/>
      <c r="W20" s="78"/>
      <c r="X20" s="78"/>
      <c r="Y20" s="445" t="s">
        <v>93</v>
      </c>
      <c r="Z20" s="138"/>
      <c r="AA20" s="135"/>
      <c r="AB20" s="607" t="s">
        <v>483</v>
      </c>
      <c r="AC20" s="229"/>
      <c r="AD20" s="230"/>
      <c r="AE20" s="230"/>
      <c r="AF20" s="230"/>
    </row>
    <row r="21" spans="1:32" s="206" customFormat="1" ht="69.95" customHeight="1" x14ac:dyDescent="0.15">
      <c r="A21" s="559"/>
      <c r="B21" s="182">
        <f>$I$6</f>
        <v>783</v>
      </c>
      <c r="C21" s="461" t="str">
        <f>$A$6</f>
        <v>DG</v>
      </c>
      <c r="D21" s="461"/>
      <c r="E21" s="461"/>
      <c r="F21" s="461"/>
      <c r="G21" s="461"/>
      <c r="H21" s="461"/>
      <c r="I21" s="563"/>
      <c r="J21" s="76" t="s">
        <v>6</v>
      </c>
      <c r="K21" s="136">
        <v>0.04</v>
      </c>
      <c r="L21" s="77" t="s">
        <v>7</v>
      </c>
      <c r="M21" s="78">
        <f t="shared" si="4"/>
        <v>31.32</v>
      </c>
      <c r="N21" s="79"/>
      <c r="O21" s="128"/>
      <c r="P21" s="77" t="s">
        <v>7</v>
      </c>
      <c r="Q21" s="443">
        <v>46207</v>
      </c>
      <c r="R21" s="137">
        <v>32</v>
      </c>
      <c r="S21" s="75" t="s">
        <v>7</v>
      </c>
      <c r="T21" s="81">
        <f t="shared" si="3"/>
        <v>0.67999999999999972</v>
      </c>
      <c r="U21" s="131"/>
      <c r="V21" s="131"/>
      <c r="W21" s="132"/>
      <c r="X21" s="133"/>
      <c r="Y21" s="557"/>
      <c r="Z21" s="134"/>
      <c r="AA21" s="135"/>
      <c r="AB21" s="626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82">
        <f>$I$7</f>
        <v>0</v>
      </c>
      <c r="C22" s="461">
        <f>$A$7</f>
        <v>0</v>
      </c>
      <c r="D22" s="461"/>
      <c r="E22" s="461"/>
      <c r="F22" s="461"/>
      <c r="G22" s="461"/>
      <c r="H22" s="461"/>
      <c r="I22" s="442"/>
      <c r="J22" s="76" t="s">
        <v>6</v>
      </c>
      <c r="K22" s="136">
        <v>0.04</v>
      </c>
      <c r="L22" s="77" t="s">
        <v>7</v>
      </c>
      <c r="M22" s="78">
        <f t="shared" si="4"/>
        <v>0</v>
      </c>
      <c r="N22" s="79"/>
      <c r="O22" s="128"/>
      <c r="P22" s="77" t="s">
        <v>7</v>
      </c>
      <c r="Q22" s="444"/>
      <c r="R22" s="130"/>
      <c r="S22" s="75" t="s">
        <v>7</v>
      </c>
      <c r="T22" s="81">
        <f t="shared" si="3"/>
        <v>0</v>
      </c>
      <c r="U22" s="131"/>
      <c r="V22" s="131"/>
      <c r="W22" s="132"/>
      <c r="X22" s="133"/>
      <c r="Y22" s="446"/>
      <c r="Z22" s="134"/>
      <c r="AA22" s="135"/>
      <c r="AB22" s="608"/>
      <c r="AC22" s="229"/>
      <c r="AD22" s="230"/>
      <c r="AE22" s="230"/>
      <c r="AF22" s="230"/>
    </row>
    <row r="23" spans="1:32" s="55" customFormat="1" ht="69.95" customHeight="1" x14ac:dyDescent="0.15">
      <c r="A23" s="431" t="s">
        <v>432</v>
      </c>
      <c r="B23" s="182">
        <f t="shared" si="1"/>
        <v>596</v>
      </c>
      <c r="C23" s="461" t="str">
        <f t="shared" si="2"/>
        <v>DE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154.96</v>
      </c>
      <c r="N23" s="79"/>
      <c r="O23" s="78"/>
      <c r="P23" s="80" t="s">
        <v>7</v>
      </c>
      <c r="Q23" s="443">
        <v>46207</v>
      </c>
      <c r="R23" s="78">
        <v>155</v>
      </c>
      <c r="S23" s="80" t="s">
        <v>7</v>
      </c>
      <c r="T23" s="81">
        <f t="shared" si="3"/>
        <v>3.9999999999992042E-2</v>
      </c>
      <c r="U23" s="82"/>
      <c r="V23" s="137"/>
      <c r="W23" s="78"/>
      <c r="X23" s="78"/>
      <c r="Y23" s="445" t="s">
        <v>93</v>
      </c>
      <c r="Z23" s="138"/>
      <c r="AA23" s="135"/>
      <c r="AB23" s="586"/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783</v>
      </c>
      <c r="C24" s="461" t="str">
        <f>$A$6</f>
        <v>DG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203.58</v>
      </c>
      <c r="N24" s="79"/>
      <c r="O24" s="128"/>
      <c r="P24" s="77" t="s">
        <v>7</v>
      </c>
      <c r="Q24" s="447"/>
      <c r="R24" s="137">
        <v>204</v>
      </c>
      <c r="S24" s="75" t="s">
        <v>7</v>
      </c>
      <c r="T24" s="81">
        <f t="shared" si="3"/>
        <v>0.41999999999998749</v>
      </c>
      <c r="U24" s="131"/>
      <c r="V24" s="131"/>
      <c r="W24" s="132"/>
      <c r="X24" s="133"/>
      <c r="Y24" s="557"/>
      <c r="Z24" s="228"/>
      <c r="AA24" s="228"/>
      <c r="AB24" s="587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442"/>
      <c r="J25" s="76" t="s">
        <v>6</v>
      </c>
      <c r="K25" s="136">
        <v>0.26</v>
      </c>
      <c r="L25" s="77" t="s">
        <v>7</v>
      </c>
      <c r="M25" s="78">
        <f t="shared" si="4"/>
        <v>0</v>
      </c>
      <c r="N25" s="79"/>
      <c r="O25" s="128"/>
      <c r="P25" s="77" t="s">
        <v>7</v>
      </c>
      <c r="Q25" s="444"/>
      <c r="R25" s="130"/>
      <c r="S25" s="75" t="s">
        <v>7</v>
      </c>
      <c r="T25" s="81">
        <f t="shared" si="3"/>
        <v>0</v>
      </c>
      <c r="U25" s="131"/>
      <c r="V25" s="131"/>
      <c r="W25" s="132"/>
      <c r="X25" s="133"/>
      <c r="Y25" s="446"/>
      <c r="Z25" s="228"/>
      <c r="AA25" s="228"/>
      <c r="AB25" s="588"/>
      <c r="AC25" s="178"/>
      <c r="AD25" s="179"/>
      <c r="AE25" s="179"/>
      <c r="AF25" s="179"/>
    </row>
    <row r="26" spans="1:32" s="55" customFormat="1" ht="69.95" customHeight="1" x14ac:dyDescent="0.15">
      <c r="A26" s="431" t="s">
        <v>195</v>
      </c>
      <c r="B26" s="191">
        <f t="shared" si="1"/>
        <v>596</v>
      </c>
      <c r="C26" s="465" t="str">
        <f t="shared" si="2"/>
        <v>DE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91">
        <f>$I$6</f>
        <v>783</v>
      </c>
      <c r="C27" s="465" t="str">
        <f>$A$6</f>
        <v>DG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91">
        <f>$I$7</f>
        <v>0</v>
      </c>
      <c r="C28" s="465">
        <f>$A$7</f>
        <v>0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353</v>
      </c>
      <c r="B29" s="239">
        <f t="shared" si="1"/>
        <v>596</v>
      </c>
      <c r="C29" s="456" t="str">
        <f t="shared" si="2"/>
        <v>DE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0.09</v>
      </c>
      <c r="L29" s="168" t="s">
        <v>7</v>
      </c>
      <c r="M29" s="242">
        <f t="shared" si="4"/>
        <v>53.64</v>
      </c>
      <c r="N29" s="243"/>
      <c r="O29" s="242"/>
      <c r="P29" s="244" t="s">
        <v>7</v>
      </c>
      <c r="Q29" s="376">
        <v>46207</v>
      </c>
      <c r="R29" s="242">
        <v>54</v>
      </c>
      <c r="S29" s="244" t="s">
        <v>7</v>
      </c>
      <c r="T29" s="245">
        <f t="shared" si="3"/>
        <v>0.35999999999999943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475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783</v>
      </c>
      <c r="C30" s="456" t="str">
        <f>$A$6</f>
        <v>DG</v>
      </c>
      <c r="D30" s="456"/>
      <c r="E30" s="456"/>
      <c r="F30" s="456"/>
      <c r="G30" s="456"/>
      <c r="H30" s="456"/>
      <c r="I30" s="564"/>
      <c r="J30" s="240" t="s">
        <v>6</v>
      </c>
      <c r="K30" s="241">
        <v>0.09</v>
      </c>
      <c r="L30" s="168" t="s">
        <v>7</v>
      </c>
      <c r="M30" s="242">
        <f t="shared" si="4"/>
        <v>70.47</v>
      </c>
      <c r="N30" s="243"/>
      <c r="O30" s="253"/>
      <c r="P30" s="168" t="s">
        <v>7</v>
      </c>
      <c r="Q30" s="377"/>
      <c r="R30" s="247">
        <v>70</v>
      </c>
      <c r="S30" s="255" t="s">
        <v>7</v>
      </c>
      <c r="T30" s="245">
        <f t="shared" si="3"/>
        <v>-0.46999999999999886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0</v>
      </c>
      <c r="C31" s="456">
        <f>$A$7</f>
        <v>0</v>
      </c>
      <c r="D31" s="456"/>
      <c r="E31" s="456"/>
      <c r="F31" s="456"/>
      <c r="G31" s="456"/>
      <c r="H31" s="456"/>
      <c r="I31" s="458"/>
      <c r="J31" s="240" t="s">
        <v>6</v>
      </c>
      <c r="K31" s="241">
        <v>0.09</v>
      </c>
      <c r="L31" s="168" t="s">
        <v>7</v>
      </c>
      <c r="M31" s="242">
        <f t="shared" si="4"/>
        <v>0</v>
      </c>
      <c r="N31" s="243"/>
      <c r="O31" s="253"/>
      <c r="P31" s="168" t="s">
        <v>7</v>
      </c>
      <c r="Q31" s="378"/>
      <c r="R31" s="247"/>
      <c r="S31" s="255" t="s">
        <v>7</v>
      </c>
      <c r="T31" s="245">
        <f t="shared" si="3"/>
        <v>0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354</v>
      </c>
      <c r="B32" s="239">
        <f>$I$5</f>
        <v>596</v>
      </c>
      <c r="C32" s="456" t="str">
        <f>$A$5</f>
        <v>DE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0.1</v>
      </c>
      <c r="L32" s="168" t="s">
        <v>7</v>
      </c>
      <c r="M32" s="242">
        <f>K32*B32</f>
        <v>59.6</v>
      </c>
      <c r="N32" s="243"/>
      <c r="O32" s="242"/>
      <c r="P32" s="244" t="s">
        <v>7</v>
      </c>
      <c r="Q32" s="376">
        <v>46207</v>
      </c>
      <c r="R32" s="242">
        <v>60</v>
      </c>
      <c r="S32" s="244" t="s">
        <v>9</v>
      </c>
      <c r="T32" s="245">
        <f t="shared" si="3"/>
        <v>0.39999999999999858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783</v>
      </c>
      <c r="C33" s="456" t="str">
        <f>$A$6</f>
        <v>DG</v>
      </c>
      <c r="D33" s="456"/>
      <c r="E33" s="456"/>
      <c r="F33" s="456"/>
      <c r="G33" s="456"/>
      <c r="H33" s="456"/>
      <c r="I33" s="564"/>
      <c r="J33" s="240" t="s">
        <v>6</v>
      </c>
      <c r="K33" s="241">
        <v>0.1</v>
      </c>
      <c r="L33" s="168" t="s">
        <v>7</v>
      </c>
      <c r="M33" s="242">
        <f>K33*B33</f>
        <v>78.300000000000011</v>
      </c>
      <c r="N33" s="243"/>
      <c r="O33" s="253"/>
      <c r="P33" s="168" t="s">
        <v>7</v>
      </c>
      <c r="Q33" s="377"/>
      <c r="R33" s="247">
        <v>78</v>
      </c>
      <c r="S33" s="255" t="s">
        <v>9</v>
      </c>
      <c r="T33" s="245">
        <f t="shared" si="3"/>
        <v>-0.30000000000001137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0</v>
      </c>
      <c r="C34" s="456">
        <f>$A$7</f>
        <v>0</v>
      </c>
      <c r="D34" s="456"/>
      <c r="E34" s="456"/>
      <c r="F34" s="456"/>
      <c r="G34" s="456"/>
      <c r="H34" s="456"/>
      <c r="I34" s="458"/>
      <c r="J34" s="240" t="s">
        <v>6</v>
      </c>
      <c r="K34" s="241">
        <v>0.1</v>
      </c>
      <c r="L34" s="168" t="s">
        <v>7</v>
      </c>
      <c r="M34" s="242">
        <f>K34*B34</f>
        <v>0</v>
      </c>
      <c r="N34" s="243"/>
      <c r="O34" s="253"/>
      <c r="P34" s="168" t="s">
        <v>7</v>
      </c>
      <c r="Q34" s="378"/>
      <c r="R34" s="247"/>
      <c r="S34" s="255" t="s">
        <v>9</v>
      </c>
      <c r="T34" s="245">
        <f t="shared" si="3"/>
        <v>0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596</v>
      </c>
      <c r="C35" s="465" t="str">
        <f>$A$5</f>
        <v>DE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783</v>
      </c>
      <c r="C36" s="465" t="str">
        <f>$A$6</f>
        <v>DG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0</v>
      </c>
      <c r="C37" s="465">
        <f>$A$7</f>
        <v>0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362</v>
      </c>
      <c r="B38" s="239">
        <f>$I$5</f>
        <v>596</v>
      </c>
      <c r="C38" s="456" t="str">
        <f>$A$5</f>
        <v>DE</v>
      </c>
      <c r="D38" s="456"/>
      <c r="E38" s="456"/>
      <c r="F38" s="456"/>
      <c r="G38" s="456"/>
      <c r="H38" s="456"/>
      <c r="I38" s="457" t="s">
        <v>76</v>
      </c>
      <c r="J38" s="240"/>
      <c r="K38" s="308">
        <v>2.4</v>
      </c>
      <c r="L38" s="168" t="s">
        <v>7</v>
      </c>
      <c r="M38" s="242">
        <f t="shared" ref="M38:M43" si="7">K38*B38/50</f>
        <v>28.607999999999997</v>
      </c>
      <c r="N38" s="243"/>
      <c r="O38" s="242"/>
      <c r="P38" s="244" t="s">
        <v>7</v>
      </c>
      <c r="Q38" s="376">
        <v>46207</v>
      </c>
      <c r="R38" s="78">
        <v>29</v>
      </c>
      <c r="S38" s="244" t="s">
        <v>9</v>
      </c>
      <c r="T38" s="245">
        <f t="shared" si="3"/>
        <v>0.39200000000000301</v>
      </c>
      <c r="U38" s="246"/>
      <c r="V38" s="247"/>
      <c r="W38" s="242"/>
      <c r="X38" s="242"/>
      <c r="Y38" s="459" t="s">
        <v>94</v>
      </c>
      <c r="Z38" s="260"/>
      <c r="AA38" s="249"/>
      <c r="AB38" s="586"/>
    </row>
    <row r="39" spans="1:32" s="261" customFormat="1" ht="69.95" customHeight="1" x14ac:dyDescent="0.15">
      <c r="A39" s="464"/>
      <c r="B39" s="239">
        <f>$I$6</f>
        <v>783</v>
      </c>
      <c r="C39" s="456" t="str">
        <f>$A$6</f>
        <v>DG</v>
      </c>
      <c r="D39" s="456"/>
      <c r="E39" s="456"/>
      <c r="F39" s="456"/>
      <c r="G39" s="456"/>
      <c r="H39" s="456"/>
      <c r="I39" s="564"/>
      <c r="J39" s="240"/>
      <c r="K39" s="308">
        <v>2.4</v>
      </c>
      <c r="L39" s="168" t="s">
        <v>7</v>
      </c>
      <c r="M39" s="242">
        <f t="shared" si="7"/>
        <v>37.583999999999996</v>
      </c>
      <c r="N39" s="243"/>
      <c r="O39" s="253"/>
      <c r="P39" s="168" t="s">
        <v>7</v>
      </c>
      <c r="Q39" s="377"/>
      <c r="R39" s="137">
        <v>38</v>
      </c>
      <c r="S39" s="255" t="s">
        <v>9</v>
      </c>
      <c r="T39" s="245">
        <f t="shared" si="3"/>
        <v>0.41600000000000392</v>
      </c>
      <c r="U39" s="256"/>
      <c r="V39" s="256"/>
      <c r="W39" s="257"/>
      <c r="X39" s="258"/>
      <c r="Y39" s="565"/>
      <c r="Z39" s="259"/>
      <c r="AA39" s="249"/>
      <c r="AB39" s="587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0</v>
      </c>
      <c r="C40" s="456">
        <f>$A$7</f>
        <v>0</v>
      </c>
      <c r="D40" s="456"/>
      <c r="E40" s="456"/>
      <c r="F40" s="456"/>
      <c r="G40" s="456"/>
      <c r="H40" s="456"/>
      <c r="I40" s="458"/>
      <c r="J40" s="240"/>
      <c r="K40" s="308">
        <v>2.4</v>
      </c>
      <c r="L40" s="168" t="s">
        <v>7</v>
      </c>
      <c r="M40" s="242">
        <f t="shared" si="7"/>
        <v>0</v>
      </c>
      <c r="N40" s="243"/>
      <c r="O40" s="253"/>
      <c r="P40" s="168" t="s">
        <v>7</v>
      </c>
      <c r="Q40" s="378"/>
      <c r="R40" s="247"/>
      <c r="S40" s="255" t="s">
        <v>9</v>
      </c>
      <c r="T40" s="245">
        <f t="shared" si="3"/>
        <v>0</v>
      </c>
      <c r="U40" s="256"/>
      <c r="V40" s="256"/>
      <c r="W40" s="257"/>
      <c r="X40" s="258"/>
      <c r="Y40" s="460"/>
      <c r="Z40" s="259"/>
      <c r="AA40" s="249"/>
      <c r="AB40" s="588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596</v>
      </c>
      <c r="C41" s="465" t="str">
        <f>$A$5</f>
        <v>DE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783</v>
      </c>
      <c r="C42" s="465" t="str">
        <f>$A$6</f>
        <v>DG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0</v>
      </c>
      <c r="C43" s="465">
        <f>$A$7</f>
        <v>0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596</v>
      </c>
      <c r="C44" s="456" t="str">
        <f>$A$5</f>
        <v>DE</v>
      </c>
      <c r="D44" s="456"/>
      <c r="E44" s="456"/>
      <c r="F44" s="456" t="str">
        <f>$A$5</f>
        <v>DE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30.992000000000001</v>
      </c>
      <c r="N44" s="243"/>
      <c r="O44" s="242"/>
      <c r="P44" s="244" t="s">
        <v>10</v>
      </c>
      <c r="Q44" s="443">
        <v>46207</v>
      </c>
      <c r="R44" s="242">
        <v>31</v>
      </c>
      <c r="S44" s="244" t="s">
        <v>10</v>
      </c>
      <c r="T44" s="245">
        <f t="shared" si="3"/>
        <v>7.9999999999991189E-3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485</v>
      </c>
    </row>
    <row r="45" spans="1:32" s="176" customFormat="1" ht="69.95" customHeight="1" x14ac:dyDescent="0.15">
      <c r="A45" s="559"/>
      <c r="B45" s="264">
        <f>$I$6</f>
        <v>783</v>
      </c>
      <c r="C45" s="413" t="str">
        <f>$A$6</f>
        <v>DG</v>
      </c>
      <c r="D45" s="414"/>
      <c r="E45" s="415"/>
      <c r="F45" s="413" t="str">
        <f>$A$6</f>
        <v>DG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40.716000000000001</v>
      </c>
      <c r="N45" s="267"/>
      <c r="O45" s="268"/>
      <c r="P45" s="266" t="s">
        <v>10</v>
      </c>
      <c r="Q45" s="447"/>
      <c r="R45" s="269">
        <v>41</v>
      </c>
      <c r="S45" s="252" t="s">
        <v>10</v>
      </c>
      <c r="T45" s="270">
        <f t="shared" si="3"/>
        <v>0.28399999999999892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0</v>
      </c>
      <c r="C46" s="456">
        <f>$A$7</f>
        <v>0</v>
      </c>
      <c r="D46" s="456"/>
      <c r="E46" s="456"/>
      <c r="F46" s="413">
        <f>$A$7</f>
        <v>0</v>
      </c>
      <c r="G46" s="414"/>
      <c r="H46" s="415"/>
      <c r="I46" s="458"/>
      <c r="J46" s="265"/>
      <c r="K46" s="263">
        <v>130</v>
      </c>
      <c r="L46" s="266" t="s">
        <v>61</v>
      </c>
      <c r="M46" s="242">
        <f t="shared" si="8"/>
        <v>0</v>
      </c>
      <c r="N46" s="267"/>
      <c r="O46" s="268"/>
      <c r="P46" s="266" t="s">
        <v>10</v>
      </c>
      <c r="Q46" s="447"/>
      <c r="R46" s="269"/>
      <c r="S46" s="252" t="s">
        <v>10</v>
      </c>
      <c r="T46" s="270">
        <f t="shared" si="3"/>
        <v>0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596</v>
      </c>
      <c r="C47" s="456" t="str">
        <f>$A$5</f>
        <v>DE</v>
      </c>
      <c r="D47" s="456"/>
      <c r="E47" s="456"/>
      <c r="F47" s="456" t="str">
        <f>$A$5</f>
        <v>DE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32.78</v>
      </c>
      <c r="N47" s="243"/>
      <c r="O47" s="242"/>
      <c r="P47" s="244" t="s">
        <v>10</v>
      </c>
      <c r="Q47" s="447"/>
      <c r="R47" s="242">
        <v>33</v>
      </c>
      <c r="S47" s="244" t="s">
        <v>10</v>
      </c>
      <c r="T47" s="245">
        <f t="shared" si="3"/>
        <v>0.21999999999999886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783</v>
      </c>
      <c r="C48" s="413" t="str">
        <f>$A$6</f>
        <v>DG</v>
      </c>
      <c r="D48" s="414"/>
      <c r="E48" s="415"/>
      <c r="F48" s="413" t="str">
        <f>$A$6</f>
        <v>DG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43.064999999999998</v>
      </c>
      <c r="N48" s="267"/>
      <c r="O48" s="268"/>
      <c r="P48" s="266" t="s">
        <v>10</v>
      </c>
      <c r="Q48" s="447"/>
      <c r="R48" s="269">
        <v>44</v>
      </c>
      <c r="S48" s="252" t="s">
        <v>10</v>
      </c>
      <c r="T48" s="270">
        <f t="shared" si="3"/>
        <v>0.93500000000000227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0</v>
      </c>
      <c r="C49" s="456">
        <f>$A$7</f>
        <v>0</v>
      </c>
      <c r="D49" s="456"/>
      <c r="E49" s="456"/>
      <c r="F49" s="413">
        <f>$A$7</f>
        <v>0</v>
      </c>
      <c r="G49" s="414"/>
      <c r="H49" s="415"/>
      <c r="I49" s="458"/>
      <c r="J49" s="265"/>
      <c r="K49" s="263">
        <v>220</v>
      </c>
      <c r="L49" s="266" t="s">
        <v>61</v>
      </c>
      <c r="M49" s="242">
        <f t="shared" si="9"/>
        <v>0</v>
      </c>
      <c r="N49" s="267"/>
      <c r="O49" s="268"/>
      <c r="P49" s="266" t="s">
        <v>10</v>
      </c>
      <c r="Q49" s="447"/>
      <c r="R49" s="269"/>
      <c r="S49" s="252" t="s">
        <v>10</v>
      </c>
      <c r="T49" s="270">
        <f t="shared" si="3"/>
        <v>0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363</v>
      </c>
      <c r="B50" s="182">
        <f>$I$5</f>
        <v>596</v>
      </c>
      <c r="C50" s="461" t="str">
        <f>$A$5</f>
        <v>DE</v>
      </c>
      <c r="D50" s="461"/>
      <c r="E50" s="461"/>
      <c r="F50" s="461" t="str">
        <f>$A$5</f>
        <v>DE</v>
      </c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9"/>
        <v>1.49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si="3"/>
        <v>0.51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783</v>
      </c>
      <c r="C51" s="395" t="str">
        <f>$A$6</f>
        <v>DG</v>
      </c>
      <c r="D51" s="396"/>
      <c r="E51" s="397"/>
      <c r="F51" s="395" t="str">
        <f>$A$6</f>
        <v>DG</v>
      </c>
      <c r="G51" s="396"/>
      <c r="H51" s="397"/>
      <c r="I51" s="563"/>
      <c r="J51" s="144"/>
      <c r="K51" s="139">
        <v>10</v>
      </c>
      <c r="L51" s="145" t="s">
        <v>61</v>
      </c>
      <c r="M51" s="78">
        <f t="shared" si="9"/>
        <v>1.9575</v>
      </c>
      <c r="N51" s="146"/>
      <c r="O51" s="147"/>
      <c r="P51" s="145" t="s">
        <v>10</v>
      </c>
      <c r="Q51" s="447"/>
      <c r="R51" s="161">
        <v>2</v>
      </c>
      <c r="S51" s="148" t="s">
        <v>10</v>
      </c>
      <c r="T51" s="84">
        <f t="shared" si="3"/>
        <v>4.2499999999999982E-2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 t="str">
        <f>$A$6</f>
        <v>DG</v>
      </c>
      <c r="G52" s="396"/>
      <c r="H52" s="397"/>
      <c r="I52" s="442"/>
      <c r="J52" s="144"/>
      <c r="K52" s="139">
        <v>10</v>
      </c>
      <c r="L52" s="145" t="s">
        <v>61</v>
      </c>
      <c r="M52" s="78">
        <f t="shared" si="9"/>
        <v>0</v>
      </c>
      <c r="N52" s="146"/>
      <c r="O52" s="147"/>
      <c r="P52" s="145" t="s">
        <v>10</v>
      </c>
      <c r="Q52" s="444"/>
      <c r="R52" s="161"/>
      <c r="S52" s="148" t="s">
        <v>10</v>
      </c>
      <c r="T52" s="84">
        <f t="shared" si="3"/>
        <v>0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434</v>
      </c>
      <c r="B53" s="182">
        <f t="shared" ref="B53" si="10">$I$5</f>
        <v>596</v>
      </c>
      <c r="C53" s="368" t="str">
        <f t="shared" ref="C53" si="11">$A$5</f>
        <v>DE</v>
      </c>
      <c r="D53" s="369"/>
      <c r="E53" s="370"/>
      <c r="F53" s="428" t="s">
        <v>435</v>
      </c>
      <c r="G53" s="369"/>
      <c r="H53" s="370"/>
      <c r="I53" s="441"/>
      <c r="J53" s="76"/>
      <c r="K53" s="139">
        <v>1</v>
      </c>
      <c r="L53" s="77" t="s">
        <v>63</v>
      </c>
      <c r="M53" s="78">
        <f t="shared" ref="M53:M73" si="12">K53*B53</f>
        <v>596</v>
      </c>
      <c r="N53" s="79"/>
      <c r="O53" s="78"/>
      <c r="P53" s="77" t="s">
        <v>65</v>
      </c>
      <c r="Q53" s="443"/>
      <c r="R53" s="78"/>
      <c r="S53" s="77" t="s">
        <v>65</v>
      </c>
      <c r="T53" s="84">
        <f t="shared" si="3"/>
        <v>-596</v>
      </c>
      <c r="U53" s="82"/>
      <c r="V53" s="82"/>
      <c r="W53" s="83"/>
      <c r="X53" s="81"/>
      <c r="Y53" s="445" t="s">
        <v>140</v>
      </c>
      <c r="Z53" s="86"/>
      <c r="AA53" s="85"/>
      <c r="AB53" s="360"/>
    </row>
    <row r="54" spans="1:32" s="206" customFormat="1" ht="69.95" customHeight="1" x14ac:dyDescent="0.15">
      <c r="A54" s="559"/>
      <c r="B54" s="186">
        <f>$I$6</f>
        <v>783</v>
      </c>
      <c r="C54" s="395" t="str">
        <f>$A$6</f>
        <v>DG</v>
      </c>
      <c r="D54" s="396"/>
      <c r="E54" s="397"/>
      <c r="F54" s="428" t="s">
        <v>436</v>
      </c>
      <c r="G54" s="369"/>
      <c r="H54" s="370"/>
      <c r="I54" s="563"/>
      <c r="J54" s="76"/>
      <c r="K54" s="139">
        <v>1</v>
      </c>
      <c r="L54" s="77" t="s">
        <v>63</v>
      </c>
      <c r="M54" s="78">
        <f t="shared" si="12"/>
        <v>783</v>
      </c>
      <c r="N54" s="140"/>
      <c r="O54" s="78"/>
      <c r="P54" s="77" t="s">
        <v>65</v>
      </c>
      <c r="Q54" s="447"/>
      <c r="R54" s="78"/>
      <c r="S54" s="77" t="s">
        <v>65</v>
      </c>
      <c r="T54" s="81">
        <f t="shared" si="3"/>
        <v>-783</v>
      </c>
      <c r="U54" s="82"/>
      <c r="V54" s="137"/>
      <c r="W54" s="78"/>
      <c r="X54" s="78"/>
      <c r="Y54" s="557"/>
      <c r="Z54" s="141"/>
      <c r="AA54" s="135"/>
      <c r="AB54" s="361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82">
        <f>$I$7</f>
        <v>0</v>
      </c>
      <c r="C55" s="461">
        <f>$A$7</f>
        <v>0</v>
      </c>
      <c r="D55" s="461"/>
      <c r="E55" s="461"/>
      <c r="F55" s="428"/>
      <c r="G55" s="369"/>
      <c r="H55" s="370"/>
      <c r="I55" s="442"/>
      <c r="J55" s="76"/>
      <c r="K55" s="139">
        <v>1</v>
      </c>
      <c r="L55" s="77" t="s">
        <v>63</v>
      </c>
      <c r="M55" s="78">
        <f t="shared" si="12"/>
        <v>0</v>
      </c>
      <c r="N55" s="140"/>
      <c r="O55" s="78"/>
      <c r="P55" s="77" t="s">
        <v>65</v>
      </c>
      <c r="Q55" s="444"/>
      <c r="R55" s="78"/>
      <c r="S55" s="77" t="s">
        <v>65</v>
      </c>
      <c r="T55" s="81">
        <f t="shared" si="3"/>
        <v>0</v>
      </c>
      <c r="U55" s="82"/>
      <c r="V55" s="137"/>
      <c r="W55" s="78"/>
      <c r="X55" s="78"/>
      <c r="Y55" s="446"/>
      <c r="Z55" s="141"/>
      <c r="AA55" s="135"/>
      <c r="AB55" s="362"/>
      <c r="AC55" s="234"/>
      <c r="AD55" s="230"/>
      <c r="AE55" s="230"/>
      <c r="AF55" s="230"/>
    </row>
    <row r="56" spans="1:32" s="55" customFormat="1" ht="69.95" customHeight="1" x14ac:dyDescent="0.15">
      <c r="A56" s="431" t="s">
        <v>100</v>
      </c>
      <c r="B56" s="182">
        <f t="shared" ref="B56:B62" si="13">$I$5</f>
        <v>596</v>
      </c>
      <c r="C56" s="368" t="str">
        <f t="shared" ref="C56:C62" si="14">$A$5</f>
        <v>DE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596</v>
      </c>
      <c r="N56" s="79"/>
      <c r="O56" s="78"/>
      <c r="P56" s="80" t="s">
        <v>63</v>
      </c>
      <c r="Q56" s="443">
        <v>46207</v>
      </c>
      <c r="R56" s="78">
        <v>596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485</v>
      </c>
    </row>
    <row r="57" spans="1:32" s="55" customFormat="1" ht="69.95" customHeight="1" x14ac:dyDescent="0.15">
      <c r="A57" s="559"/>
      <c r="B57" s="186">
        <f>$I$6</f>
        <v>783</v>
      </c>
      <c r="C57" s="395" t="str">
        <f>$A$6</f>
        <v>DG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783</v>
      </c>
      <c r="N57" s="140"/>
      <c r="O57" s="78"/>
      <c r="P57" s="80" t="s">
        <v>63</v>
      </c>
      <c r="Q57" s="447"/>
      <c r="R57" s="78">
        <v>783</v>
      </c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0</v>
      </c>
      <c r="C58" s="461">
        <f>$A$7</f>
        <v>0</v>
      </c>
      <c r="D58" s="461"/>
      <c r="E58" s="461"/>
      <c r="F58" s="428"/>
      <c r="G58" s="369"/>
      <c r="H58" s="370"/>
      <c r="I58" s="442"/>
      <c r="J58" s="76"/>
      <c r="K58" s="139">
        <v>1</v>
      </c>
      <c r="L58" s="77" t="s">
        <v>63</v>
      </c>
      <c r="M58" s="78">
        <f t="shared" si="12"/>
        <v>0</v>
      </c>
      <c r="N58" s="140"/>
      <c r="O58" s="78"/>
      <c r="P58" s="80" t="s">
        <v>63</v>
      </c>
      <c r="Q58" s="447"/>
      <c r="R58" s="78"/>
      <c r="S58" s="80" t="s">
        <v>63</v>
      </c>
      <c r="T58" s="81">
        <f t="shared" si="3"/>
        <v>0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103</v>
      </c>
      <c r="B59" s="182">
        <f t="shared" ref="B59" si="15">$I$5</f>
        <v>596</v>
      </c>
      <c r="C59" s="368" t="str">
        <f t="shared" ref="C59" si="16">$A$5</f>
        <v>DE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596</v>
      </c>
      <c r="N59" s="79"/>
      <c r="O59" s="78"/>
      <c r="P59" s="80" t="s">
        <v>65</v>
      </c>
      <c r="Q59" s="447"/>
      <c r="R59" s="78">
        <v>596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783</v>
      </c>
      <c r="C60" s="368" t="str">
        <f>$A$6</f>
        <v>DG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783</v>
      </c>
      <c r="N60" s="140"/>
      <c r="O60" s="78"/>
      <c r="P60" s="80" t="s">
        <v>65</v>
      </c>
      <c r="Q60" s="447"/>
      <c r="R60" s="78">
        <v>783</v>
      </c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0</v>
      </c>
      <c r="C61" s="368">
        <f>$A$7</f>
        <v>0</v>
      </c>
      <c r="D61" s="369"/>
      <c r="E61" s="370"/>
      <c r="F61" s="428"/>
      <c r="G61" s="429"/>
      <c r="H61" s="430"/>
      <c r="I61" s="75"/>
      <c r="J61" s="76"/>
      <c r="K61" s="139">
        <v>1</v>
      </c>
      <c r="L61" s="77" t="s">
        <v>65</v>
      </c>
      <c r="M61" s="78">
        <f t="shared" si="12"/>
        <v>0</v>
      </c>
      <c r="N61" s="140"/>
      <c r="O61" s="78"/>
      <c r="P61" s="80" t="s">
        <v>65</v>
      </c>
      <c r="Q61" s="444"/>
      <c r="R61" s="78"/>
      <c r="S61" s="80" t="s">
        <v>65</v>
      </c>
      <c r="T61" s="81">
        <f t="shared" si="3"/>
        <v>0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611" t="s">
        <v>417</v>
      </c>
      <c r="B62" s="191">
        <f t="shared" si="13"/>
        <v>596</v>
      </c>
      <c r="C62" s="422" t="str">
        <f t="shared" si="14"/>
        <v>DE</v>
      </c>
      <c r="D62" s="423"/>
      <c r="E62" s="424"/>
      <c r="F62" s="425"/>
      <c r="G62" s="426"/>
      <c r="H62" s="427"/>
      <c r="I62" s="433" t="s">
        <v>75</v>
      </c>
      <c r="J62" s="192"/>
      <c r="K62" s="193">
        <v>2</v>
      </c>
      <c r="L62" s="194" t="s">
        <v>63</v>
      </c>
      <c r="M62" s="195">
        <f t="shared" si="12"/>
        <v>1192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-1192</v>
      </c>
      <c r="U62" s="199"/>
      <c r="V62" s="199"/>
      <c r="W62" s="208"/>
      <c r="X62" s="198"/>
      <c r="Y62" s="437" t="s">
        <v>64</v>
      </c>
      <c r="Z62" s="231"/>
      <c r="AA62" s="232"/>
      <c r="AB62" s="360"/>
    </row>
    <row r="63" spans="1:32" s="55" customFormat="1" ht="69.95" customHeight="1" x14ac:dyDescent="0.15">
      <c r="A63" s="613"/>
      <c r="B63" s="204">
        <f>$I$6</f>
        <v>783</v>
      </c>
      <c r="C63" s="422" t="str">
        <f>$A$6</f>
        <v>DG</v>
      </c>
      <c r="D63" s="423"/>
      <c r="E63" s="424"/>
      <c r="F63" s="425"/>
      <c r="G63" s="426"/>
      <c r="H63" s="427"/>
      <c r="I63" s="560"/>
      <c r="J63" s="192"/>
      <c r="K63" s="193">
        <v>2</v>
      </c>
      <c r="L63" s="194" t="s">
        <v>63</v>
      </c>
      <c r="M63" s="195">
        <f t="shared" si="12"/>
        <v>1566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-1566</v>
      </c>
      <c r="U63" s="199"/>
      <c r="V63" s="200"/>
      <c r="W63" s="195"/>
      <c r="X63" s="195"/>
      <c r="Y63" s="562"/>
      <c r="Z63" s="201"/>
      <c r="AA63" s="202"/>
      <c r="AB63" s="361"/>
      <c r="AC63" s="142"/>
      <c r="AD63" s="179"/>
      <c r="AE63" s="179"/>
      <c r="AF63" s="179"/>
    </row>
    <row r="64" spans="1:32" s="55" customFormat="1" ht="69.95" customHeight="1" x14ac:dyDescent="0.15">
      <c r="A64" s="612"/>
      <c r="B64" s="191">
        <f>$I$7</f>
        <v>0</v>
      </c>
      <c r="C64" s="465">
        <f>$A$7</f>
        <v>0</v>
      </c>
      <c r="D64" s="465"/>
      <c r="E64" s="465"/>
      <c r="F64" s="425"/>
      <c r="G64" s="426"/>
      <c r="H64" s="427"/>
      <c r="I64" s="434"/>
      <c r="J64" s="192"/>
      <c r="K64" s="193">
        <v>2</v>
      </c>
      <c r="L64" s="194" t="s">
        <v>63</v>
      </c>
      <c r="M64" s="195">
        <f t="shared" si="12"/>
        <v>0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0</v>
      </c>
      <c r="U64" s="199"/>
      <c r="V64" s="200"/>
      <c r="W64" s="195"/>
      <c r="X64" s="195"/>
      <c r="Y64" s="438"/>
      <c r="Z64" s="201"/>
      <c r="AA64" s="202"/>
      <c r="AB64" s="362"/>
      <c r="AC64" s="142"/>
      <c r="AD64" s="179"/>
      <c r="AE64" s="179"/>
      <c r="AF64" s="179"/>
    </row>
    <row r="65" spans="1:32" s="55" customFormat="1" ht="69.95" customHeight="1" x14ac:dyDescent="0.15">
      <c r="A65" s="431" t="s">
        <v>364</v>
      </c>
      <c r="B65" s="182">
        <f t="shared" ref="B65" si="17">$I$5</f>
        <v>596</v>
      </c>
      <c r="C65" s="368" t="str">
        <f t="shared" ref="C65" si="18">$A$5</f>
        <v>DE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596</v>
      </c>
      <c r="N65" s="79"/>
      <c r="O65" s="78"/>
      <c r="P65" s="80" t="s">
        <v>63</v>
      </c>
      <c r="Q65" s="443"/>
      <c r="R65" s="78"/>
      <c r="S65" s="80" t="s">
        <v>63</v>
      </c>
      <c r="T65" s="84">
        <f t="shared" si="3"/>
        <v>-596</v>
      </c>
      <c r="U65" s="82"/>
      <c r="V65" s="82"/>
      <c r="W65" s="83"/>
      <c r="X65" s="81"/>
      <c r="Y65" s="445" t="s">
        <v>64</v>
      </c>
      <c r="Z65" s="86"/>
      <c r="AA65" s="85"/>
      <c r="AB65" s="586"/>
    </row>
    <row r="66" spans="1:32" s="55" customFormat="1" ht="69.95" customHeight="1" x14ac:dyDescent="0.15">
      <c r="A66" s="559"/>
      <c r="B66" s="186">
        <f>$I$6</f>
        <v>783</v>
      </c>
      <c r="C66" s="368" t="str">
        <f>$A$6</f>
        <v>DG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783</v>
      </c>
      <c r="N66" s="140"/>
      <c r="O66" s="78"/>
      <c r="P66" s="80" t="s">
        <v>63</v>
      </c>
      <c r="Q66" s="447"/>
      <c r="R66" s="78"/>
      <c r="S66" s="80" t="s">
        <v>63</v>
      </c>
      <c r="T66" s="81">
        <f t="shared" si="3"/>
        <v>-783</v>
      </c>
      <c r="U66" s="82"/>
      <c r="V66" s="137"/>
      <c r="W66" s="78"/>
      <c r="X66" s="78"/>
      <c r="Y66" s="557"/>
      <c r="Z66" s="141"/>
      <c r="AA66" s="135"/>
      <c r="AB66" s="587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0</v>
      </c>
      <c r="C67" s="456">
        <f>$A$7</f>
        <v>0</v>
      </c>
      <c r="D67" s="456"/>
      <c r="E67" s="456"/>
      <c r="F67" s="428"/>
      <c r="G67" s="429"/>
      <c r="H67" s="430"/>
      <c r="I67" s="442"/>
      <c r="J67" s="76"/>
      <c r="K67" s="139">
        <v>1</v>
      </c>
      <c r="L67" s="77" t="s">
        <v>63</v>
      </c>
      <c r="M67" s="78">
        <f t="shared" si="12"/>
        <v>0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0</v>
      </c>
      <c r="U67" s="82"/>
      <c r="V67" s="137"/>
      <c r="W67" s="78"/>
      <c r="X67" s="78"/>
      <c r="Y67" s="446"/>
      <c r="Z67" s="141"/>
      <c r="AA67" s="135"/>
      <c r="AB67" s="588"/>
      <c r="AC67" s="142"/>
      <c r="AD67" s="179"/>
      <c r="AE67" s="179"/>
      <c r="AF67" s="179"/>
    </row>
    <row r="68" spans="1:32" s="55" customFormat="1" ht="69.95" customHeight="1" x14ac:dyDescent="0.15">
      <c r="A68" s="611" t="s">
        <v>365</v>
      </c>
      <c r="B68" s="191">
        <f t="shared" ref="B68" si="19">$I$5</f>
        <v>596</v>
      </c>
      <c r="C68" s="422" t="str">
        <f t="shared" ref="C68" si="20">$A$5</f>
        <v>DE</v>
      </c>
      <c r="D68" s="423"/>
      <c r="E68" s="424"/>
      <c r="F68" s="425"/>
      <c r="G68" s="426"/>
      <c r="H68" s="427"/>
      <c r="I68" s="433" t="s">
        <v>102</v>
      </c>
      <c r="J68" s="192"/>
      <c r="K68" s="209">
        <v>0.56000000000000005</v>
      </c>
      <c r="L68" s="194" t="s">
        <v>129</v>
      </c>
      <c r="M68" s="195">
        <f t="shared" si="12"/>
        <v>333.76000000000005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3"/>
        <v>-333.76000000000005</v>
      </c>
      <c r="U68" s="199"/>
      <c r="V68" s="199"/>
      <c r="W68" s="208"/>
      <c r="X68" s="198"/>
      <c r="Y68" s="437" t="s">
        <v>130</v>
      </c>
      <c r="Z68" s="231"/>
      <c r="AA68" s="232"/>
      <c r="AB68" s="360"/>
    </row>
    <row r="69" spans="1:32" s="55" customFormat="1" ht="69.95" customHeight="1" x14ac:dyDescent="0.15">
      <c r="A69" s="613"/>
      <c r="B69" s="204">
        <f>$I$6</f>
        <v>783</v>
      </c>
      <c r="C69" s="422" t="str">
        <f>$A$6</f>
        <v>DG</v>
      </c>
      <c r="D69" s="423"/>
      <c r="E69" s="424"/>
      <c r="F69" s="425"/>
      <c r="G69" s="426"/>
      <c r="H69" s="427"/>
      <c r="I69" s="560"/>
      <c r="J69" s="192"/>
      <c r="K69" s="209">
        <v>0.56000000000000005</v>
      </c>
      <c r="L69" s="194" t="s">
        <v>129</v>
      </c>
      <c r="M69" s="195">
        <f t="shared" si="12"/>
        <v>438.48</v>
      </c>
      <c r="N69" s="233"/>
      <c r="O69" s="195"/>
      <c r="P69" s="197" t="s">
        <v>63</v>
      </c>
      <c r="Q69" s="561"/>
      <c r="R69" s="195"/>
      <c r="S69" s="197" t="s">
        <v>63</v>
      </c>
      <c r="T69" s="198">
        <f t="shared" si="3"/>
        <v>-438.48</v>
      </c>
      <c r="U69" s="199"/>
      <c r="V69" s="200"/>
      <c r="W69" s="195"/>
      <c r="X69" s="195"/>
      <c r="Y69" s="562"/>
      <c r="Z69" s="201"/>
      <c r="AA69" s="202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612"/>
      <c r="B70" s="191">
        <f>$I$7</f>
        <v>0</v>
      </c>
      <c r="C70" s="465">
        <f>$A$7</f>
        <v>0</v>
      </c>
      <c r="D70" s="465"/>
      <c r="E70" s="465"/>
      <c r="F70" s="425"/>
      <c r="G70" s="426"/>
      <c r="H70" s="427"/>
      <c r="I70" s="434"/>
      <c r="J70" s="192"/>
      <c r="K70" s="209"/>
      <c r="L70" s="194" t="s">
        <v>129</v>
      </c>
      <c r="M70" s="195">
        <f t="shared" si="12"/>
        <v>0</v>
      </c>
      <c r="N70" s="233"/>
      <c r="O70" s="195"/>
      <c r="P70" s="197" t="s">
        <v>63</v>
      </c>
      <c r="Q70" s="436"/>
      <c r="R70" s="195"/>
      <c r="S70" s="197" t="s">
        <v>63</v>
      </c>
      <c r="T70" s="198">
        <f t="shared" si="3"/>
        <v>0</v>
      </c>
      <c r="U70" s="199"/>
      <c r="V70" s="200"/>
      <c r="W70" s="195"/>
      <c r="X70" s="195"/>
      <c r="Y70" s="438"/>
      <c r="Z70" s="201"/>
      <c r="AA70" s="202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611" t="s">
        <v>418</v>
      </c>
      <c r="B71" s="191">
        <f t="shared" ref="B71" si="21">$I$5</f>
        <v>596</v>
      </c>
      <c r="C71" s="422" t="str">
        <f t="shared" ref="C71" si="22">$A$5</f>
        <v>DE</v>
      </c>
      <c r="D71" s="423"/>
      <c r="E71" s="424"/>
      <c r="F71" s="425"/>
      <c r="G71" s="426"/>
      <c r="H71" s="427"/>
      <c r="I71" s="433" t="s">
        <v>367</v>
      </c>
      <c r="J71" s="192"/>
      <c r="K71" s="209">
        <v>0.4</v>
      </c>
      <c r="L71" s="194" t="s">
        <v>129</v>
      </c>
      <c r="M71" s="195">
        <f t="shared" si="12"/>
        <v>238.4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-238.4</v>
      </c>
      <c r="U71" s="199"/>
      <c r="V71" s="199"/>
      <c r="W71" s="208"/>
      <c r="X71" s="198"/>
      <c r="Y71" s="437" t="s">
        <v>130</v>
      </c>
      <c r="Z71" s="231"/>
      <c r="AA71" s="232"/>
      <c r="AB71" s="360"/>
    </row>
    <row r="72" spans="1:32" s="55" customFormat="1" ht="69.95" customHeight="1" x14ac:dyDescent="0.15">
      <c r="A72" s="613"/>
      <c r="B72" s="204">
        <f>$I$6</f>
        <v>783</v>
      </c>
      <c r="C72" s="422" t="str">
        <f>$A$6</f>
        <v>DG</v>
      </c>
      <c r="D72" s="423"/>
      <c r="E72" s="424"/>
      <c r="F72" s="425"/>
      <c r="G72" s="426"/>
      <c r="H72" s="427"/>
      <c r="I72" s="560"/>
      <c r="J72" s="192"/>
      <c r="K72" s="209">
        <v>0.4</v>
      </c>
      <c r="L72" s="194" t="s">
        <v>129</v>
      </c>
      <c r="M72" s="195">
        <f t="shared" si="12"/>
        <v>313.20000000000005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-313.20000000000005</v>
      </c>
      <c r="U72" s="199"/>
      <c r="V72" s="200"/>
      <c r="W72" s="195"/>
      <c r="X72" s="195"/>
      <c r="Y72" s="562"/>
      <c r="Z72" s="201"/>
      <c r="AA72" s="202"/>
      <c r="AB72" s="361"/>
      <c r="AC72" s="142"/>
      <c r="AD72" s="179"/>
      <c r="AE72" s="179"/>
      <c r="AF72" s="179"/>
    </row>
    <row r="73" spans="1:32" s="55" customFormat="1" ht="69.95" customHeight="1" x14ac:dyDescent="0.15">
      <c r="A73" s="612"/>
      <c r="B73" s="191">
        <f>$I$7</f>
        <v>0</v>
      </c>
      <c r="C73" s="465">
        <f>$A$7</f>
        <v>0</v>
      </c>
      <c r="D73" s="465"/>
      <c r="E73" s="465"/>
      <c r="F73" s="425"/>
      <c r="G73" s="426"/>
      <c r="H73" s="427"/>
      <c r="I73" s="434"/>
      <c r="J73" s="192"/>
      <c r="K73" s="209">
        <v>0.4</v>
      </c>
      <c r="L73" s="194" t="s">
        <v>129</v>
      </c>
      <c r="M73" s="195">
        <f t="shared" si="12"/>
        <v>0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0</v>
      </c>
      <c r="U73" s="199"/>
      <c r="V73" s="200"/>
      <c r="W73" s="195"/>
      <c r="X73" s="195"/>
      <c r="Y73" s="438"/>
      <c r="Z73" s="201"/>
      <c r="AA73" s="202"/>
      <c r="AB73" s="362"/>
      <c r="AC73" s="142"/>
      <c r="AD73" s="179"/>
      <c r="AE73" s="179"/>
      <c r="AF73" s="179"/>
    </row>
    <row r="74" spans="1:32" s="206" customFormat="1" ht="69.95" customHeight="1" x14ac:dyDescent="0.15">
      <c r="A74" s="431" t="s">
        <v>437</v>
      </c>
      <c r="B74" s="182">
        <f t="shared" ref="B74" si="23">$I$5</f>
        <v>596</v>
      </c>
      <c r="C74" s="368" t="str">
        <f t="shared" ref="C74" si="24">$A$5</f>
        <v>DE</v>
      </c>
      <c r="D74" s="369"/>
      <c r="E74" s="370"/>
      <c r="F74" s="428"/>
      <c r="G74" s="429"/>
      <c r="H74" s="430"/>
      <c r="I74" s="441" t="s">
        <v>372</v>
      </c>
      <c r="J74" s="76"/>
      <c r="K74" s="136">
        <v>0.48</v>
      </c>
      <c r="L74" s="77" t="s">
        <v>63</v>
      </c>
      <c r="M74" s="78">
        <f t="shared" si="4"/>
        <v>286.08</v>
      </c>
      <c r="N74" s="79"/>
      <c r="O74" s="78"/>
      <c r="P74" s="80" t="s">
        <v>63</v>
      </c>
      <c r="Q74" s="443">
        <v>46207</v>
      </c>
      <c r="R74" s="78">
        <v>300</v>
      </c>
      <c r="S74" s="80" t="s">
        <v>63</v>
      </c>
      <c r="T74" s="84">
        <f t="shared" si="3"/>
        <v>13.920000000000016</v>
      </c>
      <c r="U74" s="82"/>
      <c r="V74" s="82"/>
      <c r="W74" s="83"/>
      <c r="X74" s="81"/>
      <c r="Y74" s="445" t="s">
        <v>130</v>
      </c>
      <c r="Z74" s="86"/>
      <c r="AA74" s="85"/>
      <c r="AB74" s="360" t="s">
        <v>469</v>
      </c>
    </row>
    <row r="75" spans="1:32" s="206" customFormat="1" ht="69.95" customHeight="1" x14ac:dyDescent="0.15">
      <c r="A75" s="559"/>
      <c r="B75" s="186">
        <f>$I$6</f>
        <v>783</v>
      </c>
      <c r="C75" s="368" t="str">
        <f>$A$6</f>
        <v>DG</v>
      </c>
      <c r="D75" s="369"/>
      <c r="E75" s="370"/>
      <c r="F75" s="428"/>
      <c r="G75" s="429"/>
      <c r="H75" s="430"/>
      <c r="I75" s="563"/>
      <c r="J75" s="76"/>
      <c r="K75" s="136">
        <v>0.48</v>
      </c>
      <c r="L75" s="77" t="s">
        <v>63</v>
      </c>
      <c r="M75" s="78">
        <f t="shared" si="4"/>
        <v>375.84</v>
      </c>
      <c r="N75" s="140"/>
      <c r="O75" s="78"/>
      <c r="P75" s="80" t="s">
        <v>63</v>
      </c>
      <c r="Q75" s="447"/>
      <c r="R75" s="78">
        <v>400</v>
      </c>
      <c r="S75" s="80" t="s">
        <v>63</v>
      </c>
      <c r="T75" s="81">
        <f t="shared" si="3"/>
        <v>24.160000000000025</v>
      </c>
      <c r="U75" s="82"/>
      <c r="V75" s="137"/>
      <c r="W75" s="78"/>
      <c r="X75" s="78"/>
      <c r="Y75" s="557"/>
      <c r="Z75" s="141"/>
      <c r="AA75" s="135"/>
      <c r="AB75" s="361"/>
      <c r="AC75" s="234"/>
      <c r="AD75" s="230"/>
      <c r="AE75" s="230"/>
      <c r="AF75" s="230"/>
    </row>
    <row r="76" spans="1:32" s="206" customFormat="1" ht="69.95" customHeight="1" x14ac:dyDescent="0.15">
      <c r="A76" s="432"/>
      <c r="B76" s="182">
        <f>$I$7</f>
        <v>0</v>
      </c>
      <c r="C76" s="461">
        <f>$A$7</f>
        <v>0</v>
      </c>
      <c r="D76" s="461"/>
      <c r="E76" s="461"/>
      <c r="F76" s="428"/>
      <c r="G76" s="429"/>
      <c r="H76" s="430"/>
      <c r="I76" s="442"/>
      <c r="J76" s="76"/>
      <c r="K76" s="136">
        <v>0.48</v>
      </c>
      <c r="L76" s="77" t="s">
        <v>63</v>
      </c>
      <c r="M76" s="78">
        <f t="shared" si="4"/>
        <v>0</v>
      </c>
      <c r="N76" s="140"/>
      <c r="O76" s="78"/>
      <c r="P76" s="80" t="s">
        <v>63</v>
      </c>
      <c r="Q76" s="444"/>
      <c r="R76" s="78"/>
      <c r="S76" s="80" t="s">
        <v>63</v>
      </c>
      <c r="T76" s="81">
        <f t="shared" si="3"/>
        <v>0</v>
      </c>
      <c r="U76" s="82"/>
      <c r="V76" s="137"/>
      <c r="W76" s="78"/>
      <c r="X76" s="78"/>
      <c r="Y76" s="446"/>
      <c r="Z76" s="141"/>
      <c r="AA76" s="135"/>
      <c r="AB76" s="362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609</v>
      </c>
      <c r="C77" s="407" t="e">
        <f>#REF!</f>
        <v>#REF!</v>
      </c>
      <c r="D77" s="408"/>
      <c r="E77" s="409"/>
      <c r="F77" s="371"/>
      <c r="G77" s="372"/>
      <c r="H77" s="373"/>
      <c r="I77" s="614" t="s">
        <v>358</v>
      </c>
      <c r="J77" s="255"/>
      <c r="K77" s="263">
        <v>1</v>
      </c>
      <c r="L77" s="168" t="s">
        <v>63</v>
      </c>
      <c r="M77" s="169">
        <f t="shared" si="4"/>
        <v>609</v>
      </c>
      <c r="N77" s="171"/>
      <c r="O77" s="277"/>
      <c r="P77" s="169" t="s">
        <v>63</v>
      </c>
      <c r="Q77" s="376">
        <v>46221</v>
      </c>
      <c r="R77" s="277">
        <v>609</v>
      </c>
      <c r="S77" s="169" t="s">
        <v>63</v>
      </c>
      <c r="T77" s="278">
        <f t="shared" si="3"/>
        <v>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485</v>
      </c>
    </row>
    <row r="78" spans="1:32" s="176" customFormat="1" ht="54.95" customHeight="1" x14ac:dyDescent="0.15">
      <c r="A78" s="387"/>
      <c r="B78" s="164">
        <f>D11</f>
        <v>600</v>
      </c>
      <c r="C78" s="410"/>
      <c r="D78" s="411"/>
      <c r="E78" s="412"/>
      <c r="F78" s="371"/>
      <c r="G78" s="372"/>
      <c r="H78" s="373"/>
      <c r="I78" s="615"/>
      <c r="J78" s="255"/>
      <c r="K78" s="167">
        <v>1</v>
      </c>
      <c r="L78" s="168" t="s">
        <v>63</v>
      </c>
      <c r="M78" s="169">
        <f t="shared" si="4"/>
        <v>600</v>
      </c>
      <c r="N78" s="171"/>
      <c r="O78" s="277"/>
      <c r="P78" s="169" t="s">
        <v>63</v>
      </c>
      <c r="Q78" s="377"/>
      <c r="R78" s="277">
        <v>600</v>
      </c>
      <c r="S78" s="169" t="s">
        <v>63</v>
      </c>
      <c r="T78" s="278">
        <f t="shared" si="3"/>
        <v>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170</v>
      </c>
      <c r="C79" s="410"/>
      <c r="D79" s="411"/>
      <c r="E79" s="412"/>
      <c r="F79" s="371"/>
      <c r="G79" s="372"/>
      <c r="H79" s="373"/>
      <c r="I79" s="615"/>
      <c r="J79" s="255"/>
      <c r="K79" s="167">
        <v>1</v>
      </c>
      <c r="L79" s="168" t="s">
        <v>63</v>
      </c>
      <c r="M79" s="169">
        <f t="shared" si="4"/>
        <v>170</v>
      </c>
      <c r="N79" s="171"/>
      <c r="O79" s="277"/>
      <c r="P79" s="169" t="s">
        <v>63</v>
      </c>
      <c r="Q79" s="377"/>
      <c r="R79" s="277">
        <v>170</v>
      </c>
      <c r="S79" s="169" t="s">
        <v>63</v>
      </c>
      <c r="T79" s="278">
        <f t="shared" si="3"/>
        <v>0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/>
      <c r="G80" s="372"/>
      <c r="H80" s="373"/>
      <c r="I80" s="615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/>
      <c r="G81" s="372"/>
      <c r="H81" s="373"/>
      <c r="I81" s="61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419</v>
      </c>
      <c r="B82" s="164">
        <f>C5+C8</f>
        <v>266</v>
      </c>
      <c r="C82" s="456" t="str">
        <f>A5</f>
        <v>DE</v>
      </c>
      <c r="D82" s="456"/>
      <c r="E82" s="456"/>
      <c r="F82" s="371"/>
      <c r="G82" s="372"/>
      <c r="H82" s="373"/>
      <c r="I82" s="614"/>
      <c r="J82" s="276"/>
      <c r="K82" s="167">
        <v>1</v>
      </c>
      <c r="L82" s="168" t="s">
        <v>63</v>
      </c>
      <c r="M82" s="169">
        <f t="shared" si="4"/>
        <v>266</v>
      </c>
      <c r="N82" s="171"/>
      <c r="O82" s="277"/>
      <c r="P82" s="169" t="s">
        <v>63</v>
      </c>
      <c r="Q82" s="376">
        <v>46221</v>
      </c>
      <c r="R82" s="277">
        <v>266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485</v>
      </c>
    </row>
    <row r="83" spans="1:28" s="176" customFormat="1" ht="54.95" customHeight="1" x14ac:dyDescent="0.15">
      <c r="A83" s="387"/>
      <c r="B83" s="164">
        <f>D5+D8</f>
        <v>260</v>
      </c>
      <c r="C83" s="456"/>
      <c r="D83" s="456"/>
      <c r="E83" s="456"/>
      <c r="F83" s="371"/>
      <c r="G83" s="372"/>
      <c r="H83" s="373"/>
      <c r="I83" s="615"/>
      <c r="J83" s="276"/>
      <c r="K83" s="167">
        <v>1</v>
      </c>
      <c r="L83" s="168" t="s">
        <v>63</v>
      </c>
      <c r="M83" s="169">
        <f t="shared" si="4"/>
        <v>260</v>
      </c>
      <c r="N83" s="171"/>
      <c r="O83" s="277"/>
      <c r="P83" s="169" t="s">
        <v>63</v>
      </c>
      <c r="Q83" s="377"/>
      <c r="R83" s="277">
        <v>260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70</v>
      </c>
      <c r="C84" s="456"/>
      <c r="D84" s="456"/>
      <c r="E84" s="456"/>
      <c r="F84" s="371"/>
      <c r="G84" s="372"/>
      <c r="H84" s="373"/>
      <c r="I84" s="615"/>
      <c r="J84" s="276"/>
      <c r="K84" s="167">
        <v>1</v>
      </c>
      <c r="L84" s="168" t="s">
        <v>63</v>
      </c>
      <c r="M84" s="169">
        <f t="shared" si="4"/>
        <v>70</v>
      </c>
      <c r="N84" s="171"/>
      <c r="O84" s="277"/>
      <c r="P84" s="169" t="s">
        <v>63</v>
      </c>
      <c r="Q84" s="377"/>
      <c r="R84" s="277">
        <v>70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343</v>
      </c>
      <c r="C85" s="456" t="str">
        <f>A6</f>
        <v>DG</v>
      </c>
      <c r="D85" s="456"/>
      <c r="E85" s="456"/>
      <c r="F85" s="371"/>
      <c r="G85" s="372"/>
      <c r="H85" s="373"/>
      <c r="I85" s="615"/>
      <c r="J85" s="276"/>
      <c r="K85" s="167">
        <v>1</v>
      </c>
      <c r="L85" s="168" t="s">
        <v>63</v>
      </c>
      <c r="M85" s="169">
        <f t="shared" si="4"/>
        <v>343</v>
      </c>
      <c r="N85" s="171"/>
      <c r="O85" s="277"/>
      <c r="P85" s="169" t="s">
        <v>63</v>
      </c>
      <c r="Q85" s="377"/>
      <c r="R85" s="168">
        <v>343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340</v>
      </c>
      <c r="C86" s="456"/>
      <c r="D86" s="456"/>
      <c r="E86" s="456"/>
      <c r="F86" s="371"/>
      <c r="G86" s="372"/>
      <c r="H86" s="373"/>
      <c r="I86" s="615"/>
      <c r="J86" s="276"/>
      <c r="K86" s="167">
        <v>1</v>
      </c>
      <c r="L86" s="168" t="s">
        <v>63</v>
      </c>
      <c r="M86" s="169">
        <f t="shared" ref="M86:M106" si="25">K86*B86</f>
        <v>340</v>
      </c>
      <c r="N86" s="171"/>
      <c r="O86" s="277"/>
      <c r="P86" s="169" t="s">
        <v>63</v>
      </c>
      <c r="Q86" s="377"/>
      <c r="R86" s="168">
        <v>340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100</v>
      </c>
      <c r="C87" s="456"/>
      <c r="D87" s="456"/>
      <c r="E87" s="456"/>
      <c r="F87" s="371"/>
      <c r="G87" s="372"/>
      <c r="H87" s="373"/>
      <c r="I87" s="615"/>
      <c r="J87" s="276"/>
      <c r="K87" s="167">
        <v>1</v>
      </c>
      <c r="L87" s="168" t="s">
        <v>63</v>
      </c>
      <c r="M87" s="169">
        <f t="shared" si="25"/>
        <v>100</v>
      </c>
      <c r="N87" s="171"/>
      <c r="O87" s="277"/>
      <c r="P87" s="169" t="s">
        <v>63</v>
      </c>
      <c r="Q87" s="377"/>
      <c r="R87" s="277">
        <v>100</v>
      </c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0</v>
      </c>
      <c r="C88" s="456">
        <f>A7</f>
        <v>0</v>
      </c>
      <c r="D88" s="456"/>
      <c r="E88" s="456"/>
      <c r="F88" s="371"/>
      <c r="G88" s="372"/>
      <c r="H88" s="373"/>
      <c r="I88" s="615"/>
      <c r="J88" s="276"/>
      <c r="K88" s="167">
        <v>1</v>
      </c>
      <c r="L88" s="168" t="s">
        <v>63</v>
      </c>
      <c r="M88" s="169">
        <f t="shared" si="25"/>
        <v>0</v>
      </c>
      <c r="N88" s="171"/>
      <c r="O88" s="277"/>
      <c r="P88" s="169" t="s">
        <v>63</v>
      </c>
      <c r="Q88" s="377"/>
      <c r="R88" s="277"/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0</v>
      </c>
      <c r="C89" s="456"/>
      <c r="D89" s="456"/>
      <c r="E89" s="456"/>
      <c r="F89" s="371"/>
      <c r="G89" s="372"/>
      <c r="H89" s="373"/>
      <c r="I89" s="615"/>
      <c r="J89" s="276"/>
      <c r="K89" s="167">
        <v>1</v>
      </c>
      <c r="L89" s="168" t="s">
        <v>63</v>
      </c>
      <c r="M89" s="169">
        <f t="shared" si="25"/>
        <v>0</v>
      </c>
      <c r="N89" s="171"/>
      <c r="O89" s="277"/>
      <c r="P89" s="169" t="s">
        <v>63</v>
      </c>
      <c r="Q89" s="377"/>
      <c r="R89" s="277"/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0</v>
      </c>
      <c r="C90" s="456"/>
      <c r="D90" s="456"/>
      <c r="E90" s="456"/>
      <c r="F90" s="371"/>
      <c r="G90" s="372"/>
      <c r="H90" s="373"/>
      <c r="I90" s="616"/>
      <c r="J90" s="276"/>
      <c r="K90" s="167">
        <v>1</v>
      </c>
      <c r="L90" s="168" t="s">
        <v>63</v>
      </c>
      <c r="M90" s="169">
        <f t="shared" si="25"/>
        <v>0</v>
      </c>
      <c r="N90" s="171"/>
      <c r="O90" s="277"/>
      <c r="P90" s="169" t="s">
        <v>63</v>
      </c>
      <c r="Q90" s="378"/>
      <c r="R90" s="168"/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266</v>
      </c>
      <c r="C91" s="456" t="str">
        <f>A5</f>
        <v>DE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266</v>
      </c>
      <c r="N91" s="171"/>
      <c r="O91" s="277"/>
      <c r="P91" s="169" t="s">
        <v>63</v>
      </c>
      <c r="Q91" s="376"/>
      <c r="R91" s="277"/>
      <c r="S91" s="169" t="s">
        <v>63</v>
      </c>
      <c r="T91" s="278">
        <f t="shared" si="3"/>
        <v>-266</v>
      </c>
      <c r="U91" s="281"/>
      <c r="V91" s="282"/>
      <c r="W91" s="278"/>
      <c r="X91" s="278"/>
      <c r="Y91" s="374" t="s">
        <v>67</v>
      </c>
      <c r="Z91" s="374"/>
      <c r="AA91" s="374"/>
      <c r="AB91" s="404"/>
    </row>
    <row r="92" spans="1:28" s="176" customFormat="1" ht="54.95" customHeight="1" x14ac:dyDescent="0.15">
      <c r="A92" s="387"/>
      <c r="B92" s="164">
        <f>D5</f>
        <v>260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260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 t="shared" si="3"/>
        <v>-260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70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70</v>
      </c>
      <c r="N93" s="171"/>
      <c r="O93" s="277"/>
      <c r="P93" s="169" t="s">
        <v>63</v>
      </c>
      <c r="Q93" s="377"/>
      <c r="R93" s="277"/>
      <c r="S93" s="169" t="s">
        <v>63</v>
      </c>
      <c r="T93" s="278">
        <f t="shared" si="3"/>
        <v>-70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343</v>
      </c>
      <c r="C94" s="456" t="str">
        <f>A6</f>
        <v>DG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343</v>
      </c>
      <c r="N94" s="171"/>
      <c r="O94" s="277"/>
      <c r="P94" s="169" t="s">
        <v>63</v>
      </c>
      <c r="Q94" s="377"/>
      <c r="R94" s="168"/>
      <c r="S94" s="169" t="s">
        <v>63</v>
      </c>
      <c r="T94" s="278">
        <f t="shared" si="3"/>
        <v>-343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340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340</v>
      </c>
      <c r="N95" s="171"/>
      <c r="O95" s="277"/>
      <c r="P95" s="169" t="s">
        <v>63</v>
      </c>
      <c r="Q95" s="377"/>
      <c r="R95" s="168"/>
      <c r="S95" s="169" t="s">
        <v>63</v>
      </c>
      <c r="T95" s="278">
        <f t="shared" si="3"/>
        <v>-340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100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100</v>
      </c>
      <c r="N96" s="171"/>
      <c r="O96" s="277"/>
      <c r="P96" s="169" t="s">
        <v>63</v>
      </c>
      <c r="Q96" s="377"/>
      <c r="R96" s="277"/>
      <c r="S96" s="169" t="s">
        <v>63</v>
      </c>
      <c r="T96" s="278">
        <f t="shared" si="3"/>
        <v>-100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0</v>
      </c>
      <c r="C97" s="456">
        <f>A7</f>
        <v>0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0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0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0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609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609</v>
      </c>
      <c r="N100" s="89"/>
      <c r="O100" s="153"/>
      <c r="P100" s="88" t="s">
        <v>63</v>
      </c>
      <c r="Q100" s="398">
        <v>46221</v>
      </c>
      <c r="R100" s="93">
        <v>609</v>
      </c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485</v>
      </c>
    </row>
    <row r="101" spans="1:28" s="55" customFormat="1" ht="54.95" customHeight="1" x14ac:dyDescent="0.15">
      <c r="A101" s="387"/>
      <c r="B101" s="87">
        <f>D11</f>
        <v>600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600</v>
      </c>
      <c r="N101" s="89"/>
      <c r="O101" s="153"/>
      <c r="P101" s="88" t="s">
        <v>63</v>
      </c>
      <c r="Q101" s="399"/>
      <c r="R101" s="93">
        <v>600</v>
      </c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170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170</v>
      </c>
      <c r="N102" s="89"/>
      <c r="O102" s="153"/>
      <c r="P102" s="88" t="s">
        <v>63</v>
      </c>
      <c r="Q102" s="399"/>
      <c r="R102" s="93">
        <v>170</v>
      </c>
      <c r="S102" s="88" t="s">
        <v>63</v>
      </c>
      <c r="T102" s="154">
        <f t="shared" si="3"/>
        <v>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1379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1379</v>
      </c>
      <c r="N104" s="170"/>
      <c r="O104" s="170"/>
      <c r="P104" s="169" t="s">
        <v>63</v>
      </c>
      <c r="Q104" s="363">
        <v>46221</v>
      </c>
      <c r="R104" s="165">
        <v>1379</v>
      </c>
      <c r="S104" s="169" t="s">
        <v>63</v>
      </c>
      <c r="T104" s="154">
        <f t="shared" si="3"/>
        <v>0</v>
      </c>
      <c r="U104" s="170"/>
      <c r="V104" s="172"/>
      <c r="W104" s="172"/>
      <c r="X104" s="172"/>
      <c r="Y104" s="374" t="s">
        <v>72</v>
      </c>
      <c r="Z104" s="380"/>
      <c r="AA104" s="383"/>
      <c r="AB104" s="586" t="s">
        <v>485</v>
      </c>
    </row>
    <row r="105" spans="1:28" s="55" customFormat="1" ht="54.95" customHeight="1" x14ac:dyDescent="0.15">
      <c r="A105" s="163" t="s">
        <v>81</v>
      </c>
      <c r="B105" s="87">
        <f>I11</f>
        <v>1379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1379</v>
      </c>
      <c r="N105" s="91"/>
      <c r="O105" s="91"/>
      <c r="P105" s="169" t="s">
        <v>63</v>
      </c>
      <c r="Q105" s="365"/>
      <c r="R105" s="165">
        <v>1379</v>
      </c>
      <c r="S105" s="169" t="s">
        <v>63</v>
      </c>
      <c r="T105" s="154">
        <f t="shared" si="3"/>
        <v>0</v>
      </c>
      <c r="U105" s="91"/>
      <c r="V105" s="91"/>
      <c r="W105" s="91"/>
      <c r="X105" s="91"/>
      <c r="Y105" s="375"/>
      <c r="Z105" s="381"/>
      <c r="AA105" s="384"/>
      <c r="AB105" s="587"/>
    </row>
    <row r="106" spans="1:28" s="55" customFormat="1" ht="54.95" customHeight="1" x14ac:dyDescent="0.15">
      <c r="A106" s="284" t="s">
        <v>160</v>
      </c>
      <c r="B106" s="87">
        <f>I11</f>
        <v>1379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1379</v>
      </c>
      <c r="N106" s="91"/>
      <c r="O106" s="91"/>
      <c r="P106" s="89" t="s">
        <v>63</v>
      </c>
      <c r="Q106" s="306">
        <v>46207</v>
      </c>
      <c r="R106" s="93">
        <v>1379</v>
      </c>
      <c r="S106" s="89" t="s">
        <v>63</v>
      </c>
      <c r="T106" s="154">
        <f t="shared" si="3"/>
        <v>0</v>
      </c>
      <c r="U106" s="91"/>
      <c r="V106" s="91"/>
      <c r="W106" s="91"/>
      <c r="X106" s="91"/>
      <c r="Y106" s="379"/>
      <c r="Z106" s="382"/>
      <c r="AA106" s="385"/>
      <c r="AB106" s="588"/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5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5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11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11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"/>
      <c r="AC118" s="1"/>
    </row>
  </sheetData>
  <mergeCells count="373">
    <mergeCell ref="Q104:Q105"/>
    <mergeCell ref="B108:C108"/>
    <mergeCell ref="F108:H108"/>
    <mergeCell ref="I53:I55"/>
    <mergeCell ref="AB104:AB106"/>
    <mergeCell ref="C105:E105"/>
    <mergeCell ref="F105:H105"/>
    <mergeCell ref="C106:E106"/>
    <mergeCell ref="F106:H106"/>
    <mergeCell ref="B107:C107"/>
    <mergeCell ref="C104:E104"/>
    <mergeCell ref="F104:H104"/>
    <mergeCell ref="Y104:Y106"/>
    <mergeCell ref="Z104:Z106"/>
    <mergeCell ref="AA104:AA106"/>
    <mergeCell ref="Z100:Z103"/>
    <mergeCell ref="AA100:AA103"/>
    <mergeCell ref="AB100:AB103"/>
    <mergeCell ref="F101:H101"/>
    <mergeCell ref="F102:H102"/>
    <mergeCell ref="F103:H103"/>
    <mergeCell ref="AA96:AA99"/>
    <mergeCell ref="C97:E99"/>
    <mergeCell ref="F97:H97"/>
    <mergeCell ref="F98:H98"/>
    <mergeCell ref="F99:H99"/>
    <mergeCell ref="A100:A103"/>
    <mergeCell ref="C100:E103"/>
    <mergeCell ref="F100:H100"/>
    <mergeCell ref="Q100:Q103"/>
    <mergeCell ref="Y100:Y103"/>
    <mergeCell ref="AA91:AA95"/>
    <mergeCell ref="AB91:AB99"/>
    <mergeCell ref="F92:H92"/>
    <mergeCell ref="F93:H93"/>
    <mergeCell ref="C94:E96"/>
    <mergeCell ref="F94:H94"/>
    <mergeCell ref="F95:H95"/>
    <mergeCell ref="F96:H96"/>
    <mergeCell ref="Y96:Y99"/>
    <mergeCell ref="Z96:Z99"/>
    <mergeCell ref="A91:A99"/>
    <mergeCell ref="C91:E93"/>
    <mergeCell ref="F91:H91"/>
    <mergeCell ref="Q91:Q99"/>
    <mergeCell ref="Y91:Y95"/>
    <mergeCell ref="Z91:Z95"/>
    <mergeCell ref="Z82:Z90"/>
    <mergeCell ref="AA82:AA90"/>
    <mergeCell ref="AB82:AB90"/>
    <mergeCell ref="F83:H83"/>
    <mergeCell ref="F84:H84"/>
    <mergeCell ref="C85:E87"/>
    <mergeCell ref="F85:H85"/>
    <mergeCell ref="F86:H86"/>
    <mergeCell ref="F87:H87"/>
    <mergeCell ref="C88:E90"/>
    <mergeCell ref="A82:A90"/>
    <mergeCell ref="C82:E84"/>
    <mergeCell ref="F82:H82"/>
    <mergeCell ref="I82:I90"/>
    <mergeCell ref="Q82:Q90"/>
    <mergeCell ref="Y82:Y90"/>
    <mergeCell ref="F88:H88"/>
    <mergeCell ref="F89:H89"/>
    <mergeCell ref="F90:H90"/>
    <mergeCell ref="Y77:Y81"/>
    <mergeCell ref="Z77:Z81"/>
    <mergeCell ref="AA77:AA81"/>
    <mergeCell ref="AB77:AB81"/>
    <mergeCell ref="F78:H78"/>
    <mergeCell ref="F79:H79"/>
    <mergeCell ref="F80:H80"/>
    <mergeCell ref="F81:H81"/>
    <mergeCell ref="AB74:AB76"/>
    <mergeCell ref="Y74:Y76"/>
    <mergeCell ref="C75:E75"/>
    <mergeCell ref="F75:H75"/>
    <mergeCell ref="C76:E76"/>
    <mergeCell ref="F76:H76"/>
    <mergeCell ref="A77:A81"/>
    <mergeCell ref="C77:E81"/>
    <mergeCell ref="F77:H77"/>
    <mergeCell ref="I77:I81"/>
    <mergeCell ref="Q77:Q81"/>
    <mergeCell ref="A74:A76"/>
    <mergeCell ref="C74:E74"/>
    <mergeCell ref="F74:H74"/>
    <mergeCell ref="I74:I76"/>
    <mergeCell ref="Q74:Q76"/>
    <mergeCell ref="Y71:Y73"/>
    <mergeCell ref="AB71:AB73"/>
    <mergeCell ref="C72:E72"/>
    <mergeCell ref="F72:H72"/>
    <mergeCell ref="C73:E73"/>
    <mergeCell ref="F73:H73"/>
    <mergeCell ref="AB68:AB70"/>
    <mergeCell ref="C69:E69"/>
    <mergeCell ref="F69:H69"/>
    <mergeCell ref="C70:E70"/>
    <mergeCell ref="F70:H70"/>
    <mergeCell ref="Y68:Y70"/>
    <mergeCell ref="A71:A73"/>
    <mergeCell ref="C71:E71"/>
    <mergeCell ref="F71:H71"/>
    <mergeCell ref="I71:I73"/>
    <mergeCell ref="Q71:Q73"/>
    <mergeCell ref="A68:A70"/>
    <mergeCell ref="C68:E68"/>
    <mergeCell ref="F68:H68"/>
    <mergeCell ref="I68:I70"/>
    <mergeCell ref="Q68:Q70"/>
    <mergeCell ref="Y65:Y67"/>
    <mergeCell ref="AB65:AB67"/>
    <mergeCell ref="C66:E66"/>
    <mergeCell ref="F66:H66"/>
    <mergeCell ref="C67:E67"/>
    <mergeCell ref="F67:H67"/>
    <mergeCell ref="AB62:AB64"/>
    <mergeCell ref="C63:E63"/>
    <mergeCell ref="F63:H63"/>
    <mergeCell ref="C64:E64"/>
    <mergeCell ref="F64:H64"/>
    <mergeCell ref="Y62:Y64"/>
    <mergeCell ref="A65:A67"/>
    <mergeCell ref="C65:E65"/>
    <mergeCell ref="F65:H65"/>
    <mergeCell ref="I65:I67"/>
    <mergeCell ref="Q65:Q67"/>
    <mergeCell ref="A62:A64"/>
    <mergeCell ref="C62:E62"/>
    <mergeCell ref="F62:H62"/>
    <mergeCell ref="I62:I64"/>
    <mergeCell ref="Q62:Q64"/>
    <mergeCell ref="A59:A61"/>
    <mergeCell ref="C59:E59"/>
    <mergeCell ref="F59:H59"/>
    <mergeCell ref="Y59:Y61"/>
    <mergeCell ref="C60:E60"/>
    <mergeCell ref="F60:H60"/>
    <mergeCell ref="C61:E61"/>
    <mergeCell ref="F61:H61"/>
    <mergeCell ref="Y56:Y58"/>
    <mergeCell ref="A56:A58"/>
    <mergeCell ref="AB56:AB61"/>
    <mergeCell ref="C57:E57"/>
    <mergeCell ref="F57:H57"/>
    <mergeCell ref="C58:E58"/>
    <mergeCell ref="F58:H58"/>
    <mergeCell ref="AB53:AB55"/>
    <mergeCell ref="C54:E54"/>
    <mergeCell ref="F54:H54"/>
    <mergeCell ref="C55:E55"/>
    <mergeCell ref="F55:H55"/>
    <mergeCell ref="C56:E56"/>
    <mergeCell ref="F56:H56"/>
    <mergeCell ref="I56:I58"/>
    <mergeCell ref="Q56:Q61"/>
    <mergeCell ref="A53:A55"/>
    <mergeCell ref="C53:E53"/>
    <mergeCell ref="F53:H53"/>
    <mergeCell ref="Q53:Q55"/>
    <mergeCell ref="Y53:Y55"/>
    <mergeCell ref="Q44:Q52"/>
    <mergeCell ref="Y44:Y46"/>
    <mergeCell ref="A47:A49"/>
    <mergeCell ref="Y47:Y49"/>
    <mergeCell ref="C48:E48"/>
    <mergeCell ref="F48:H48"/>
    <mergeCell ref="C49:E49"/>
    <mergeCell ref="F49:H49"/>
    <mergeCell ref="A50:A52"/>
    <mergeCell ref="C50:E50"/>
    <mergeCell ref="F50:H50"/>
    <mergeCell ref="I50:I52"/>
    <mergeCell ref="Y50:Y52"/>
    <mergeCell ref="C51:E51"/>
    <mergeCell ref="A44:A46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I47:I49"/>
    <mergeCell ref="F51:H51"/>
    <mergeCell ref="AC51:AF51"/>
    <mergeCell ref="C52:E52"/>
    <mergeCell ref="F52:H52"/>
    <mergeCell ref="AC52:AF52"/>
    <mergeCell ref="AC48:AF48"/>
    <mergeCell ref="AC49:AF49"/>
    <mergeCell ref="C44:E44"/>
    <mergeCell ref="F44:H44"/>
    <mergeCell ref="I44:I46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Q21:Q22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B15:AB17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I15:I17"/>
    <mergeCell ref="Q15:Q17"/>
    <mergeCell ref="Y15:Y17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  <mergeCell ref="B3:F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EC1-94F0-46DA-A1F9-5F620DED9A17}">
  <sheetPr>
    <pageSetUpPr fitToPage="1"/>
  </sheetPr>
  <dimension ref="A1:AF118"/>
  <sheetViews>
    <sheetView tabSelected="1" view="pageBreakPreview" topLeftCell="A101" zoomScale="75" zoomScaleNormal="100" zoomScaleSheetLayoutView="75" workbookViewId="0">
      <selection activeCell="R125" sqref="R125"/>
    </sheetView>
  </sheetViews>
  <sheetFormatPr defaultRowHeight="13.5" x14ac:dyDescent="0.15"/>
  <cols>
    <col min="1" max="1" width="18.21875" style="286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33203125" style="35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26" t="s">
        <v>12</v>
      </c>
      <c r="B2" s="547" t="s">
        <v>438</v>
      </c>
      <c r="C2" s="548"/>
      <c r="D2" s="548"/>
      <c r="E2" s="548"/>
      <c r="F2" s="548"/>
      <c r="G2" s="549"/>
      <c r="H2" s="180" t="s">
        <v>1</v>
      </c>
      <c r="I2" s="550">
        <f>I11</f>
        <v>1966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28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7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27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295</v>
      </c>
      <c r="B5" s="480"/>
      <c r="C5" s="182">
        <v>260</v>
      </c>
      <c r="D5" s="182">
        <v>270</v>
      </c>
      <c r="E5" s="182">
        <v>84</v>
      </c>
      <c r="F5" s="182"/>
      <c r="G5" s="182"/>
      <c r="H5" s="542" t="s">
        <v>24</v>
      </c>
      <c r="I5" s="524">
        <f t="shared" ref="I5:I11" si="0">SUM(C5:G5)</f>
        <v>614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301</v>
      </c>
      <c r="B6" s="523"/>
      <c r="C6" s="182">
        <v>260</v>
      </c>
      <c r="D6" s="182">
        <v>280</v>
      </c>
      <c r="E6" s="182">
        <v>85</v>
      </c>
      <c r="F6" s="182"/>
      <c r="G6" s="182"/>
      <c r="H6" s="537"/>
      <c r="I6" s="524">
        <f t="shared" si="0"/>
        <v>625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 t="s">
        <v>232</v>
      </c>
      <c r="B7" s="531"/>
      <c r="C7" s="183">
        <v>300</v>
      </c>
      <c r="D7" s="183">
        <v>320</v>
      </c>
      <c r="E7" s="183">
        <v>107</v>
      </c>
      <c r="F7" s="183"/>
      <c r="G7" s="183"/>
      <c r="H7" s="532"/>
      <c r="I7" s="532">
        <f t="shared" si="0"/>
        <v>727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4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46195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4"/>
      <c r="N9" s="24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4"/>
      <c r="N10" s="24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820</v>
      </c>
      <c r="D11" s="181">
        <f>SUM(D5:D10)</f>
        <v>870</v>
      </c>
      <c r="E11" s="181">
        <f>SUM(E5:E10)</f>
        <v>276</v>
      </c>
      <c r="F11" s="181">
        <f>SUM(F5:F10)</f>
        <v>0</v>
      </c>
      <c r="G11" s="181">
        <f>SUM(G5:G10)</f>
        <v>0</v>
      </c>
      <c r="H11" s="182"/>
      <c r="I11" s="481">
        <f t="shared" si="0"/>
        <v>1966</v>
      </c>
      <c r="J11" s="481"/>
      <c r="K11" s="37"/>
      <c r="L11" s="37"/>
      <c r="M11" s="38"/>
      <c r="N11" s="39"/>
      <c r="O11" s="39"/>
      <c r="P11" s="39"/>
      <c r="Q11" s="357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46311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836.4</v>
      </c>
      <c r="D12" s="43">
        <f>D11*1.02</f>
        <v>887.4</v>
      </c>
      <c r="E12" s="43">
        <f>E11*1.02</f>
        <v>281.52</v>
      </c>
      <c r="F12" s="43">
        <f>F11*1.02</f>
        <v>0</v>
      </c>
      <c r="G12" s="43">
        <f>G11*1.02</f>
        <v>0</v>
      </c>
      <c r="H12" s="44"/>
      <c r="I12" s="486">
        <f>I11*1.02</f>
        <v>2005.32</v>
      </c>
      <c r="J12" s="486"/>
      <c r="K12" s="45"/>
      <c r="L12" s="46"/>
      <c r="M12" s="47"/>
      <c r="N12" s="48"/>
      <c r="O12" s="48"/>
      <c r="P12" s="44"/>
      <c r="Q12" s="47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2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3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154</v>
      </c>
      <c r="B15" s="185">
        <f t="shared" ref="B15:B29" si="1">$I$5</f>
        <v>614</v>
      </c>
      <c r="C15" s="474" t="str">
        <f t="shared" ref="C15:C29" si="2">$A$5</f>
        <v>DE</v>
      </c>
      <c r="D15" s="475"/>
      <c r="E15" s="476"/>
      <c r="F15" s="474"/>
      <c r="G15" s="475"/>
      <c r="H15" s="476"/>
      <c r="I15" s="477" t="s">
        <v>133</v>
      </c>
      <c r="J15" s="65" t="s">
        <v>6</v>
      </c>
      <c r="K15" s="66">
        <v>1.23</v>
      </c>
      <c r="L15" s="67" t="s">
        <v>7</v>
      </c>
      <c r="M15" s="68">
        <f>K15*B15</f>
        <v>755.22</v>
      </c>
      <c r="N15" s="69"/>
      <c r="O15" s="70"/>
      <c r="P15" s="67" t="s">
        <v>7</v>
      </c>
      <c r="Q15" s="478">
        <v>46200</v>
      </c>
      <c r="R15" s="293">
        <v>756</v>
      </c>
      <c r="S15" s="71" t="s">
        <v>7</v>
      </c>
      <c r="T15" s="123">
        <f t="shared" ref="T15:T106" si="3">R15-M15</f>
        <v>0.77999999999997272</v>
      </c>
      <c r="U15" s="72"/>
      <c r="V15" s="72"/>
      <c r="W15" s="73"/>
      <c r="X15" s="74"/>
      <c r="Y15" s="479" t="s">
        <v>412</v>
      </c>
      <c r="Z15" s="63"/>
      <c r="AA15" s="64"/>
      <c r="AB15" s="360" t="s">
        <v>467</v>
      </c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625</v>
      </c>
      <c r="C16" s="368" t="str">
        <f>$A$6</f>
        <v>BR</v>
      </c>
      <c r="D16" s="369"/>
      <c r="E16" s="370"/>
      <c r="F16" s="368"/>
      <c r="G16" s="369"/>
      <c r="H16" s="370"/>
      <c r="I16" s="563"/>
      <c r="J16" s="76" t="s">
        <v>6</v>
      </c>
      <c r="K16" s="83">
        <v>1.23</v>
      </c>
      <c r="L16" s="77" t="s">
        <v>7</v>
      </c>
      <c r="M16" s="78">
        <f t="shared" ref="M16:M85" si="4">K16*B16</f>
        <v>768.75</v>
      </c>
      <c r="N16" s="79"/>
      <c r="O16" s="128"/>
      <c r="P16" s="77" t="s">
        <v>7</v>
      </c>
      <c r="Q16" s="447"/>
      <c r="R16" s="137">
        <v>769</v>
      </c>
      <c r="S16" s="75" t="s">
        <v>7</v>
      </c>
      <c r="T16" s="81">
        <f t="shared" si="3"/>
        <v>0.25</v>
      </c>
      <c r="U16" s="131"/>
      <c r="V16" s="131"/>
      <c r="W16" s="132"/>
      <c r="X16" s="133"/>
      <c r="Y16" s="557"/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727</v>
      </c>
      <c r="C17" s="368" t="str">
        <f>$A$7</f>
        <v>DG</v>
      </c>
      <c r="D17" s="369"/>
      <c r="E17" s="370"/>
      <c r="F17" s="368"/>
      <c r="G17" s="369"/>
      <c r="H17" s="370"/>
      <c r="I17" s="442"/>
      <c r="J17" s="76" t="s">
        <v>6</v>
      </c>
      <c r="K17" s="83">
        <v>1.23</v>
      </c>
      <c r="L17" s="77" t="s">
        <v>7</v>
      </c>
      <c r="M17" s="78">
        <f t="shared" si="4"/>
        <v>894.21</v>
      </c>
      <c r="N17" s="79"/>
      <c r="O17" s="128"/>
      <c r="P17" s="77" t="s">
        <v>7</v>
      </c>
      <c r="Q17" s="444"/>
      <c r="R17" s="137">
        <v>895</v>
      </c>
      <c r="S17" s="75" t="s">
        <v>7</v>
      </c>
      <c r="T17" s="81">
        <f t="shared" si="3"/>
        <v>0.78999999999996362</v>
      </c>
      <c r="U17" s="131"/>
      <c r="V17" s="131"/>
      <c r="W17" s="132"/>
      <c r="X17" s="133"/>
      <c r="Y17" s="446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si="1"/>
        <v>614</v>
      </c>
      <c r="C18" s="461" t="str">
        <f t="shared" si="2"/>
        <v>DE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4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3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625</v>
      </c>
      <c r="C19" s="461" t="str">
        <f>$A$6</f>
        <v>BR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4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3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206" customFormat="1" ht="69.95" customHeight="1" x14ac:dyDescent="0.15">
      <c r="A20" s="431" t="s">
        <v>433</v>
      </c>
      <c r="B20" s="182">
        <f t="shared" ref="B20" si="5">$I$5</f>
        <v>614</v>
      </c>
      <c r="C20" s="461" t="str">
        <f t="shared" ref="C20" si="6">$A$5</f>
        <v>DE</v>
      </c>
      <c r="D20" s="461"/>
      <c r="E20" s="461"/>
      <c r="F20" s="461"/>
      <c r="G20" s="461"/>
      <c r="H20" s="461"/>
      <c r="I20" s="441" t="s">
        <v>440</v>
      </c>
      <c r="J20" s="76" t="s">
        <v>6</v>
      </c>
      <c r="K20" s="136">
        <v>0.08</v>
      </c>
      <c r="L20" s="77" t="s">
        <v>7</v>
      </c>
      <c r="M20" s="78">
        <f t="shared" si="4"/>
        <v>49.120000000000005</v>
      </c>
      <c r="N20" s="79"/>
      <c r="O20" s="78"/>
      <c r="P20" s="80" t="s">
        <v>7</v>
      </c>
      <c r="Q20" s="129">
        <v>46207</v>
      </c>
      <c r="R20" s="78">
        <v>59</v>
      </c>
      <c r="S20" s="80" t="s">
        <v>7</v>
      </c>
      <c r="T20" s="81">
        <f t="shared" si="3"/>
        <v>9.8799999999999955</v>
      </c>
      <c r="U20" s="82"/>
      <c r="V20" s="137"/>
      <c r="W20" s="78"/>
      <c r="X20" s="78"/>
      <c r="Y20" s="445" t="s">
        <v>93</v>
      </c>
      <c r="Z20" s="138"/>
      <c r="AA20" s="135"/>
      <c r="AB20" s="607" t="s">
        <v>484</v>
      </c>
      <c r="AC20" s="229"/>
      <c r="AD20" s="230"/>
      <c r="AE20" s="230"/>
      <c r="AF20" s="230"/>
    </row>
    <row r="21" spans="1:32" s="206" customFormat="1" ht="69.95" customHeight="1" x14ac:dyDescent="0.15">
      <c r="A21" s="559"/>
      <c r="B21" s="182">
        <f>$I$6</f>
        <v>625</v>
      </c>
      <c r="C21" s="461" t="str">
        <f>$A$6</f>
        <v>BR</v>
      </c>
      <c r="D21" s="461"/>
      <c r="E21" s="461"/>
      <c r="F21" s="461"/>
      <c r="G21" s="461"/>
      <c r="H21" s="461"/>
      <c r="I21" s="563"/>
      <c r="J21" s="76" t="s">
        <v>6</v>
      </c>
      <c r="K21" s="136">
        <v>0.08</v>
      </c>
      <c r="L21" s="77" t="s">
        <v>7</v>
      </c>
      <c r="M21" s="78">
        <f t="shared" si="4"/>
        <v>50</v>
      </c>
      <c r="N21" s="79"/>
      <c r="O21" s="128"/>
      <c r="P21" s="77" t="s">
        <v>7</v>
      </c>
      <c r="Q21" s="443">
        <v>46221</v>
      </c>
      <c r="R21" s="630">
        <v>50</v>
      </c>
      <c r="S21" s="75" t="s">
        <v>7</v>
      </c>
      <c r="T21" s="81">
        <f t="shared" si="3"/>
        <v>0</v>
      </c>
      <c r="U21" s="131"/>
      <c r="V21" s="131"/>
      <c r="W21" s="132"/>
      <c r="X21" s="133"/>
      <c r="Y21" s="557"/>
      <c r="Z21" s="134"/>
      <c r="AA21" s="135"/>
      <c r="AB21" s="626"/>
      <c r="AC21" s="229"/>
      <c r="AD21" s="230"/>
      <c r="AE21" s="230"/>
      <c r="AF21" s="230"/>
    </row>
    <row r="22" spans="1:32" s="206" customFormat="1" ht="69.95" customHeight="1" x14ac:dyDescent="0.15">
      <c r="A22" s="432"/>
      <c r="B22" s="182">
        <f>$I$7</f>
        <v>727</v>
      </c>
      <c r="C22" s="461" t="str">
        <f>$A$7</f>
        <v>DG</v>
      </c>
      <c r="D22" s="461"/>
      <c r="E22" s="461"/>
      <c r="F22" s="461"/>
      <c r="G22" s="461"/>
      <c r="H22" s="461"/>
      <c r="I22" s="442"/>
      <c r="J22" s="76" t="s">
        <v>6</v>
      </c>
      <c r="K22" s="136">
        <v>0.08</v>
      </c>
      <c r="L22" s="77" t="s">
        <v>7</v>
      </c>
      <c r="M22" s="78">
        <f t="shared" si="4"/>
        <v>58.160000000000004</v>
      </c>
      <c r="N22" s="79"/>
      <c r="O22" s="128"/>
      <c r="P22" s="77" t="s">
        <v>7</v>
      </c>
      <c r="Q22" s="444"/>
      <c r="R22" s="310">
        <v>50</v>
      </c>
      <c r="S22" s="75" t="s">
        <v>7</v>
      </c>
      <c r="T22" s="81">
        <f t="shared" si="3"/>
        <v>-8.1600000000000037</v>
      </c>
      <c r="U22" s="131"/>
      <c r="V22" s="131"/>
      <c r="W22" s="132"/>
      <c r="X22" s="133"/>
      <c r="Y22" s="446"/>
      <c r="Z22" s="134"/>
      <c r="AA22" s="135"/>
      <c r="AB22" s="608"/>
      <c r="AC22" s="229"/>
      <c r="AD22" s="230"/>
      <c r="AE22" s="230"/>
      <c r="AF22" s="230"/>
    </row>
    <row r="23" spans="1:32" s="55" customFormat="1" ht="69.95" customHeight="1" x14ac:dyDescent="0.15">
      <c r="A23" s="431" t="s">
        <v>361</v>
      </c>
      <c r="B23" s="182">
        <f t="shared" si="1"/>
        <v>614</v>
      </c>
      <c r="C23" s="461" t="str">
        <f t="shared" si="2"/>
        <v>DE</v>
      </c>
      <c r="D23" s="461"/>
      <c r="E23" s="461"/>
      <c r="F23" s="461"/>
      <c r="G23" s="461"/>
      <c r="H23" s="461"/>
      <c r="I23" s="441" t="s">
        <v>8</v>
      </c>
      <c r="J23" s="76" t="s">
        <v>6</v>
      </c>
      <c r="K23" s="136">
        <v>0.26</v>
      </c>
      <c r="L23" s="77" t="s">
        <v>7</v>
      </c>
      <c r="M23" s="78">
        <f t="shared" si="4"/>
        <v>159.64000000000001</v>
      </c>
      <c r="N23" s="79"/>
      <c r="O23" s="78"/>
      <c r="P23" s="80" t="s">
        <v>7</v>
      </c>
      <c r="Q23" s="443">
        <v>46207</v>
      </c>
      <c r="R23" s="78">
        <v>160</v>
      </c>
      <c r="S23" s="80" t="s">
        <v>7</v>
      </c>
      <c r="T23" s="81">
        <f t="shared" si="3"/>
        <v>0.35999999999998522</v>
      </c>
      <c r="U23" s="82"/>
      <c r="V23" s="137"/>
      <c r="W23" s="78"/>
      <c r="X23" s="78"/>
      <c r="Y23" s="445" t="s">
        <v>93</v>
      </c>
      <c r="Z23" s="138"/>
      <c r="AA23" s="135"/>
      <c r="AB23" s="586" t="s">
        <v>484</v>
      </c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625</v>
      </c>
      <c r="C24" s="461" t="str">
        <f>$A$6</f>
        <v>BR</v>
      </c>
      <c r="D24" s="461"/>
      <c r="E24" s="461"/>
      <c r="F24" s="461"/>
      <c r="G24" s="461"/>
      <c r="H24" s="461"/>
      <c r="I24" s="563"/>
      <c r="J24" s="76" t="s">
        <v>6</v>
      </c>
      <c r="K24" s="136">
        <v>0.26</v>
      </c>
      <c r="L24" s="77" t="s">
        <v>7</v>
      </c>
      <c r="M24" s="78">
        <f t="shared" si="4"/>
        <v>162.5</v>
      </c>
      <c r="N24" s="79"/>
      <c r="O24" s="128"/>
      <c r="P24" s="77" t="s">
        <v>7</v>
      </c>
      <c r="Q24" s="447"/>
      <c r="R24" s="137">
        <v>163</v>
      </c>
      <c r="S24" s="75" t="s">
        <v>7</v>
      </c>
      <c r="T24" s="81">
        <f t="shared" si="3"/>
        <v>0.5</v>
      </c>
      <c r="U24" s="131"/>
      <c r="V24" s="131"/>
      <c r="W24" s="132"/>
      <c r="X24" s="133"/>
      <c r="Y24" s="557"/>
      <c r="Z24" s="228"/>
      <c r="AA24" s="228"/>
      <c r="AB24" s="587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727</v>
      </c>
      <c r="C25" s="461" t="str">
        <f>$A$7</f>
        <v>DG</v>
      </c>
      <c r="D25" s="461"/>
      <c r="E25" s="461"/>
      <c r="F25" s="461"/>
      <c r="G25" s="461"/>
      <c r="H25" s="461"/>
      <c r="I25" s="442"/>
      <c r="J25" s="76" t="s">
        <v>6</v>
      </c>
      <c r="K25" s="136">
        <v>0.26</v>
      </c>
      <c r="L25" s="77" t="s">
        <v>7</v>
      </c>
      <c r="M25" s="78">
        <f t="shared" si="4"/>
        <v>189.02</v>
      </c>
      <c r="N25" s="79"/>
      <c r="O25" s="128"/>
      <c r="P25" s="77" t="s">
        <v>7</v>
      </c>
      <c r="Q25" s="444"/>
      <c r="R25" s="137">
        <v>190</v>
      </c>
      <c r="S25" s="75" t="s">
        <v>7</v>
      </c>
      <c r="T25" s="81">
        <f t="shared" si="3"/>
        <v>0.97999999999998977</v>
      </c>
      <c r="U25" s="131"/>
      <c r="V25" s="131"/>
      <c r="W25" s="132"/>
      <c r="X25" s="133"/>
      <c r="Y25" s="446"/>
      <c r="Z25" s="228"/>
      <c r="AA25" s="228"/>
      <c r="AB25" s="588"/>
      <c r="AC25" s="178"/>
      <c r="AD25" s="179"/>
      <c r="AE25" s="179"/>
      <c r="AF25" s="179"/>
    </row>
    <row r="26" spans="1:32" s="55" customFormat="1" ht="69.95" customHeight="1" x14ac:dyDescent="0.15">
      <c r="A26" s="611" t="s">
        <v>195</v>
      </c>
      <c r="B26" s="191">
        <f t="shared" si="1"/>
        <v>614</v>
      </c>
      <c r="C26" s="465" t="str">
        <f t="shared" si="2"/>
        <v>DE</v>
      </c>
      <c r="D26" s="465"/>
      <c r="E26" s="465"/>
      <c r="F26" s="465"/>
      <c r="G26" s="465"/>
      <c r="H26" s="465"/>
      <c r="I26" s="433" t="s">
        <v>8</v>
      </c>
      <c r="J26" s="192" t="s">
        <v>6</v>
      </c>
      <c r="K26" s="209"/>
      <c r="L26" s="194" t="s">
        <v>7</v>
      </c>
      <c r="M26" s="195">
        <f t="shared" si="4"/>
        <v>0</v>
      </c>
      <c r="N26" s="196"/>
      <c r="O26" s="195"/>
      <c r="P26" s="197" t="s">
        <v>7</v>
      </c>
      <c r="Q26" s="435"/>
      <c r="R26" s="195"/>
      <c r="S26" s="197" t="s">
        <v>7</v>
      </c>
      <c r="T26" s="198">
        <f t="shared" si="3"/>
        <v>0</v>
      </c>
      <c r="U26" s="199"/>
      <c r="V26" s="200"/>
      <c r="W26" s="195"/>
      <c r="X26" s="195"/>
      <c r="Y26" s="437" t="s">
        <v>93</v>
      </c>
      <c r="Z26" s="235"/>
      <c r="AA26" s="202"/>
      <c r="AB26" s="439"/>
      <c r="AC26" s="178"/>
      <c r="AD26" s="179"/>
      <c r="AE26" s="179"/>
      <c r="AF26" s="179"/>
    </row>
    <row r="27" spans="1:32" s="55" customFormat="1" ht="69.95" customHeight="1" x14ac:dyDescent="0.15">
      <c r="A27" s="613"/>
      <c r="B27" s="191">
        <f>$I$6</f>
        <v>625</v>
      </c>
      <c r="C27" s="465" t="str">
        <f>$A$6</f>
        <v>BR</v>
      </c>
      <c r="D27" s="465"/>
      <c r="E27" s="465"/>
      <c r="F27" s="465"/>
      <c r="G27" s="465"/>
      <c r="H27" s="465"/>
      <c r="I27" s="560"/>
      <c r="J27" s="192" t="s">
        <v>6</v>
      </c>
      <c r="K27" s="209"/>
      <c r="L27" s="194" t="s">
        <v>7</v>
      </c>
      <c r="M27" s="195">
        <f t="shared" si="4"/>
        <v>0</v>
      </c>
      <c r="N27" s="196"/>
      <c r="O27" s="210"/>
      <c r="P27" s="194" t="s">
        <v>7</v>
      </c>
      <c r="Q27" s="561"/>
      <c r="R27" s="236"/>
      <c r="S27" s="207" t="s">
        <v>7</v>
      </c>
      <c r="T27" s="198">
        <f t="shared" si="3"/>
        <v>0</v>
      </c>
      <c r="U27" s="211"/>
      <c r="V27" s="211"/>
      <c r="W27" s="212"/>
      <c r="X27" s="213"/>
      <c r="Y27" s="562"/>
      <c r="Z27" s="238"/>
      <c r="AA27" s="238"/>
      <c r="AB27" s="558"/>
      <c r="AC27" s="178"/>
      <c r="AD27" s="179"/>
      <c r="AE27" s="179"/>
      <c r="AF27" s="179"/>
    </row>
    <row r="28" spans="1:32" s="55" customFormat="1" ht="69.95" customHeight="1" x14ac:dyDescent="0.15">
      <c r="A28" s="612"/>
      <c r="B28" s="191">
        <f>$I$7</f>
        <v>727</v>
      </c>
      <c r="C28" s="465" t="str">
        <f>$A$7</f>
        <v>DG</v>
      </c>
      <c r="D28" s="465"/>
      <c r="E28" s="465"/>
      <c r="F28" s="465"/>
      <c r="G28" s="465"/>
      <c r="H28" s="465"/>
      <c r="I28" s="434"/>
      <c r="J28" s="192" t="s">
        <v>6</v>
      </c>
      <c r="K28" s="209"/>
      <c r="L28" s="194" t="s">
        <v>7</v>
      </c>
      <c r="M28" s="195">
        <f t="shared" si="4"/>
        <v>0</v>
      </c>
      <c r="N28" s="196"/>
      <c r="O28" s="210"/>
      <c r="P28" s="194" t="s">
        <v>7</v>
      </c>
      <c r="Q28" s="436"/>
      <c r="R28" s="236"/>
      <c r="S28" s="207" t="s">
        <v>7</v>
      </c>
      <c r="T28" s="198">
        <f t="shared" si="3"/>
        <v>0</v>
      </c>
      <c r="U28" s="211"/>
      <c r="V28" s="211"/>
      <c r="W28" s="212"/>
      <c r="X28" s="213"/>
      <c r="Y28" s="438"/>
      <c r="Z28" s="238"/>
      <c r="AA28" s="238"/>
      <c r="AB28" s="440"/>
      <c r="AC28" s="178"/>
      <c r="AD28" s="179"/>
      <c r="AE28" s="179"/>
      <c r="AF28" s="179"/>
    </row>
    <row r="29" spans="1:32" s="176" customFormat="1" ht="69.95" customHeight="1" x14ac:dyDescent="0.15">
      <c r="A29" s="431" t="s">
        <v>353</v>
      </c>
      <c r="B29" s="239">
        <f t="shared" si="1"/>
        <v>614</v>
      </c>
      <c r="C29" s="456" t="str">
        <f t="shared" si="2"/>
        <v>DE</v>
      </c>
      <c r="D29" s="456"/>
      <c r="E29" s="456"/>
      <c r="F29" s="456"/>
      <c r="G29" s="456"/>
      <c r="H29" s="456"/>
      <c r="I29" s="457" t="s">
        <v>58</v>
      </c>
      <c r="J29" s="240" t="s">
        <v>6</v>
      </c>
      <c r="K29" s="241">
        <v>0.1</v>
      </c>
      <c r="L29" s="168" t="s">
        <v>7</v>
      </c>
      <c r="M29" s="242">
        <f t="shared" si="4"/>
        <v>61.400000000000006</v>
      </c>
      <c r="N29" s="243"/>
      <c r="O29" s="242"/>
      <c r="P29" s="244" t="s">
        <v>7</v>
      </c>
      <c r="Q29" s="376">
        <v>46207</v>
      </c>
      <c r="R29" s="242">
        <v>61</v>
      </c>
      <c r="S29" s="244" t="s">
        <v>7</v>
      </c>
      <c r="T29" s="245">
        <f t="shared" si="3"/>
        <v>-0.40000000000000568</v>
      </c>
      <c r="U29" s="246"/>
      <c r="V29" s="247"/>
      <c r="W29" s="242"/>
      <c r="X29" s="242"/>
      <c r="Y29" s="459" t="s">
        <v>59</v>
      </c>
      <c r="Z29" s="248"/>
      <c r="AA29" s="249"/>
      <c r="AB29" s="448" t="s">
        <v>475</v>
      </c>
      <c r="AC29" s="250"/>
      <c r="AD29" s="251"/>
      <c r="AE29" s="251"/>
      <c r="AF29" s="251"/>
    </row>
    <row r="30" spans="1:32" s="176" customFormat="1" ht="69.95" customHeight="1" x14ac:dyDescent="0.15">
      <c r="A30" s="559"/>
      <c r="B30" s="239">
        <f>$I$6</f>
        <v>625</v>
      </c>
      <c r="C30" s="456" t="str">
        <f>$A$6</f>
        <v>BR</v>
      </c>
      <c r="D30" s="456"/>
      <c r="E30" s="456"/>
      <c r="F30" s="456"/>
      <c r="G30" s="456"/>
      <c r="H30" s="456"/>
      <c r="I30" s="564"/>
      <c r="J30" s="240" t="s">
        <v>6</v>
      </c>
      <c r="K30" s="241">
        <v>0.1</v>
      </c>
      <c r="L30" s="168" t="s">
        <v>7</v>
      </c>
      <c r="M30" s="242">
        <f t="shared" si="4"/>
        <v>62.5</v>
      </c>
      <c r="N30" s="243"/>
      <c r="O30" s="253"/>
      <c r="P30" s="168" t="s">
        <v>7</v>
      </c>
      <c r="Q30" s="377"/>
      <c r="R30" s="247">
        <v>63</v>
      </c>
      <c r="S30" s="255" t="s">
        <v>7</v>
      </c>
      <c r="T30" s="245">
        <f t="shared" si="3"/>
        <v>0.5</v>
      </c>
      <c r="U30" s="256"/>
      <c r="V30" s="256"/>
      <c r="W30" s="257"/>
      <c r="X30" s="258"/>
      <c r="Y30" s="565"/>
      <c r="Z30" s="259"/>
      <c r="AA30" s="249"/>
      <c r="AB30" s="449"/>
      <c r="AC30" s="250"/>
      <c r="AD30" s="251"/>
      <c r="AE30" s="251"/>
      <c r="AF30" s="251"/>
    </row>
    <row r="31" spans="1:32" s="176" customFormat="1" ht="69.95" customHeight="1" x14ac:dyDescent="0.15">
      <c r="A31" s="432"/>
      <c r="B31" s="239">
        <f>$I$7</f>
        <v>727</v>
      </c>
      <c r="C31" s="456" t="str">
        <f>$A$7</f>
        <v>DG</v>
      </c>
      <c r="D31" s="456"/>
      <c r="E31" s="456"/>
      <c r="F31" s="456"/>
      <c r="G31" s="456"/>
      <c r="H31" s="456"/>
      <c r="I31" s="458"/>
      <c r="J31" s="240" t="s">
        <v>6</v>
      </c>
      <c r="K31" s="241">
        <v>0.1</v>
      </c>
      <c r="L31" s="168" t="s">
        <v>7</v>
      </c>
      <c r="M31" s="242">
        <f t="shared" si="4"/>
        <v>72.7</v>
      </c>
      <c r="N31" s="243"/>
      <c r="O31" s="253"/>
      <c r="P31" s="168" t="s">
        <v>7</v>
      </c>
      <c r="Q31" s="378"/>
      <c r="R31" s="247">
        <v>73</v>
      </c>
      <c r="S31" s="255" t="s">
        <v>7</v>
      </c>
      <c r="T31" s="245">
        <f t="shared" si="3"/>
        <v>0.29999999999999716</v>
      </c>
      <c r="U31" s="256"/>
      <c r="V31" s="256"/>
      <c r="W31" s="257"/>
      <c r="X31" s="258"/>
      <c r="Y31" s="460"/>
      <c r="Z31" s="259"/>
      <c r="AA31" s="249"/>
      <c r="AB31" s="449"/>
      <c r="AC31" s="250"/>
      <c r="AD31" s="251"/>
      <c r="AE31" s="251"/>
      <c r="AF31" s="251"/>
    </row>
    <row r="32" spans="1:32" s="261" customFormat="1" ht="69.95" customHeight="1" x14ac:dyDescent="0.15">
      <c r="A32" s="431" t="s">
        <v>354</v>
      </c>
      <c r="B32" s="239">
        <f>$I$5</f>
        <v>614</v>
      </c>
      <c r="C32" s="456" t="str">
        <f>$A$5</f>
        <v>DE</v>
      </c>
      <c r="D32" s="456"/>
      <c r="E32" s="456"/>
      <c r="F32" s="456"/>
      <c r="G32" s="456"/>
      <c r="H32" s="456"/>
      <c r="I32" s="457" t="s">
        <v>8</v>
      </c>
      <c r="J32" s="240" t="s">
        <v>6</v>
      </c>
      <c r="K32" s="241">
        <v>0.2</v>
      </c>
      <c r="L32" s="168" t="s">
        <v>7</v>
      </c>
      <c r="M32" s="242">
        <f>K32*B32</f>
        <v>122.80000000000001</v>
      </c>
      <c r="N32" s="243"/>
      <c r="O32" s="242"/>
      <c r="P32" s="244" t="s">
        <v>7</v>
      </c>
      <c r="Q32" s="376">
        <v>46207</v>
      </c>
      <c r="R32" s="242">
        <v>123</v>
      </c>
      <c r="S32" s="244" t="s">
        <v>9</v>
      </c>
      <c r="T32" s="245">
        <f t="shared" si="3"/>
        <v>0.19999999999998863</v>
      </c>
      <c r="U32" s="246"/>
      <c r="V32" s="247"/>
      <c r="W32" s="242"/>
      <c r="X32" s="242"/>
      <c r="Y32" s="459" t="s">
        <v>59</v>
      </c>
      <c r="Z32" s="260"/>
      <c r="AA32" s="249"/>
      <c r="AB32" s="449"/>
    </row>
    <row r="33" spans="1:32" s="261" customFormat="1" ht="69.95" customHeight="1" x14ac:dyDescent="0.15">
      <c r="A33" s="559"/>
      <c r="B33" s="239">
        <f>$I$6</f>
        <v>625</v>
      </c>
      <c r="C33" s="456" t="str">
        <f>$A$6</f>
        <v>BR</v>
      </c>
      <c r="D33" s="456"/>
      <c r="E33" s="456"/>
      <c r="F33" s="456"/>
      <c r="G33" s="456"/>
      <c r="H33" s="456"/>
      <c r="I33" s="564"/>
      <c r="J33" s="240" t="s">
        <v>6</v>
      </c>
      <c r="K33" s="241">
        <v>0.2</v>
      </c>
      <c r="L33" s="168" t="s">
        <v>7</v>
      </c>
      <c r="M33" s="242">
        <f>K33*B33</f>
        <v>125</v>
      </c>
      <c r="N33" s="243"/>
      <c r="O33" s="253"/>
      <c r="P33" s="168" t="s">
        <v>7</v>
      </c>
      <c r="Q33" s="377"/>
      <c r="R33" s="247">
        <v>125</v>
      </c>
      <c r="S33" s="255" t="s">
        <v>9</v>
      </c>
      <c r="T33" s="245">
        <f t="shared" si="3"/>
        <v>0</v>
      </c>
      <c r="U33" s="256"/>
      <c r="V33" s="256"/>
      <c r="W33" s="257"/>
      <c r="X33" s="258"/>
      <c r="Y33" s="565"/>
      <c r="Z33" s="259"/>
      <c r="AA33" s="249"/>
      <c r="AB33" s="449"/>
      <c r="AC33" s="462"/>
      <c r="AD33" s="463"/>
      <c r="AE33" s="463"/>
      <c r="AF33" s="463"/>
    </row>
    <row r="34" spans="1:32" s="261" customFormat="1" ht="69.95" customHeight="1" x14ac:dyDescent="0.15">
      <c r="A34" s="432"/>
      <c r="B34" s="239">
        <f>$I$7</f>
        <v>727</v>
      </c>
      <c r="C34" s="456" t="str">
        <f>$A$7</f>
        <v>DG</v>
      </c>
      <c r="D34" s="456"/>
      <c r="E34" s="456"/>
      <c r="F34" s="456"/>
      <c r="G34" s="456"/>
      <c r="H34" s="456"/>
      <c r="I34" s="458"/>
      <c r="J34" s="240" t="s">
        <v>6</v>
      </c>
      <c r="K34" s="241">
        <v>0.2</v>
      </c>
      <c r="L34" s="168" t="s">
        <v>7</v>
      </c>
      <c r="M34" s="242">
        <f>K34*B34</f>
        <v>145.4</v>
      </c>
      <c r="N34" s="243"/>
      <c r="O34" s="253"/>
      <c r="P34" s="168" t="s">
        <v>7</v>
      </c>
      <c r="Q34" s="378"/>
      <c r="R34" s="247">
        <v>145</v>
      </c>
      <c r="S34" s="255" t="s">
        <v>9</v>
      </c>
      <c r="T34" s="245">
        <f t="shared" si="3"/>
        <v>-0.40000000000000568</v>
      </c>
      <c r="U34" s="256"/>
      <c r="V34" s="256"/>
      <c r="W34" s="257"/>
      <c r="X34" s="258"/>
      <c r="Y34" s="460"/>
      <c r="Z34" s="259"/>
      <c r="AA34" s="249"/>
      <c r="AB34" s="450"/>
      <c r="AC34" s="462"/>
      <c r="AD34" s="463"/>
      <c r="AE34" s="463"/>
      <c r="AF34" s="463"/>
    </row>
    <row r="35" spans="1:32" s="203" customFormat="1" ht="69.95" customHeight="1" x14ac:dyDescent="0.15">
      <c r="A35" s="464" t="s">
        <v>77</v>
      </c>
      <c r="B35" s="191">
        <f>$I$5</f>
        <v>614</v>
      </c>
      <c r="C35" s="465" t="str">
        <f>$A$5</f>
        <v>DE</v>
      </c>
      <c r="D35" s="465"/>
      <c r="E35" s="465"/>
      <c r="F35" s="465"/>
      <c r="G35" s="465"/>
      <c r="H35" s="465"/>
      <c r="I35" s="433" t="s">
        <v>110</v>
      </c>
      <c r="J35" s="192"/>
      <c r="K35" s="209"/>
      <c r="L35" s="194" t="s">
        <v>7</v>
      </c>
      <c r="M35" s="195">
        <f>K35*B35/100</f>
        <v>0</v>
      </c>
      <c r="N35" s="196"/>
      <c r="O35" s="195"/>
      <c r="P35" s="197" t="s">
        <v>7</v>
      </c>
      <c r="Q35" s="435"/>
      <c r="R35" s="195"/>
      <c r="S35" s="197" t="s">
        <v>9</v>
      </c>
      <c r="T35" s="198">
        <f t="shared" si="3"/>
        <v>0</v>
      </c>
      <c r="U35" s="199"/>
      <c r="V35" s="200"/>
      <c r="W35" s="195"/>
      <c r="X35" s="195"/>
      <c r="Y35" s="437" t="s">
        <v>94</v>
      </c>
      <c r="Z35" s="201"/>
      <c r="AA35" s="202"/>
      <c r="AB35" s="439"/>
    </row>
    <row r="36" spans="1:32" s="203" customFormat="1" ht="69.95" customHeight="1" x14ac:dyDescent="0.15">
      <c r="A36" s="464"/>
      <c r="B36" s="191">
        <f>$I$6</f>
        <v>625</v>
      </c>
      <c r="C36" s="465" t="str">
        <f>$A$6</f>
        <v>BR</v>
      </c>
      <c r="D36" s="465"/>
      <c r="E36" s="465"/>
      <c r="F36" s="465"/>
      <c r="G36" s="465"/>
      <c r="H36" s="465"/>
      <c r="I36" s="560"/>
      <c r="J36" s="192"/>
      <c r="K36" s="208"/>
      <c r="L36" s="194" t="s">
        <v>7</v>
      </c>
      <c r="M36" s="195">
        <f>K36*B36/100</f>
        <v>0</v>
      </c>
      <c r="N36" s="196"/>
      <c r="O36" s="210"/>
      <c r="P36" s="194" t="s">
        <v>7</v>
      </c>
      <c r="Q36" s="561"/>
      <c r="R36" s="200"/>
      <c r="S36" s="207" t="s">
        <v>9</v>
      </c>
      <c r="T36" s="198">
        <f t="shared" si="3"/>
        <v>0</v>
      </c>
      <c r="U36" s="211"/>
      <c r="V36" s="211"/>
      <c r="W36" s="212"/>
      <c r="X36" s="213"/>
      <c r="Y36" s="562"/>
      <c r="Z36" s="214"/>
      <c r="AA36" s="202"/>
      <c r="AB36" s="558"/>
      <c r="AC36" s="466"/>
      <c r="AD36" s="467"/>
      <c r="AE36" s="467"/>
      <c r="AF36" s="467"/>
    </row>
    <row r="37" spans="1:32" s="203" customFormat="1" ht="69.95" customHeight="1" x14ac:dyDescent="0.15">
      <c r="A37" s="464"/>
      <c r="B37" s="191">
        <f>$I$7</f>
        <v>727</v>
      </c>
      <c r="C37" s="465" t="str">
        <f>$A$7</f>
        <v>DG</v>
      </c>
      <c r="D37" s="465"/>
      <c r="E37" s="465"/>
      <c r="F37" s="465"/>
      <c r="G37" s="465"/>
      <c r="H37" s="465"/>
      <c r="I37" s="434"/>
      <c r="J37" s="192"/>
      <c r="K37" s="208"/>
      <c r="L37" s="194" t="s">
        <v>7</v>
      </c>
      <c r="M37" s="195">
        <f>K37*B37/100</f>
        <v>0</v>
      </c>
      <c r="N37" s="196"/>
      <c r="O37" s="210"/>
      <c r="P37" s="194" t="s">
        <v>7</v>
      </c>
      <c r="Q37" s="436"/>
      <c r="R37" s="200"/>
      <c r="S37" s="207" t="s">
        <v>9</v>
      </c>
      <c r="T37" s="198">
        <f t="shared" si="3"/>
        <v>0</v>
      </c>
      <c r="U37" s="211"/>
      <c r="V37" s="211"/>
      <c r="W37" s="212"/>
      <c r="X37" s="213"/>
      <c r="Y37" s="438"/>
      <c r="Z37" s="214"/>
      <c r="AA37" s="202"/>
      <c r="AB37" s="440"/>
      <c r="AC37" s="466"/>
      <c r="AD37" s="467"/>
      <c r="AE37" s="467"/>
      <c r="AF37" s="467"/>
    </row>
    <row r="38" spans="1:32" s="261" customFormat="1" ht="69.95" customHeight="1" x14ac:dyDescent="0.15">
      <c r="A38" s="464" t="s">
        <v>439</v>
      </c>
      <c r="B38" s="239">
        <f>$I$5</f>
        <v>614</v>
      </c>
      <c r="C38" s="456" t="str">
        <f>$A$5</f>
        <v>DE</v>
      </c>
      <c r="D38" s="456"/>
      <c r="E38" s="456"/>
      <c r="F38" s="456"/>
      <c r="G38" s="456"/>
      <c r="H38" s="456"/>
      <c r="I38" s="457" t="s">
        <v>76</v>
      </c>
      <c r="J38" s="240"/>
      <c r="K38" s="308">
        <v>3.7</v>
      </c>
      <c r="L38" s="168" t="s">
        <v>7</v>
      </c>
      <c r="M38" s="242">
        <f t="shared" ref="M38:M43" si="7">K38*B38/50</f>
        <v>45.436000000000007</v>
      </c>
      <c r="N38" s="243"/>
      <c r="O38" s="242"/>
      <c r="P38" s="244" t="s">
        <v>7</v>
      </c>
      <c r="Q38" s="376">
        <v>46207</v>
      </c>
      <c r="R38" s="78">
        <v>46</v>
      </c>
      <c r="S38" s="244" t="s">
        <v>9</v>
      </c>
      <c r="T38" s="245">
        <f t="shared" si="3"/>
        <v>0.56399999999999295</v>
      </c>
      <c r="U38" s="246"/>
      <c r="V38" s="247"/>
      <c r="W38" s="242"/>
      <c r="X38" s="242"/>
      <c r="Y38" s="459" t="s">
        <v>94</v>
      </c>
      <c r="Z38" s="260"/>
      <c r="AA38" s="249"/>
      <c r="AB38" s="586" t="s">
        <v>484</v>
      </c>
    </row>
    <row r="39" spans="1:32" s="261" customFormat="1" ht="69.95" customHeight="1" x14ac:dyDescent="0.15">
      <c r="A39" s="464"/>
      <c r="B39" s="239">
        <f>$I$6</f>
        <v>625</v>
      </c>
      <c r="C39" s="456" t="str">
        <f>$A$6</f>
        <v>BR</v>
      </c>
      <c r="D39" s="456"/>
      <c r="E39" s="456"/>
      <c r="F39" s="456"/>
      <c r="G39" s="456"/>
      <c r="H39" s="456"/>
      <c r="I39" s="564"/>
      <c r="J39" s="240"/>
      <c r="K39" s="308">
        <v>3.7</v>
      </c>
      <c r="L39" s="168" t="s">
        <v>7</v>
      </c>
      <c r="M39" s="242">
        <f t="shared" si="7"/>
        <v>46.25</v>
      </c>
      <c r="N39" s="243"/>
      <c r="O39" s="253"/>
      <c r="P39" s="168" t="s">
        <v>7</v>
      </c>
      <c r="Q39" s="377"/>
      <c r="R39" s="137">
        <v>46</v>
      </c>
      <c r="S39" s="255" t="s">
        <v>9</v>
      </c>
      <c r="T39" s="245">
        <f t="shared" si="3"/>
        <v>-0.25</v>
      </c>
      <c r="U39" s="256"/>
      <c r="V39" s="256"/>
      <c r="W39" s="257"/>
      <c r="X39" s="258"/>
      <c r="Y39" s="565"/>
      <c r="Z39" s="259"/>
      <c r="AA39" s="249"/>
      <c r="AB39" s="587"/>
      <c r="AC39" s="462"/>
      <c r="AD39" s="463"/>
      <c r="AE39" s="463"/>
      <c r="AF39" s="463"/>
    </row>
    <row r="40" spans="1:32" s="261" customFormat="1" ht="69.95" customHeight="1" x14ac:dyDescent="0.15">
      <c r="A40" s="464"/>
      <c r="B40" s="239">
        <f>$I$7</f>
        <v>727</v>
      </c>
      <c r="C40" s="456" t="str">
        <f>$A$7</f>
        <v>DG</v>
      </c>
      <c r="D40" s="456"/>
      <c r="E40" s="456"/>
      <c r="F40" s="456"/>
      <c r="G40" s="456"/>
      <c r="H40" s="456"/>
      <c r="I40" s="458"/>
      <c r="J40" s="240"/>
      <c r="K40" s="308">
        <v>3.7</v>
      </c>
      <c r="L40" s="168" t="s">
        <v>7</v>
      </c>
      <c r="M40" s="242">
        <f t="shared" si="7"/>
        <v>53.798000000000002</v>
      </c>
      <c r="N40" s="243"/>
      <c r="O40" s="253"/>
      <c r="P40" s="168" t="s">
        <v>7</v>
      </c>
      <c r="Q40" s="378"/>
      <c r="R40" s="247">
        <v>55</v>
      </c>
      <c r="S40" s="255" t="s">
        <v>9</v>
      </c>
      <c r="T40" s="245">
        <f t="shared" si="3"/>
        <v>1.2019999999999982</v>
      </c>
      <c r="U40" s="256"/>
      <c r="V40" s="256"/>
      <c r="W40" s="257"/>
      <c r="X40" s="258"/>
      <c r="Y40" s="460"/>
      <c r="Z40" s="259"/>
      <c r="AA40" s="249"/>
      <c r="AB40" s="588"/>
      <c r="AC40" s="462"/>
      <c r="AD40" s="463"/>
      <c r="AE40" s="463"/>
      <c r="AF40" s="463"/>
    </row>
    <row r="41" spans="1:32" s="203" customFormat="1" ht="69.95" customHeight="1" x14ac:dyDescent="0.15">
      <c r="A41" s="464" t="s">
        <v>116</v>
      </c>
      <c r="B41" s="191">
        <f>$I$5</f>
        <v>614</v>
      </c>
      <c r="C41" s="465" t="str">
        <f>$A$5</f>
        <v>DE</v>
      </c>
      <c r="D41" s="465"/>
      <c r="E41" s="465"/>
      <c r="F41" s="465"/>
      <c r="G41" s="465"/>
      <c r="H41" s="465"/>
      <c r="I41" s="433" t="s">
        <v>76</v>
      </c>
      <c r="J41" s="192"/>
      <c r="K41" s="209"/>
      <c r="L41" s="194" t="s">
        <v>7</v>
      </c>
      <c r="M41" s="195">
        <f t="shared" si="7"/>
        <v>0</v>
      </c>
      <c r="N41" s="196"/>
      <c r="O41" s="195"/>
      <c r="P41" s="197" t="s">
        <v>7</v>
      </c>
      <c r="Q41" s="435"/>
      <c r="R41" s="195"/>
      <c r="S41" s="197" t="s">
        <v>9</v>
      </c>
      <c r="T41" s="198">
        <f t="shared" si="3"/>
        <v>0</v>
      </c>
      <c r="U41" s="199"/>
      <c r="V41" s="200"/>
      <c r="W41" s="195"/>
      <c r="X41" s="195"/>
      <c r="Y41" s="437" t="s">
        <v>94</v>
      </c>
      <c r="Z41" s="201"/>
      <c r="AA41" s="202"/>
      <c r="AB41" s="439"/>
    </row>
    <row r="42" spans="1:32" s="203" customFormat="1" ht="69.95" customHeight="1" x14ac:dyDescent="0.15">
      <c r="A42" s="464"/>
      <c r="B42" s="191">
        <f>$I$6</f>
        <v>625</v>
      </c>
      <c r="C42" s="465" t="str">
        <f>$A$6</f>
        <v>BR</v>
      </c>
      <c r="D42" s="465"/>
      <c r="E42" s="465"/>
      <c r="F42" s="465"/>
      <c r="G42" s="465"/>
      <c r="H42" s="465"/>
      <c r="I42" s="560"/>
      <c r="J42" s="192"/>
      <c r="K42" s="208"/>
      <c r="L42" s="194" t="s">
        <v>7</v>
      </c>
      <c r="M42" s="195">
        <f t="shared" si="7"/>
        <v>0</v>
      </c>
      <c r="N42" s="196"/>
      <c r="O42" s="210"/>
      <c r="P42" s="194" t="s">
        <v>7</v>
      </c>
      <c r="Q42" s="561"/>
      <c r="R42" s="200"/>
      <c r="S42" s="207" t="s">
        <v>9</v>
      </c>
      <c r="T42" s="198">
        <f t="shared" si="3"/>
        <v>0</v>
      </c>
      <c r="U42" s="211"/>
      <c r="V42" s="211"/>
      <c r="W42" s="212"/>
      <c r="X42" s="213"/>
      <c r="Y42" s="562"/>
      <c r="Z42" s="214"/>
      <c r="AA42" s="202"/>
      <c r="AB42" s="558"/>
      <c r="AC42" s="466"/>
      <c r="AD42" s="467"/>
      <c r="AE42" s="467"/>
      <c r="AF42" s="467"/>
    </row>
    <row r="43" spans="1:32" s="203" customFormat="1" ht="69.95" customHeight="1" x14ac:dyDescent="0.15">
      <c r="A43" s="464"/>
      <c r="B43" s="191">
        <f>$I$7</f>
        <v>727</v>
      </c>
      <c r="C43" s="465" t="str">
        <f>$A$7</f>
        <v>DG</v>
      </c>
      <c r="D43" s="465"/>
      <c r="E43" s="465"/>
      <c r="F43" s="465"/>
      <c r="G43" s="465"/>
      <c r="H43" s="465"/>
      <c r="I43" s="434"/>
      <c r="J43" s="192"/>
      <c r="K43" s="208"/>
      <c r="L43" s="194" t="s">
        <v>7</v>
      </c>
      <c r="M43" s="195">
        <f t="shared" si="7"/>
        <v>0</v>
      </c>
      <c r="N43" s="196"/>
      <c r="O43" s="210"/>
      <c r="P43" s="194" t="s">
        <v>7</v>
      </c>
      <c r="Q43" s="436"/>
      <c r="R43" s="200"/>
      <c r="S43" s="207" t="s">
        <v>9</v>
      </c>
      <c r="T43" s="198">
        <f t="shared" si="3"/>
        <v>0</v>
      </c>
      <c r="U43" s="211"/>
      <c r="V43" s="211"/>
      <c r="W43" s="212"/>
      <c r="X43" s="213"/>
      <c r="Y43" s="438"/>
      <c r="Z43" s="214"/>
      <c r="AA43" s="202"/>
      <c r="AB43" s="440"/>
      <c r="AC43" s="466"/>
      <c r="AD43" s="467"/>
      <c r="AE43" s="467"/>
      <c r="AF43" s="467"/>
    </row>
    <row r="44" spans="1:32" s="261" customFormat="1" ht="69.95" customHeight="1" x14ac:dyDescent="0.15">
      <c r="A44" s="431" t="s">
        <v>156</v>
      </c>
      <c r="B44" s="239">
        <f>$I$5</f>
        <v>614</v>
      </c>
      <c r="C44" s="456" t="str">
        <f>$A$5</f>
        <v>DE</v>
      </c>
      <c r="D44" s="456"/>
      <c r="E44" s="456"/>
      <c r="F44" s="456" t="str">
        <f>$A$5</f>
        <v>DE</v>
      </c>
      <c r="G44" s="456"/>
      <c r="H44" s="456"/>
      <c r="I44" s="457" t="s">
        <v>62</v>
      </c>
      <c r="J44" s="240"/>
      <c r="K44" s="263">
        <v>130</v>
      </c>
      <c r="L44" s="168" t="s">
        <v>61</v>
      </c>
      <c r="M44" s="242">
        <f t="shared" ref="M44:M46" si="8">K44*B44/2500</f>
        <v>31.928000000000001</v>
      </c>
      <c r="N44" s="243"/>
      <c r="O44" s="242"/>
      <c r="P44" s="244" t="s">
        <v>10</v>
      </c>
      <c r="Q44" s="443">
        <v>46207</v>
      </c>
      <c r="R44" s="242">
        <v>32</v>
      </c>
      <c r="S44" s="244" t="s">
        <v>10</v>
      </c>
      <c r="T44" s="245">
        <f t="shared" si="3"/>
        <v>7.1999999999999176E-2</v>
      </c>
      <c r="U44" s="246"/>
      <c r="V44" s="247"/>
      <c r="W44" s="242"/>
      <c r="X44" s="242"/>
      <c r="Y44" s="459" t="s">
        <v>94</v>
      </c>
      <c r="Z44" s="260"/>
      <c r="AA44" s="249"/>
      <c r="AB44" s="360" t="s">
        <v>485</v>
      </c>
    </row>
    <row r="45" spans="1:32" s="176" customFormat="1" ht="69.95" customHeight="1" x14ac:dyDescent="0.15">
      <c r="A45" s="559"/>
      <c r="B45" s="264">
        <f>$I$6</f>
        <v>625</v>
      </c>
      <c r="C45" s="413" t="str">
        <f>$A$6</f>
        <v>BR</v>
      </c>
      <c r="D45" s="414"/>
      <c r="E45" s="415"/>
      <c r="F45" s="413" t="str">
        <f>$A$6</f>
        <v>BR</v>
      </c>
      <c r="G45" s="414"/>
      <c r="H45" s="415"/>
      <c r="I45" s="564"/>
      <c r="J45" s="265"/>
      <c r="K45" s="263">
        <v>130</v>
      </c>
      <c r="L45" s="266" t="s">
        <v>61</v>
      </c>
      <c r="M45" s="242">
        <f t="shared" si="8"/>
        <v>32.5</v>
      </c>
      <c r="N45" s="267"/>
      <c r="O45" s="268"/>
      <c r="P45" s="266" t="s">
        <v>10</v>
      </c>
      <c r="Q45" s="447"/>
      <c r="R45" s="269">
        <v>33</v>
      </c>
      <c r="S45" s="252" t="s">
        <v>10</v>
      </c>
      <c r="T45" s="270">
        <f t="shared" si="3"/>
        <v>0.5</v>
      </c>
      <c r="U45" s="271"/>
      <c r="V45" s="271"/>
      <c r="W45" s="272"/>
      <c r="X45" s="273"/>
      <c r="Y45" s="565"/>
      <c r="Z45" s="274"/>
      <c r="AA45" s="275"/>
      <c r="AB45" s="361"/>
      <c r="AC45" s="451"/>
      <c r="AD45" s="452"/>
      <c r="AE45" s="452"/>
      <c r="AF45" s="452"/>
    </row>
    <row r="46" spans="1:32" s="176" customFormat="1" ht="69.95" customHeight="1" x14ac:dyDescent="0.15">
      <c r="A46" s="432"/>
      <c r="B46" s="239">
        <f>$I$7</f>
        <v>727</v>
      </c>
      <c r="C46" s="456" t="str">
        <f>$A$7</f>
        <v>DG</v>
      </c>
      <c r="D46" s="456"/>
      <c r="E46" s="456"/>
      <c r="F46" s="413" t="str">
        <f>$A$7</f>
        <v>DG</v>
      </c>
      <c r="G46" s="414"/>
      <c r="H46" s="415"/>
      <c r="I46" s="458"/>
      <c r="J46" s="265"/>
      <c r="K46" s="263">
        <v>130</v>
      </c>
      <c r="L46" s="266" t="s">
        <v>61</v>
      </c>
      <c r="M46" s="242">
        <f t="shared" si="8"/>
        <v>37.804000000000002</v>
      </c>
      <c r="N46" s="267"/>
      <c r="O46" s="268"/>
      <c r="P46" s="266" t="s">
        <v>10</v>
      </c>
      <c r="Q46" s="447"/>
      <c r="R46" s="269">
        <v>38</v>
      </c>
      <c r="S46" s="252" t="s">
        <v>10</v>
      </c>
      <c r="T46" s="270">
        <f t="shared" si="3"/>
        <v>0.19599999999999795</v>
      </c>
      <c r="U46" s="271"/>
      <c r="V46" s="271"/>
      <c r="W46" s="272"/>
      <c r="X46" s="273"/>
      <c r="Y46" s="460"/>
      <c r="Z46" s="274"/>
      <c r="AA46" s="275"/>
      <c r="AB46" s="361"/>
      <c r="AC46" s="451"/>
      <c r="AD46" s="452"/>
      <c r="AE46" s="452"/>
      <c r="AF46" s="452"/>
    </row>
    <row r="47" spans="1:32" s="261" customFormat="1" ht="69.95" customHeight="1" x14ac:dyDescent="0.15">
      <c r="A47" s="431" t="s">
        <v>155</v>
      </c>
      <c r="B47" s="239">
        <f>$I$5</f>
        <v>614</v>
      </c>
      <c r="C47" s="456" t="str">
        <f>$A$5</f>
        <v>DE</v>
      </c>
      <c r="D47" s="456"/>
      <c r="E47" s="456"/>
      <c r="F47" s="456" t="str">
        <f>$A$5</f>
        <v>DE</v>
      </c>
      <c r="G47" s="456"/>
      <c r="H47" s="456"/>
      <c r="I47" s="457" t="s">
        <v>60</v>
      </c>
      <c r="J47" s="240"/>
      <c r="K47" s="263">
        <v>220</v>
      </c>
      <c r="L47" s="168" t="s">
        <v>61</v>
      </c>
      <c r="M47" s="242">
        <f t="shared" ref="M47:M52" si="9">K47*B47/4000</f>
        <v>33.770000000000003</v>
      </c>
      <c r="N47" s="243"/>
      <c r="O47" s="242"/>
      <c r="P47" s="244" t="s">
        <v>10</v>
      </c>
      <c r="Q47" s="447"/>
      <c r="R47" s="242">
        <v>34</v>
      </c>
      <c r="S47" s="244" t="s">
        <v>10</v>
      </c>
      <c r="T47" s="245">
        <f t="shared" si="3"/>
        <v>0.22999999999999687</v>
      </c>
      <c r="U47" s="246"/>
      <c r="V47" s="247"/>
      <c r="W47" s="242"/>
      <c r="X47" s="242"/>
      <c r="Y47" s="459" t="s">
        <v>94</v>
      </c>
      <c r="Z47" s="260"/>
      <c r="AA47" s="249"/>
      <c r="AB47" s="361"/>
    </row>
    <row r="48" spans="1:32" s="176" customFormat="1" ht="69.95" customHeight="1" x14ac:dyDescent="0.15">
      <c r="A48" s="559"/>
      <c r="B48" s="264">
        <f>$I$6</f>
        <v>625</v>
      </c>
      <c r="C48" s="413" t="str">
        <f>$A$6</f>
        <v>BR</v>
      </c>
      <c r="D48" s="414"/>
      <c r="E48" s="415"/>
      <c r="F48" s="413" t="str">
        <f>$A$6</f>
        <v>BR</v>
      </c>
      <c r="G48" s="414"/>
      <c r="H48" s="415"/>
      <c r="I48" s="564"/>
      <c r="J48" s="265"/>
      <c r="K48" s="263">
        <v>220</v>
      </c>
      <c r="L48" s="266" t="s">
        <v>61</v>
      </c>
      <c r="M48" s="242">
        <f t="shared" si="9"/>
        <v>34.375</v>
      </c>
      <c r="N48" s="267"/>
      <c r="O48" s="268"/>
      <c r="P48" s="266" t="s">
        <v>10</v>
      </c>
      <c r="Q48" s="447"/>
      <c r="R48" s="269">
        <v>34</v>
      </c>
      <c r="S48" s="252" t="s">
        <v>10</v>
      </c>
      <c r="T48" s="270">
        <f t="shared" si="3"/>
        <v>-0.375</v>
      </c>
      <c r="U48" s="271"/>
      <c r="V48" s="271"/>
      <c r="W48" s="272"/>
      <c r="X48" s="273"/>
      <c r="Y48" s="565"/>
      <c r="Z48" s="274"/>
      <c r="AA48" s="275"/>
      <c r="AB48" s="361"/>
      <c r="AC48" s="451"/>
      <c r="AD48" s="452"/>
      <c r="AE48" s="452"/>
      <c r="AF48" s="452"/>
    </row>
    <row r="49" spans="1:32" s="176" customFormat="1" ht="69.95" customHeight="1" x14ac:dyDescent="0.15">
      <c r="A49" s="432"/>
      <c r="B49" s="239">
        <f>$I$7</f>
        <v>727</v>
      </c>
      <c r="C49" s="456" t="str">
        <f>$A$7</f>
        <v>DG</v>
      </c>
      <c r="D49" s="456"/>
      <c r="E49" s="456"/>
      <c r="F49" s="413" t="str">
        <f>$A$7</f>
        <v>DG</v>
      </c>
      <c r="G49" s="414"/>
      <c r="H49" s="415"/>
      <c r="I49" s="458"/>
      <c r="J49" s="265"/>
      <c r="K49" s="263">
        <v>220</v>
      </c>
      <c r="L49" s="266" t="s">
        <v>61</v>
      </c>
      <c r="M49" s="242">
        <f t="shared" si="9"/>
        <v>39.984999999999999</v>
      </c>
      <c r="N49" s="267"/>
      <c r="O49" s="268"/>
      <c r="P49" s="266" t="s">
        <v>10</v>
      </c>
      <c r="Q49" s="447"/>
      <c r="R49" s="269">
        <v>40</v>
      </c>
      <c r="S49" s="252" t="s">
        <v>10</v>
      </c>
      <c r="T49" s="270">
        <f t="shared" si="3"/>
        <v>1.5000000000000568E-2</v>
      </c>
      <c r="U49" s="271"/>
      <c r="V49" s="271"/>
      <c r="W49" s="272"/>
      <c r="X49" s="273"/>
      <c r="Y49" s="460"/>
      <c r="Z49" s="274"/>
      <c r="AA49" s="275"/>
      <c r="AB49" s="361"/>
      <c r="AC49" s="451"/>
      <c r="AD49" s="452"/>
      <c r="AE49" s="452"/>
      <c r="AF49" s="452"/>
    </row>
    <row r="50" spans="1:32" s="261" customFormat="1" ht="69.95" customHeight="1" x14ac:dyDescent="0.15">
      <c r="A50" s="431" t="s">
        <v>363</v>
      </c>
      <c r="B50" s="182">
        <f>$I$5</f>
        <v>614</v>
      </c>
      <c r="C50" s="461" t="str">
        <f>$A$5</f>
        <v>DE</v>
      </c>
      <c r="D50" s="461"/>
      <c r="E50" s="461"/>
      <c r="F50" s="461" t="str">
        <f>$A$5</f>
        <v>DE</v>
      </c>
      <c r="G50" s="461"/>
      <c r="H50" s="461"/>
      <c r="I50" s="441" t="s">
        <v>60</v>
      </c>
      <c r="J50" s="76"/>
      <c r="K50" s="139">
        <v>10</v>
      </c>
      <c r="L50" s="77" t="s">
        <v>61</v>
      </c>
      <c r="M50" s="78">
        <f t="shared" si="9"/>
        <v>1.5349999999999999</v>
      </c>
      <c r="N50" s="79"/>
      <c r="O50" s="78"/>
      <c r="P50" s="80" t="s">
        <v>10</v>
      </c>
      <c r="Q50" s="447"/>
      <c r="R50" s="78">
        <v>2</v>
      </c>
      <c r="S50" s="80" t="s">
        <v>10</v>
      </c>
      <c r="T50" s="81">
        <f t="shared" si="3"/>
        <v>0.46500000000000008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176" customFormat="1" ht="69.95" customHeight="1" x14ac:dyDescent="0.15">
      <c r="A51" s="559"/>
      <c r="B51" s="186">
        <f>$I$6</f>
        <v>625</v>
      </c>
      <c r="C51" s="395" t="str">
        <f>$A$6</f>
        <v>BR</v>
      </c>
      <c r="D51" s="396"/>
      <c r="E51" s="397"/>
      <c r="F51" s="395" t="str">
        <f>$A$6</f>
        <v>BR</v>
      </c>
      <c r="G51" s="396"/>
      <c r="H51" s="397"/>
      <c r="I51" s="563"/>
      <c r="J51" s="144"/>
      <c r="K51" s="139">
        <v>10</v>
      </c>
      <c r="L51" s="145" t="s">
        <v>61</v>
      </c>
      <c r="M51" s="78">
        <f t="shared" si="9"/>
        <v>1.5625</v>
      </c>
      <c r="N51" s="146"/>
      <c r="O51" s="147"/>
      <c r="P51" s="145" t="s">
        <v>10</v>
      </c>
      <c r="Q51" s="447"/>
      <c r="R51" s="161">
        <v>2</v>
      </c>
      <c r="S51" s="148" t="s">
        <v>10</v>
      </c>
      <c r="T51" s="84">
        <f t="shared" si="3"/>
        <v>0.4375</v>
      </c>
      <c r="U51" s="149"/>
      <c r="V51" s="149"/>
      <c r="W51" s="150"/>
      <c r="X51" s="151"/>
      <c r="Y51" s="557"/>
      <c r="Z51" s="216"/>
      <c r="AA51" s="217"/>
      <c r="AB51" s="361"/>
      <c r="AC51" s="451"/>
      <c r="AD51" s="452"/>
      <c r="AE51" s="452"/>
      <c r="AF51" s="452"/>
    </row>
    <row r="52" spans="1:32" s="176" customFormat="1" ht="69.95" customHeight="1" x14ac:dyDescent="0.15">
      <c r="A52" s="432"/>
      <c r="B52" s="182">
        <f>$I$7</f>
        <v>727</v>
      </c>
      <c r="C52" s="461" t="str">
        <f>$A$7</f>
        <v>DG</v>
      </c>
      <c r="D52" s="461"/>
      <c r="E52" s="461"/>
      <c r="F52" s="395" t="str">
        <f>$A$6</f>
        <v>BR</v>
      </c>
      <c r="G52" s="396"/>
      <c r="H52" s="397"/>
      <c r="I52" s="442"/>
      <c r="J52" s="144"/>
      <c r="K52" s="139">
        <v>10</v>
      </c>
      <c r="L52" s="145" t="s">
        <v>61</v>
      </c>
      <c r="M52" s="78">
        <f t="shared" si="9"/>
        <v>1.8174999999999999</v>
      </c>
      <c r="N52" s="146"/>
      <c r="O52" s="147"/>
      <c r="P52" s="145" t="s">
        <v>10</v>
      </c>
      <c r="Q52" s="444"/>
      <c r="R52" s="161">
        <v>2</v>
      </c>
      <c r="S52" s="148" t="s">
        <v>10</v>
      </c>
      <c r="T52" s="84">
        <f t="shared" si="3"/>
        <v>0.18250000000000011</v>
      </c>
      <c r="U52" s="149"/>
      <c r="V52" s="149"/>
      <c r="W52" s="150"/>
      <c r="X52" s="151"/>
      <c r="Y52" s="446"/>
      <c r="Z52" s="216"/>
      <c r="AA52" s="217"/>
      <c r="AB52" s="362"/>
      <c r="AC52" s="451"/>
      <c r="AD52" s="452"/>
      <c r="AE52" s="452"/>
      <c r="AF52" s="452"/>
    </row>
    <row r="53" spans="1:32" s="206" customFormat="1" ht="69.95" customHeight="1" x14ac:dyDescent="0.15">
      <c r="A53" s="431" t="s">
        <v>441</v>
      </c>
      <c r="B53" s="182">
        <f t="shared" ref="B53" si="10">$I$5</f>
        <v>614</v>
      </c>
      <c r="C53" s="368" t="str">
        <f t="shared" ref="C53" si="11">$A$5</f>
        <v>DE</v>
      </c>
      <c r="D53" s="369"/>
      <c r="E53" s="370"/>
      <c r="F53" s="428"/>
      <c r="G53" s="369"/>
      <c r="H53" s="370"/>
      <c r="I53" s="441"/>
      <c r="J53" s="76"/>
      <c r="K53" s="139">
        <v>1</v>
      </c>
      <c r="L53" s="77" t="s">
        <v>63</v>
      </c>
      <c r="M53" s="78">
        <f t="shared" ref="M53:M73" si="12">K53*B53</f>
        <v>614</v>
      </c>
      <c r="N53" s="79"/>
      <c r="O53" s="78"/>
      <c r="P53" s="77" t="s">
        <v>65</v>
      </c>
      <c r="Q53" s="443"/>
      <c r="R53" s="78"/>
      <c r="S53" s="77" t="s">
        <v>65</v>
      </c>
      <c r="T53" s="84">
        <f t="shared" si="3"/>
        <v>-614</v>
      </c>
      <c r="U53" s="82"/>
      <c r="V53" s="82"/>
      <c r="W53" s="83"/>
      <c r="X53" s="81"/>
      <c r="Y53" s="445" t="s">
        <v>140</v>
      </c>
      <c r="Z53" s="86"/>
      <c r="AA53" s="85"/>
      <c r="AB53" s="360"/>
    </row>
    <row r="54" spans="1:32" s="206" customFormat="1" ht="69.95" customHeight="1" x14ac:dyDescent="0.15">
      <c r="A54" s="559"/>
      <c r="B54" s="186">
        <f>$I$6</f>
        <v>625</v>
      </c>
      <c r="C54" s="395" t="str">
        <f>$A$6</f>
        <v>BR</v>
      </c>
      <c r="D54" s="396"/>
      <c r="E54" s="397"/>
      <c r="F54" s="428"/>
      <c r="G54" s="369"/>
      <c r="H54" s="370"/>
      <c r="I54" s="563"/>
      <c r="J54" s="76"/>
      <c r="K54" s="139">
        <v>1</v>
      </c>
      <c r="L54" s="77" t="s">
        <v>63</v>
      </c>
      <c r="M54" s="78">
        <f t="shared" si="12"/>
        <v>625</v>
      </c>
      <c r="N54" s="140"/>
      <c r="O54" s="78"/>
      <c r="P54" s="77" t="s">
        <v>65</v>
      </c>
      <c r="Q54" s="447"/>
      <c r="R54" s="78"/>
      <c r="S54" s="77" t="s">
        <v>65</v>
      </c>
      <c r="T54" s="81">
        <f t="shared" si="3"/>
        <v>-625</v>
      </c>
      <c r="U54" s="82"/>
      <c r="V54" s="137"/>
      <c r="W54" s="78"/>
      <c r="X54" s="78"/>
      <c r="Y54" s="557"/>
      <c r="Z54" s="141"/>
      <c r="AA54" s="135"/>
      <c r="AB54" s="361"/>
      <c r="AC54" s="234"/>
      <c r="AD54" s="230"/>
      <c r="AE54" s="230"/>
      <c r="AF54" s="230"/>
    </row>
    <row r="55" spans="1:32" s="206" customFormat="1" ht="69.95" customHeight="1" x14ac:dyDescent="0.15">
      <c r="A55" s="432"/>
      <c r="B55" s="182">
        <f>$I$7</f>
        <v>727</v>
      </c>
      <c r="C55" s="461" t="str">
        <f>$A$7</f>
        <v>DG</v>
      </c>
      <c r="D55" s="461"/>
      <c r="E55" s="461"/>
      <c r="F55" s="428"/>
      <c r="G55" s="369"/>
      <c r="H55" s="370"/>
      <c r="I55" s="442"/>
      <c r="J55" s="76"/>
      <c r="K55" s="139">
        <v>1</v>
      </c>
      <c r="L55" s="77" t="s">
        <v>63</v>
      </c>
      <c r="M55" s="78">
        <f t="shared" si="12"/>
        <v>727</v>
      </c>
      <c r="N55" s="140"/>
      <c r="O55" s="78"/>
      <c r="P55" s="77" t="s">
        <v>65</v>
      </c>
      <c r="Q55" s="444"/>
      <c r="R55" s="78"/>
      <c r="S55" s="77" t="s">
        <v>65</v>
      </c>
      <c r="T55" s="81">
        <f t="shared" si="3"/>
        <v>-727</v>
      </c>
      <c r="U55" s="82"/>
      <c r="V55" s="137"/>
      <c r="W55" s="78"/>
      <c r="X55" s="78"/>
      <c r="Y55" s="446"/>
      <c r="Z55" s="141"/>
      <c r="AA55" s="135"/>
      <c r="AB55" s="362"/>
      <c r="AC55" s="234"/>
      <c r="AD55" s="230"/>
      <c r="AE55" s="230"/>
      <c r="AF55" s="230"/>
    </row>
    <row r="56" spans="1:32" s="55" customFormat="1" ht="69.95" customHeight="1" x14ac:dyDescent="0.15">
      <c r="A56" s="431" t="s">
        <v>100</v>
      </c>
      <c r="B56" s="182">
        <f t="shared" ref="B56:B62" si="13">$I$5</f>
        <v>614</v>
      </c>
      <c r="C56" s="368" t="str">
        <f t="shared" ref="C56:C62" si="14">$A$5</f>
        <v>DE</v>
      </c>
      <c r="D56" s="369"/>
      <c r="E56" s="370"/>
      <c r="F56" s="428"/>
      <c r="G56" s="369"/>
      <c r="H56" s="370"/>
      <c r="I56" s="441" t="s">
        <v>101</v>
      </c>
      <c r="J56" s="76"/>
      <c r="K56" s="139">
        <v>1</v>
      </c>
      <c r="L56" s="77" t="s">
        <v>63</v>
      </c>
      <c r="M56" s="78">
        <f t="shared" si="12"/>
        <v>614</v>
      </c>
      <c r="N56" s="79"/>
      <c r="O56" s="78"/>
      <c r="P56" s="80" t="s">
        <v>63</v>
      </c>
      <c r="Q56" s="443">
        <v>46207</v>
      </c>
      <c r="R56" s="78">
        <v>614</v>
      </c>
      <c r="S56" s="80" t="s">
        <v>63</v>
      </c>
      <c r="T56" s="84">
        <f t="shared" si="3"/>
        <v>0</v>
      </c>
      <c r="U56" s="82"/>
      <c r="V56" s="82"/>
      <c r="W56" s="83"/>
      <c r="X56" s="81"/>
      <c r="Y56" s="445" t="s">
        <v>94</v>
      </c>
      <c r="Z56" s="86"/>
      <c r="AA56" s="85"/>
      <c r="AB56" s="360" t="s">
        <v>484</v>
      </c>
    </row>
    <row r="57" spans="1:32" s="55" customFormat="1" ht="69.95" customHeight="1" x14ac:dyDescent="0.15">
      <c r="A57" s="559"/>
      <c r="B57" s="186">
        <f>$I$6</f>
        <v>625</v>
      </c>
      <c r="C57" s="395" t="str">
        <f>$A$6</f>
        <v>BR</v>
      </c>
      <c r="D57" s="396"/>
      <c r="E57" s="397"/>
      <c r="F57" s="428"/>
      <c r="G57" s="369"/>
      <c r="H57" s="370"/>
      <c r="I57" s="563"/>
      <c r="J57" s="76"/>
      <c r="K57" s="139">
        <v>1</v>
      </c>
      <c r="L57" s="77" t="s">
        <v>63</v>
      </c>
      <c r="M57" s="78">
        <f t="shared" si="12"/>
        <v>625</v>
      </c>
      <c r="N57" s="140"/>
      <c r="O57" s="78"/>
      <c r="P57" s="80" t="s">
        <v>63</v>
      </c>
      <c r="Q57" s="444"/>
      <c r="R57" s="78">
        <v>625</v>
      </c>
      <c r="S57" s="80" t="s">
        <v>63</v>
      </c>
      <c r="T57" s="81">
        <f t="shared" si="3"/>
        <v>0</v>
      </c>
      <c r="U57" s="82"/>
      <c r="V57" s="137"/>
      <c r="W57" s="78"/>
      <c r="X57" s="78"/>
      <c r="Y57" s="557"/>
      <c r="Z57" s="141"/>
      <c r="AA57" s="135"/>
      <c r="AB57" s="361"/>
      <c r="AC57" s="142"/>
      <c r="AD57" s="179"/>
      <c r="AE57" s="179"/>
      <c r="AF57" s="179"/>
    </row>
    <row r="58" spans="1:32" s="55" customFormat="1" ht="69.95" customHeight="1" x14ac:dyDescent="0.15">
      <c r="A58" s="432"/>
      <c r="B58" s="182">
        <f>$I$7</f>
        <v>727</v>
      </c>
      <c r="C58" s="461" t="str">
        <f>$A$7</f>
        <v>DG</v>
      </c>
      <c r="D58" s="461"/>
      <c r="E58" s="461"/>
      <c r="F58" s="428"/>
      <c r="G58" s="369"/>
      <c r="H58" s="370"/>
      <c r="I58" s="442"/>
      <c r="J58" s="76"/>
      <c r="K58" s="139">
        <v>1</v>
      </c>
      <c r="L58" s="77" t="s">
        <v>63</v>
      </c>
      <c r="M58" s="78">
        <f t="shared" si="12"/>
        <v>727</v>
      </c>
      <c r="N58" s="140"/>
      <c r="O58" s="78"/>
      <c r="P58" s="80" t="s">
        <v>63</v>
      </c>
      <c r="Q58" s="629"/>
      <c r="R58" s="309"/>
      <c r="S58" s="80" t="s">
        <v>63</v>
      </c>
      <c r="T58" s="81">
        <f t="shared" si="3"/>
        <v>-727</v>
      </c>
      <c r="U58" s="82"/>
      <c r="V58" s="137"/>
      <c r="W58" s="78"/>
      <c r="X58" s="78"/>
      <c r="Y58" s="446"/>
      <c r="Z58" s="141"/>
      <c r="AA58" s="135"/>
      <c r="AB58" s="361"/>
      <c r="AC58" s="142"/>
      <c r="AD58" s="179"/>
      <c r="AE58" s="179"/>
      <c r="AF58" s="179"/>
    </row>
    <row r="59" spans="1:32" s="55" customFormat="1" ht="69.95" customHeight="1" x14ac:dyDescent="0.15">
      <c r="A59" s="431" t="s">
        <v>103</v>
      </c>
      <c r="B59" s="182">
        <f t="shared" ref="B59" si="15">$I$5</f>
        <v>614</v>
      </c>
      <c r="C59" s="368" t="str">
        <f t="shared" ref="C59" si="16">$A$5</f>
        <v>DE</v>
      </c>
      <c r="D59" s="369"/>
      <c r="E59" s="370"/>
      <c r="F59" s="428"/>
      <c r="G59" s="429"/>
      <c r="H59" s="430"/>
      <c r="I59" s="75"/>
      <c r="J59" s="76"/>
      <c r="K59" s="139">
        <v>1</v>
      </c>
      <c r="L59" s="77" t="s">
        <v>65</v>
      </c>
      <c r="M59" s="78">
        <f t="shared" si="12"/>
        <v>614</v>
      </c>
      <c r="N59" s="79"/>
      <c r="O59" s="78"/>
      <c r="P59" s="80" t="s">
        <v>65</v>
      </c>
      <c r="Q59" s="447">
        <v>46207</v>
      </c>
      <c r="R59" s="78">
        <v>614</v>
      </c>
      <c r="S59" s="80" t="s">
        <v>65</v>
      </c>
      <c r="T59" s="84">
        <f t="shared" si="3"/>
        <v>0</v>
      </c>
      <c r="U59" s="82"/>
      <c r="V59" s="82"/>
      <c r="W59" s="83"/>
      <c r="X59" s="81"/>
      <c r="Y59" s="445" t="s">
        <v>94</v>
      </c>
      <c r="Z59" s="86"/>
      <c r="AA59" s="85"/>
      <c r="AB59" s="361"/>
    </row>
    <row r="60" spans="1:32" s="55" customFormat="1" ht="69.95" customHeight="1" x14ac:dyDescent="0.15">
      <c r="A60" s="559"/>
      <c r="B60" s="186">
        <f>$I$6</f>
        <v>625</v>
      </c>
      <c r="C60" s="368" t="str">
        <f>$A$6</f>
        <v>BR</v>
      </c>
      <c r="D60" s="369"/>
      <c r="E60" s="370"/>
      <c r="F60" s="428"/>
      <c r="G60" s="429"/>
      <c r="H60" s="430"/>
      <c r="I60" s="75"/>
      <c r="J60" s="76"/>
      <c r="K60" s="139">
        <v>1</v>
      </c>
      <c r="L60" s="77" t="s">
        <v>65</v>
      </c>
      <c r="M60" s="78">
        <f t="shared" si="12"/>
        <v>625</v>
      </c>
      <c r="N60" s="140"/>
      <c r="O60" s="78"/>
      <c r="P60" s="80" t="s">
        <v>65</v>
      </c>
      <c r="Q60" s="444"/>
      <c r="R60" s="78">
        <v>625</v>
      </c>
      <c r="S60" s="80" t="s">
        <v>65</v>
      </c>
      <c r="T60" s="81">
        <f t="shared" si="3"/>
        <v>0</v>
      </c>
      <c r="U60" s="82"/>
      <c r="V60" s="137"/>
      <c r="W60" s="78"/>
      <c r="X60" s="78"/>
      <c r="Y60" s="557"/>
      <c r="Z60" s="141"/>
      <c r="AA60" s="135"/>
      <c r="AB60" s="361"/>
      <c r="AC60" s="142"/>
      <c r="AD60" s="179"/>
      <c r="AE60" s="179"/>
      <c r="AF60" s="179"/>
    </row>
    <row r="61" spans="1:32" s="55" customFormat="1" ht="69.95" customHeight="1" x14ac:dyDescent="0.15">
      <c r="A61" s="432"/>
      <c r="B61" s="182">
        <f>$I$7</f>
        <v>727</v>
      </c>
      <c r="C61" s="368" t="str">
        <f>$A$7</f>
        <v>DG</v>
      </c>
      <c r="D61" s="369"/>
      <c r="E61" s="370"/>
      <c r="F61" s="428"/>
      <c r="G61" s="429"/>
      <c r="H61" s="430"/>
      <c r="I61" s="75"/>
      <c r="J61" s="76"/>
      <c r="K61" s="139">
        <v>1</v>
      </c>
      <c r="L61" s="77" t="s">
        <v>65</v>
      </c>
      <c r="M61" s="78">
        <f t="shared" si="12"/>
        <v>727</v>
      </c>
      <c r="N61" s="140"/>
      <c r="O61" s="78"/>
      <c r="P61" s="80" t="s">
        <v>65</v>
      </c>
      <c r="Q61" s="359"/>
      <c r="R61" s="309"/>
      <c r="S61" s="80" t="s">
        <v>65</v>
      </c>
      <c r="T61" s="81">
        <f t="shared" si="3"/>
        <v>-727</v>
      </c>
      <c r="U61" s="82"/>
      <c r="V61" s="137"/>
      <c r="W61" s="78"/>
      <c r="X61" s="78"/>
      <c r="Y61" s="446"/>
      <c r="Z61" s="141"/>
      <c r="AA61" s="135"/>
      <c r="AB61" s="362"/>
      <c r="AC61" s="142"/>
      <c r="AD61" s="179"/>
      <c r="AE61" s="179"/>
      <c r="AF61" s="179"/>
    </row>
    <row r="62" spans="1:32" s="55" customFormat="1" ht="69.95" customHeight="1" x14ac:dyDescent="0.15">
      <c r="A62" s="611" t="s">
        <v>417</v>
      </c>
      <c r="B62" s="191">
        <f t="shared" si="13"/>
        <v>614</v>
      </c>
      <c r="C62" s="422" t="str">
        <f t="shared" si="14"/>
        <v>DE</v>
      </c>
      <c r="D62" s="423"/>
      <c r="E62" s="424"/>
      <c r="F62" s="425"/>
      <c r="G62" s="426"/>
      <c r="H62" s="427"/>
      <c r="I62" s="433" t="s">
        <v>75</v>
      </c>
      <c r="J62" s="192"/>
      <c r="K62" s="193">
        <v>2</v>
      </c>
      <c r="L62" s="194" t="s">
        <v>63</v>
      </c>
      <c r="M62" s="195">
        <f t="shared" si="12"/>
        <v>1228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3"/>
        <v>-1228</v>
      </c>
      <c r="U62" s="199"/>
      <c r="V62" s="199"/>
      <c r="W62" s="208"/>
      <c r="X62" s="198"/>
      <c r="Y62" s="437" t="s">
        <v>64</v>
      </c>
      <c r="Z62" s="231"/>
      <c r="AA62" s="232"/>
      <c r="AB62" s="360"/>
    </row>
    <row r="63" spans="1:32" s="55" customFormat="1" ht="69.95" customHeight="1" x14ac:dyDescent="0.15">
      <c r="A63" s="613"/>
      <c r="B63" s="204">
        <f>$I$6</f>
        <v>625</v>
      </c>
      <c r="C63" s="422" t="str">
        <f>$A$6</f>
        <v>BR</v>
      </c>
      <c r="D63" s="423"/>
      <c r="E63" s="424"/>
      <c r="F63" s="425"/>
      <c r="G63" s="426"/>
      <c r="H63" s="427"/>
      <c r="I63" s="560"/>
      <c r="J63" s="192"/>
      <c r="K63" s="193">
        <v>2</v>
      </c>
      <c r="L63" s="194" t="s">
        <v>63</v>
      </c>
      <c r="M63" s="195">
        <f t="shared" si="12"/>
        <v>1250</v>
      </c>
      <c r="N63" s="233"/>
      <c r="O63" s="195"/>
      <c r="P63" s="197" t="s">
        <v>63</v>
      </c>
      <c r="Q63" s="561"/>
      <c r="R63" s="195"/>
      <c r="S63" s="197" t="s">
        <v>63</v>
      </c>
      <c r="T63" s="198">
        <f t="shared" si="3"/>
        <v>-1250</v>
      </c>
      <c r="U63" s="199"/>
      <c r="V63" s="200"/>
      <c r="W63" s="195"/>
      <c r="X63" s="195"/>
      <c r="Y63" s="562"/>
      <c r="Z63" s="201"/>
      <c r="AA63" s="202"/>
      <c r="AB63" s="361"/>
      <c r="AC63" s="142"/>
      <c r="AD63" s="179"/>
      <c r="AE63" s="179"/>
      <c r="AF63" s="179"/>
    </row>
    <row r="64" spans="1:32" s="55" customFormat="1" ht="69.95" customHeight="1" x14ac:dyDescent="0.15">
      <c r="A64" s="612"/>
      <c r="B64" s="191">
        <f>$I$7</f>
        <v>727</v>
      </c>
      <c r="C64" s="465" t="str">
        <f>$A$7</f>
        <v>DG</v>
      </c>
      <c r="D64" s="465"/>
      <c r="E64" s="465"/>
      <c r="F64" s="425"/>
      <c r="G64" s="426"/>
      <c r="H64" s="427"/>
      <c r="I64" s="434"/>
      <c r="J64" s="192"/>
      <c r="K64" s="193">
        <v>2</v>
      </c>
      <c r="L64" s="194" t="s">
        <v>63</v>
      </c>
      <c r="M64" s="195">
        <f t="shared" si="12"/>
        <v>1454</v>
      </c>
      <c r="N64" s="233"/>
      <c r="O64" s="195"/>
      <c r="P64" s="197" t="s">
        <v>63</v>
      </c>
      <c r="Q64" s="436"/>
      <c r="R64" s="195"/>
      <c r="S64" s="197" t="s">
        <v>63</v>
      </c>
      <c r="T64" s="198">
        <f t="shared" si="3"/>
        <v>-1454</v>
      </c>
      <c r="U64" s="199"/>
      <c r="V64" s="200"/>
      <c r="W64" s="195"/>
      <c r="X64" s="195"/>
      <c r="Y64" s="438"/>
      <c r="Z64" s="201"/>
      <c r="AA64" s="202"/>
      <c r="AB64" s="362"/>
      <c r="AC64" s="142"/>
      <c r="AD64" s="179"/>
      <c r="AE64" s="179"/>
      <c r="AF64" s="179"/>
    </row>
    <row r="65" spans="1:32" s="55" customFormat="1" ht="69.95" customHeight="1" x14ac:dyDescent="0.15">
      <c r="A65" s="431" t="s">
        <v>364</v>
      </c>
      <c r="B65" s="182">
        <f t="shared" ref="B65" si="17">$I$5</f>
        <v>614</v>
      </c>
      <c r="C65" s="368" t="str">
        <f t="shared" ref="C65" si="18">$A$5</f>
        <v>DE</v>
      </c>
      <c r="D65" s="369"/>
      <c r="E65" s="370"/>
      <c r="F65" s="428"/>
      <c r="G65" s="429"/>
      <c r="H65" s="430"/>
      <c r="I65" s="441" t="s">
        <v>75</v>
      </c>
      <c r="J65" s="76"/>
      <c r="K65" s="139">
        <v>1</v>
      </c>
      <c r="L65" s="77" t="s">
        <v>63</v>
      </c>
      <c r="M65" s="78">
        <f t="shared" si="12"/>
        <v>614</v>
      </c>
      <c r="N65" s="79"/>
      <c r="O65" s="78"/>
      <c r="P65" s="80" t="s">
        <v>63</v>
      </c>
      <c r="Q65" s="443"/>
      <c r="R65" s="78"/>
      <c r="S65" s="80" t="s">
        <v>63</v>
      </c>
      <c r="T65" s="84">
        <f t="shared" si="3"/>
        <v>-614</v>
      </c>
      <c r="U65" s="82"/>
      <c r="V65" s="82"/>
      <c r="W65" s="83"/>
      <c r="X65" s="81"/>
      <c r="Y65" s="445" t="s">
        <v>64</v>
      </c>
      <c r="Z65" s="86"/>
      <c r="AA65" s="85"/>
      <c r="AB65" s="586"/>
    </row>
    <row r="66" spans="1:32" s="55" customFormat="1" ht="69.95" customHeight="1" x14ac:dyDescent="0.15">
      <c r="A66" s="559"/>
      <c r="B66" s="186">
        <f>$I$6</f>
        <v>625</v>
      </c>
      <c r="C66" s="368" t="str">
        <f>$A$6</f>
        <v>BR</v>
      </c>
      <c r="D66" s="369"/>
      <c r="E66" s="370"/>
      <c r="F66" s="428"/>
      <c r="G66" s="429"/>
      <c r="H66" s="430"/>
      <c r="I66" s="563"/>
      <c r="J66" s="76"/>
      <c r="K66" s="139">
        <v>1</v>
      </c>
      <c r="L66" s="77" t="s">
        <v>63</v>
      </c>
      <c r="M66" s="78">
        <f t="shared" si="12"/>
        <v>625</v>
      </c>
      <c r="N66" s="140"/>
      <c r="O66" s="78"/>
      <c r="P66" s="80" t="s">
        <v>63</v>
      </c>
      <c r="Q66" s="447"/>
      <c r="R66" s="78"/>
      <c r="S66" s="80" t="s">
        <v>63</v>
      </c>
      <c r="T66" s="81">
        <f t="shared" si="3"/>
        <v>-625</v>
      </c>
      <c r="U66" s="82"/>
      <c r="V66" s="137"/>
      <c r="W66" s="78"/>
      <c r="X66" s="78"/>
      <c r="Y66" s="557"/>
      <c r="Z66" s="141"/>
      <c r="AA66" s="135"/>
      <c r="AB66" s="587"/>
      <c r="AC66" s="142"/>
      <c r="AD66" s="179"/>
      <c r="AE66" s="179"/>
      <c r="AF66" s="179"/>
    </row>
    <row r="67" spans="1:32" s="55" customFormat="1" ht="69.95" customHeight="1" x14ac:dyDescent="0.15">
      <c r="A67" s="432"/>
      <c r="B67" s="239">
        <f>$I$7</f>
        <v>727</v>
      </c>
      <c r="C67" s="456" t="str">
        <f>$A$7</f>
        <v>DG</v>
      </c>
      <c r="D67" s="456"/>
      <c r="E67" s="456"/>
      <c r="F67" s="428"/>
      <c r="G67" s="429"/>
      <c r="H67" s="430"/>
      <c r="I67" s="442"/>
      <c r="J67" s="76"/>
      <c r="K67" s="139">
        <v>1</v>
      </c>
      <c r="L67" s="77" t="s">
        <v>63</v>
      </c>
      <c r="M67" s="78">
        <f t="shared" si="12"/>
        <v>727</v>
      </c>
      <c r="N67" s="140"/>
      <c r="O67" s="78"/>
      <c r="P67" s="80" t="s">
        <v>63</v>
      </c>
      <c r="Q67" s="444"/>
      <c r="R67" s="78"/>
      <c r="S67" s="80" t="s">
        <v>63</v>
      </c>
      <c r="T67" s="81">
        <f t="shared" si="3"/>
        <v>-727</v>
      </c>
      <c r="U67" s="82"/>
      <c r="V67" s="137"/>
      <c r="W67" s="78"/>
      <c r="X67" s="78"/>
      <c r="Y67" s="446"/>
      <c r="Z67" s="141"/>
      <c r="AA67" s="135"/>
      <c r="AB67" s="588"/>
      <c r="AC67" s="142"/>
      <c r="AD67" s="179"/>
      <c r="AE67" s="179"/>
      <c r="AF67" s="179"/>
    </row>
    <row r="68" spans="1:32" s="55" customFormat="1" ht="69.95" customHeight="1" x14ac:dyDescent="0.15">
      <c r="A68" s="611" t="s">
        <v>365</v>
      </c>
      <c r="B68" s="191">
        <f t="shared" ref="B68" si="19">$I$5</f>
        <v>614</v>
      </c>
      <c r="C68" s="422" t="str">
        <f t="shared" ref="C68" si="20">$A$5</f>
        <v>DE</v>
      </c>
      <c r="D68" s="423"/>
      <c r="E68" s="424"/>
      <c r="F68" s="425"/>
      <c r="G68" s="426"/>
      <c r="H68" s="427"/>
      <c r="I68" s="433" t="s">
        <v>102</v>
      </c>
      <c r="J68" s="192"/>
      <c r="K68" s="209">
        <v>0.56000000000000005</v>
      </c>
      <c r="L68" s="194" t="s">
        <v>129</v>
      </c>
      <c r="M68" s="195">
        <f t="shared" si="12"/>
        <v>343.84000000000003</v>
      </c>
      <c r="N68" s="196"/>
      <c r="O68" s="195"/>
      <c r="P68" s="197" t="s">
        <v>63</v>
      </c>
      <c r="Q68" s="435"/>
      <c r="R68" s="195"/>
      <c r="S68" s="197" t="s">
        <v>63</v>
      </c>
      <c r="T68" s="205">
        <f t="shared" si="3"/>
        <v>-343.84000000000003</v>
      </c>
      <c r="U68" s="199"/>
      <c r="V68" s="199"/>
      <c r="W68" s="208"/>
      <c r="X68" s="198"/>
      <c r="Y68" s="437" t="s">
        <v>130</v>
      </c>
      <c r="Z68" s="231"/>
      <c r="AA68" s="232"/>
      <c r="AB68" s="360"/>
    </row>
    <row r="69" spans="1:32" s="55" customFormat="1" ht="69.95" customHeight="1" x14ac:dyDescent="0.15">
      <c r="A69" s="613"/>
      <c r="B69" s="204">
        <f>$I$6</f>
        <v>625</v>
      </c>
      <c r="C69" s="422" t="str">
        <f>$A$6</f>
        <v>BR</v>
      </c>
      <c r="D69" s="423"/>
      <c r="E69" s="424"/>
      <c r="F69" s="425"/>
      <c r="G69" s="426"/>
      <c r="H69" s="427"/>
      <c r="I69" s="560"/>
      <c r="J69" s="192"/>
      <c r="K69" s="209">
        <v>0.56000000000000005</v>
      </c>
      <c r="L69" s="194" t="s">
        <v>129</v>
      </c>
      <c r="M69" s="195">
        <f t="shared" si="12"/>
        <v>350.00000000000006</v>
      </c>
      <c r="N69" s="233"/>
      <c r="O69" s="195"/>
      <c r="P69" s="197" t="s">
        <v>63</v>
      </c>
      <c r="Q69" s="561"/>
      <c r="R69" s="195"/>
      <c r="S69" s="197" t="s">
        <v>63</v>
      </c>
      <c r="T69" s="198">
        <f t="shared" si="3"/>
        <v>-350.00000000000006</v>
      </c>
      <c r="U69" s="199"/>
      <c r="V69" s="200"/>
      <c r="W69" s="195"/>
      <c r="X69" s="195"/>
      <c r="Y69" s="562"/>
      <c r="Z69" s="201"/>
      <c r="AA69" s="202"/>
      <c r="AB69" s="361"/>
      <c r="AC69" s="142"/>
      <c r="AD69" s="179"/>
      <c r="AE69" s="179"/>
      <c r="AF69" s="179"/>
    </row>
    <row r="70" spans="1:32" s="55" customFormat="1" ht="69.95" customHeight="1" x14ac:dyDescent="0.15">
      <c r="A70" s="612"/>
      <c r="B70" s="191">
        <f>$I$7</f>
        <v>727</v>
      </c>
      <c r="C70" s="465" t="str">
        <f>$A$7</f>
        <v>DG</v>
      </c>
      <c r="D70" s="465"/>
      <c r="E70" s="465"/>
      <c r="F70" s="425"/>
      <c r="G70" s="426"/>
      <c r="H70" s="427"/>
      <c r="I70" s="434"/>
      <c r="J70" s="192"/>
      <c r="K70" s="209"/>
      <c r="L70" s="194" t="s">
        <v>129</v>
      </c>
      <c r="M70" s="195">
        <f t="shared" si="12"/>
        <v>0</v>
      </c>
      <c r="N70" s="233"/>
      <c r="O70" s="195"/>
      <c r="P70" s="197" t="s">
        <v>63</v>
      </c>
      <c r="Q70" s="436"/>
      <c r="R70" s="195"/>
      <c r="S70" s="197" t="s">
        <v>63</v>
      </c>
      <c r="T70" s="198">
        <f t="shared" si="3"/>
        <v>0</v>
      </c>
      <c r="U70" s="199"/>
      <c r="V70" s="200"/>
      <c r="W70" s="195"/>
      <c r="X70" s="195"/>
      <c r="Y70" s="438"/>
      <c r="Z70" s="201"/>
      <c r="AA70" s="202"/>
      <c r="AB70" s="362"/>
      <c r="AC70" s="142"/>
      <c r="AD70" s="179"/>
      <c r="AE70" s="179"/>
      <c r="AF70" s="179"/>
    </row>
    <row r="71" spans="1:32" s="55" customFormat="1" ht="69.95" customHeight="1" x14ac:dyDescent="0.15">
      <c r="A71" s="611" t="s">
        <v>418</v>
      </c>
      <c r="B71" s="191">
        <f t="shared" ref="B71" si="21">$I$5</f>
        <v>614</v>
      </c>
      <c r="C71" s="422" t="str">
        <f t="shared" ref="C71" si="22">$A$5</f>
        <v>DE</v>
      </c>
      <c r="D71" s="423"/>
      <c r="E71" s="424"/>
      <c r="F71" s="425"/>
      <c r="G71" s="426"/>
      <c r="H71" s="427"/>
      <c r="I71" s="433" t="s">
        <v>367</v>
      </c>
      <c r="J71" s="192"/>
      <c r="K71" s="209">
        <v>0.4</v>
      </c>
      <c r="L71" s="194" t="s">
        <v>129</v>
      </c>
      <c r="M71" s="195">
        <f t="shared" si="12"/>
        <v>245.60000000000002</v>
      </c>
      <c r="N71" s="196"/>
      <c r="O71" s="195"/>
      <c r="P71" s="197" t="s">
        <v>63</v>
      </c>
      <c r="Q71" s="435"/>
      <c r="R71" s="195"/>
      <c r="S71" s="197" t="s">
        <v>63</v>
      </c>
      <c r="T71" s="205">
        <f t="shared" si="3"/>
        <v>-245.60000000000002</v>
      </c>
      <c r="U71" s="199"/>
      <c r="V71" s="199"/>
      <c r="W71" s="208"/>
      <c r="X71" s="198"/>
      <c r="Y71" s="437" t="s">
        <v>130</v>
      </c>
      <c r="Z71" s="231"/>
      <c r="AA71" s="232"/>
      <c r="AB71" s="360"/>
    </row>
    <row r="72" spans="1:32" s="55" customFormat="1" ht="69.95" customHeight="1" x14ac:dyDescent="0.15">
      <c r="A72" s="613"/>
      <c r="B72" s="204">
        <f>$I$6</f>
        <v>625</v>
      </c>
      <c r="C72" s="422" t="str">
        <f>$A$6</f>
        <v>BR</v>
      </c>
      <c r="D72" s="423"/>
      <c r="E72" s="424"/>
      <c r="F72" s="425"/>
      <c r="G72" s="426"/>
      <c r="H72" s="427"/>
      <c r="I72" s="560"/>
      <c r="J72" s="192"/>
      <c r="K72" s="209">
        <v>0.4</v>
      </c>
      <c r="L72" s="194" t="s">
        <v>129</v>
      </c>
      <c r="M72" s="195">
        <f t="shared" si="12"/>
        <v>250</v>
      </c>
      <c r="N72" s="233"/>
      <c r="O72" s="195"/>
      <c r="P72" s="197" t="s">
        <v>63</v>
      </c>
      <c r="Q72" s="561"/>
      <c r="R72" s="195"/>
      <c r="S72" s="197" t="s">
        <v>63</v>
      </c>
      <c r="T72" s="198">
        <f t="shared" si="3"/>
        <v>-250</v>
      </c>
      <c r="U72" s="199"/>
      <c r="V72" s="200"/>
      <c r="W72" s="195"/>
      <c r="X72" s="195"/>
      <c r="Y72" s="562"/>
      <c r="Z72" s="201"/>
      <c r="AA72" s="202"/>
      <c r="AB72" s="361"/>
      <c r="AC72" s="142"/>
      <c r="AD72" s="179"/>
      <c r="AE72" s="179"/>
      <c r="AF72" s="179"/>
    </row>
    <row r="73" spans="1:32" s="55" customFormat="1" ht="69.95" customHeight="1" x14ac:dyDescent="0.15">
      <c r="A73" s="612"/>
      <c r="B73" s="191">
        <f>$I$7</f>
        <v>727</v>
      </c>
      <c r="C73" s="465" t="str">
        <f>$A$7</f>
        <v>DG</v>
      </c>
      <c r="D73" s="465"/>
      <c r="E73" s="465"/>
      <c r="F73" s="425"/>
      <c r="G73" s="426"/>
      <c r="H73" s="427"/>
      <c r="I73" s="434"/>
      <c r="J73" s="192"/>
      <c r="K73" s="209">
        <v>0.4</v>
      </c>
      <c r="L73" s="194" t="s">
        <v>129</v>
      </c>
      <c r="M73" s="195">
        <f t="shared" si="12"/>
        <v>290.8</v>
      </c>
      <c r="N73" s="233"/>
      <c r="O73" s="195"/>
      <c r="P73" s="197" t="s">
        <v>63</v>
      </c>
      <c r="Q73" s="436"/>
      <c r="R73" s="195"/>
      <c r="S73" s="197" t="s">
        <v>63</v>
      </c>
      <c r="T73" s="198">
        <f t="shared" si="3"/>
        <v>-290.8</v>
      </c>
      <c r="U73" s="199"/>
      <c r="V73" s="200"/>
      <c r="W73" s="195"/>
      <c r="X73" s="195"/>
      <c r="Y73" s="438"/>
      <c r="Z73" s="201"/>
      <c r="AA73" s="202"/>
      <c r="AB73" s="362"/>
      <c r="AC73" s="142"/>
      <c r="AD73" s="179"/>
      <c r="AE73" s="179"/>
      <c r="AF73" s="179"/>
    </row>
    <row r="74" spans="1:32" s="206" customFormat="1" ht="69.95" customHeight="1" x14ac:dyDescent="0.15">
      <c r="A74" s="431" t="s">
        <v>437</v>
      </c>
      <c r="B74" s="182">
        <f t="shared" ref="B74" si="23">$I$5</f>
        <v>614</v>
      </c>
      <c r="C74" s="368" t="str">
        <f t="shared" ref="C74" si="24">$A$5</f>
        <v>DE</v>
      </c>
      <c r="D74" s="369"/>
      <c r="E74" s="370"/>
      <c r="F74" s="428"/>
      <c r="G74" s="429"/>
      <c r="H74" s="430"/>
      <c r="I74" s="441" t="s">
        <v>372</v>
      </c>
      <c r="J74" s="76"/>
      <c r="K74" s="136">
        <v>0.48</v>
      </c>
      <c r="L74" s="77" t="s">
        <v>63</v>
      </c>
      <c r="M74" s="78">
        <f t="shared" si="4"/>
        <v>294.71999999999997</v>
      </c>
      <c r="N74" s="79"/>
      <c r="O74" s="78"/>
      <c r="P74" s="80" t="s">
        <v>63</v>
      </c>
      <c r="Q74" s="443"/>
      <c r="R74" s="78"/>
      <c r="S74" s="80" t="s">
        <v>63</v>
      </c>
      <c r="T74" s="84">
        <f t="shared" si="3"/>
        <v>-294.71999999999997</v>
      </c>
      <c r="U74" s="82"/>
      <c r="V74" s="82"/>
      <c r="W74" s="83"/>
      <c r="X74" s="81"/>
      <c r="Y74" s="445" t="s">
        <v>130</v>
      </c>
      <c r="Z74" s="86"/>
      <c r="AA74" s="85"/>
      <c r="AB74" s="360"/>
    </row>
    <row r="75" spans="1:32" s="206" customFormat="1" ht="69.95" customHeight="1" x14ac:dyDescent="0.15">
      <c r="A75" s="559"/>
      <c r="B75" s="186">
        <f>$I$6</f>
        <v>625</v>
      </c>
      <c r="C75" s="368" t="str">
        <f>$A$6</f>
        <v>BR</v>
      </c>
      <c r="D75" s="369"/>
      <c r="E75" s="370"/>
      <c r="F75" s="428"/>
      <c r="G75" s="429"/>
      <c r="H75" s="430"/>
      <c r="I75" s="563"/>
      <c r="J75" s="76"/>
      <c r="K75" s="136">
        <v>0.48</v>
      </c>
      <c r="L75" s="77" t="s">
        <v>63</v>
      </c>
      <c r="M75" s="78">
        <f t="shared" si="4"/>
        <v>300</v>
      </c>
      <c r="N75" s="140"/>
      <c r="O75" s="78"/>
      <c r="P75" s="80" t="s">
        <v>63</v>
      </c>
      <c r="Q75" s="447"/>
      <c r="R75" s="78"/>
      <c r="S75" s="80" t="s">
        <v>63</v>
      </c>
      <c r="T75" s="81">
        <f t="shared" si="3"/>
        <v>-300</v>
      </c>
      <c r="U75" s="82"/>
      <c r="V75" s="137"/>
      <c r="W75" s="78"/>
      <c r="X75" s="78"/>
      <c r="Y75" s="557"/>
      <c r="Z75" s="141"/>
      <c r="AA75" s="135"/>
      <c r="AB75" s="361"/>
      <c r="AC75" s="234"/>
      <c r="AD75" s="230"/>
      <c r="AE75" s="230"/>
      <c r="AF75" s="230"/>
    </row>
    <row r="76" spans="1:32" s="206" customFormat="1" ht="69.95" customHeight="1" x14ac:dyDescent="0.15">
      <c r="A76" s="432"/>
      <c r="B76" s="182">
        <f>$I$7</f>
        <v>727</v>
      </c>
      <c r="C76" s="461" t="str">
        <f>$A$7</f>
        <v>DG</v>
      </c>
      <c r="D76" s="461"/>
      <c r="E76" s="461"/>
      <c r="F76" s="428"/>
      <c r="G76" s="429"/>
      <c r="H76" s="430"/>
      <c r="I76" s="442"/>
      <c r="J76" s="76"/>
      <c r="K76" s="136">
        <v>0.48</v>
      </c>
      <c r="L76" s="77" t="s">
        <v>63</v>
      </c>
      <c r="M76" s="78">
        <f t="shared" si="4"/>
        <v>348.96</v>
      </c>
      <c r="N76" s="140"/>
      <c r="O76" s="78"/>
      <c r="P76" s="80" t="s">
        <v>63</v>
      </c>
      <c r="Q76" s="444"/>
      <c r="R76" s="78"/>
      <c r="S76" s="80" t="s">
        <v>63</v>
      </c>
      <c r="T76" s="81">
        <f t="shared" si="3"/>
        <v>-348.96</v>
      </c>
      <c r="U76" s="82"/>
      <c r="V76" s="137"/>
      <c r="W76" s="78"/>
      <c r="X76" s="78"/>
      <c r="Y76" s="446"/>
      <c r="Z76" s="141"/>
      <c r="AA76" s="135"/>
      <c r="AB76" s="362"/>
      <c r="AC76" s="234"/>
      <c r="AD76" s="230"/>
      <c r="AE76" s="230"/>
      <c r="AF76" s="230"/>
    </row>
    <row r="77" spans="1:32" s="176" customFormat="1" ht="54.95" customHeight="1" x14ac:dyDescent="0.15">
      <c r="A77" s="386" t="s">
        <v>66</v>
      </c>
      <c r="B77" s="164">
        <f>C11</f>
        <v>820</v>
      </c>
      <c r="C77" s="407" t="s">
        <v>219</v>
      </c>
      <c r="D77" s="408"/>
      <c r="E77" s="409"/>
      <c r="F77" s="371"/>
      <c r="G77" s="372"/>
      <c r="H77" s="373"/>
      <c r="I77" s="614" t="s">
        <v>358</v>
      </c>
      <c r="J77" s="255"/>
      <c r="K77" s="263">
        <v>1</v>
      </c>
      <c r="L77" s="168" t="s">
        <v>63</v>
      </c>
      <c r="M77" s="169">
        <f t="shared" si="4"/>
        <v>820</v>
      </c>
      <c r="N77" s="171"/>
      <c r="O77" s="277"/>
      <c r="P77" s="169" t="s">
        <v>63</v>
      </c>
      <c r="Q77" s="376">
        <v>46221</v>
      </c>
      <c r="R77" s="277">
        <v>820</v>
      </c>
      <c r="S77" s="169" t="s">
        <v>63</v>
      </c>
      <c r="T77" s="278">
        <f t="shared" si="3"/>
        <v>0</v>
      </c>
      <c r="U77" s="279"/>
      <c r="V77" s="280"/>
      <c r="W77" s="278"/>
      <c r="X77" s="278"/>
      <c r="Y77" s="374" t="s">
        <v>72</v>
      </c>
      <c r="Z77" s="374"/>
      <c r="AA77" s="374"/>
      <c r="AB77" s="404" t="s">
        <v>485</v>
      </c>
    </row>
    <row r="78" spans="1:32" s="176" customFormat="1" ht="54.95" customHeight="1" x14ac:dyDescent="0.15">
      <c r="A78" s="387"/>
      <c r="B78" s="164">
        <f>D11</f>
        <v>870</v>
      </c>
      <c r="C78" s="410"/>
      <c r="D78" s="411"/>
      <c r="E78" s="412"/>
      <c r="F78" s="371"/>
      <c r="G78" s="372"/>
      <c r="H78" s="373"/>
      <c r="I78" s="615"/>
      <c r="J78" s="255"/>
      <c r="K78" s="167">
        <v>1</v>
      </c>
      <c r="L78" s="168" t="s">
        <v>63</v>
      </c>
      <c r="M78" s="169">
        <f t="shared" si="4"/>
        <v>870</v>
      </c>
      <c r="N78" s="171"/>
      <c r="O78" s="277"/>
      <c r="P78" s="169" t="s">
        <v>63</v>
      </c>
      <c r="Q78" s="377"/>
      <c r="R78" s="277">
        <v>870</v>
      </c>
      <c r="S78" s="169" t="s">
        <v>63</v>
      </c>
      <c r="T78" s="278">
        <f t="shared" si="3"/>
        <v>0</v>
      </c>
      <c r="U78" s="279"/>
      <c r="V78" s="280"/>
      <c r="W78" s="278"/>
      <c r="X78" s="278"/>
      <c r="Y78" s="375"/>
      <c r="Z78" s="375"/>
      <c r="AA78" s="375"/>
      <c r="AB78" s="405"/>
    </row>
    <row r="79" spans="1:32" s="176" customFormat="1" ht="54.95" customHeight="1" x14ac:dyDescent="0.15">
      <c r="A79" s="387"/>
      <c r="B79" s="164">
        <f>E11</f>
        <v>276</v>
      </c>
      <c r="C79" s="410"/>
      <c r="D79" s="411"/>
      <c r="E79" s="412"/>
      <c r="F79" s="371"/>
      <c r="G79" s="372"/>
      <c r="H79" s="373"/>
      <c r="I79" s="615"/>
      <c r="J79" s="255"/>
      <c r="K79" s="167">
        <v>1</v>
      </c>
      <c r="L79" s="168" t="s">
        <v>63</v>
      </c>
      <c r="M79" s="169">
        <f t="shared" si="4"/>
        <v>276</v>
      </c>
      <c r="N79" s="171"/>
      <c r="O79" s="277"/>
      <c r="P79" s="169" t="s">
        <v>63</v>
      </c>
      <c r="Q79" s="377"/>
      <c r="R79" s="277">
        <v>276</v>
      </c>
      <c r="S79" s="169" t="s">
        <v>63</v>
      </c>
      <c r="T79" s="278">
        <f t="shared" si="3"/>
        <v>0</v>
      </c>
      <c r="U79" s="279"/>
      <c r="V79" s="280"/>
      <c r="W79" s="278"/>
      <c r="X79" s="278"/>
      <c r="Y79" s="375"/>
      <c r="Z79" s="375"/>
      <c r="AA79" s="375"/>
      <c r="AB79" s="405"/>
    </row>
    <row r="80" spans="1:32" s="176" customFormat="1" ht="54.95" customHeight="1" x14ac:dyDescent="0.15">
      <c r="A80" s="387"/>
      <c r="B80" s="164">
        <f>F11</f>
        <v>0</v>
      </c>
      <c r="C80" s="410"/>
      <c r="D80" s="411"/>
      <c r="E80" s="412"/>
      <c r="F80" s="371"/>
      <c r="G80" s="372"/>
      <c r="H80" s="373"/>
      <c r="I80" s="615"/>
      <c r="J80" s="255"/>
      <c r="K80" s="167">
        <v>1</v>
      </c>
      <c r="L80" s="168" t="s">
        <v>63</v>
      </c>
      <c r="M80" s="169">
        <f t="shared" si="4"/>
        <v>0</v>
      </c>
      <c r="N80" s="171"/>
      <c r="O80" s="277"/>
      <c r="P80" s="169" t="s">
        <v>63</v>
      </c>
      <c r="Q80" s="377"/>
      <c r="R80" s="277"/>
      <c r="S80" s="169" t="s">
        <v>63</v>
      </c>
      <c r="T80" s="278">
        <f t="shared" si="3"/>
        <v>0</v>
      </c>
      <c r="U80" s="279"/>
      <c r="V80" s="280"/>
      <c r="W80" s="278"/>
      <c r="X80" s="278"/>
      <c r="Y80" s="375"/>
      <c r="Z80" s="375"/>
      <c r="AA80" s="375"/>
      <c r="AB80" s="405"/>
    </row>
    <row r="81" spans="1:28" s="176" customFormat="1" ht="54.95" customHeight="1" x14ac:dyDescent="0.15">
      <c r="A81" s="388"/>
      <c r="B81" s="164">
        <f>G11</f>
        <v>0</v>
      </c>
      <c r="C81" s="413"/>
      <c r="D81" s="414"/>
      <c r="E81" s="415"/>
      <c r="F81" s="371"/>
      <c r="G81" s="372"/>
      <c r="H81" s="373"/>
      <c r="I81" s="616"/>
      <c r="J81" s="255"/>
      <c r="K81" s="167">
        <v>1</v>
      </c>
      <c r="L81" s="168" t="s">
        <v>63</v>
      </c>
      <c r="M81" s="169">
        <f t="shared" si="4"/>
        <v>0</v>
      </c>
      <c r="N81" s="171"/>
      <c r="O81" s="277"/>
      <c r="P81" s="169" t="s">
        <v>63</v>
      </c>
      <c r="Q81" s="378"/>
      <c r="R81" s="277"/>
      <c r="S81" s="169" t="s">
        <v>63</v>
      </c>
      <c r="T81" s="278">
        <f t="shared" si="3"/>
        <v>0</v>
      </c>
      <c r="U81" s="279"/>
      <c r="V81" s="280"/>
      <c r="W81" s="278"/>
      <c r="X81" s="278"/>
      <c r="Y81" s="379"/>
      <c r="Z81" s="379"/>
      <c r="AA81" s="379"/>
      <c r="AB81" s="406"/>
    </row>
    <row r="82" spans="1:28" s="176" customFormat="1" ht="54.95" customHeight="1" x14ac:dyDescent="0.15">
      <c r="A82" s="386" t="s">
        <v>419</v>
      </c>
      <c r="B82" s="164">
        <f>C5+C8</f>
        <v>260</v>
      </c>
      <c r="C82" s="456" t="str">
        <f>A5</f>
        <v>DE</v>
      </c>
      <c r="D82" s="456"/>
      <c r="E82" s="456"/>
      <c r="F82" s="371"/>
      <c r="G82" s="372"/>
      <c r="H82" s="373"/>
      <c r="I82" s="614"/>
      <c r="J82" s="276"/>
      <c r="K82" s="167">
        <v>1</v>
      </c>
      <c r="L82" s="168" t="s">
        <v>63</v>
      </c>
      <c r="M82" s="169">
        <f t="shared" si="4"/>
        <v>260</v>
      </c>
      <c r="N82" s="171"/>
      <c r="O82" s="277"/>
      <c r="P82" s="169" t="s">
        <v>63</v>
      </c>
      <c r="Q82" s="376">
        <v>46221</v>
      </c>
      <c r="R82" s="277">
        <v>260</v>
      </c>
      <c r="S82" s="169" t="s">
        <v>63</v>
      </c>
      <c r="T82" s="278">
        <f t="shared" si="3"/>
        <v>0</v>
      </c>
      <c r="U82" s="281"/>
      <c r="V82" s="282"/>
      <c r="W82" s="278"/>
      <c r="X82" s="278"/>
      <c r="Y82" s="374" t="s">
        <v>72</v>
      </c>
      <c r="Z82" s="374"/>
      <c r="AA82" s="374"/>
      <c r="AB82" s="586" t="s">
        <v>485</v>
      </c>
    </row>
    <row r="83" spans="1:28" s="176" customFormat="1" ht="54.95" customHeight="1" x14ac:dyDescent="0.15">
      <c r="A83" s="387"/>
      <c r="B83" s="164">
        <f>D5+D8</f>
        <v>270</v>
      </c>
      <c r="C83" s="456"/>
      <c r="D83" s="456"/>
      <c r="E83" s="456"/>
      <c r="F83" s="371"/>
      <c r="G83" s="372"/>
      <c r="H83" s="373"/>
      <c r="I83" s="615"/>
      <c r="J83" s="276"/>
      <c r="K83" s="167">
        <v>1</v>
      </c>
      <c r="L83" s="168" t="s">
        <v>63</v>
      </c>
      <c r="M83" s="169">
        <f t="shared" si="4"/>
        <v>270</v>
      </c>
      <c r="N83" s="171"/>
      <c r="O83" s="277"/>
      <c r="P83" s="169" t="s">
        <v>63</v>
      </c>
      <c r="Q83" s="377"/>
      <c r="R83" s="277">
        <v>270</v>
      </c>
      <c r="S83" s="169" t="s">
        <v>63</v>
      </c>
      <c r="T83" s="278">
        <f t="shared" si="3"/>
        <v>0</v>
      </c>
      <c r="U83" s="281"/>
      <c r="V83" s="282"/>
      <c r="W83" s="278"/>
      <c r="X83" s="278"/>
      <c r="Y83" s="375"/>
      <c r="Z83" s="375"/>
      <c r="AA83" s="375"/>
      <c r="AB83" s="587"/>
    </row>
    <row r="84" spans="1:28" s="176" customFormat="1" ht="54.95" customHeight="1" x14ac:dyDescent="0.15">
      <c r="A84" s="387"/>
      <c r="B84" s="164">
        <f>E5+E8</f>
        <v>84</v>
      </c>
      <c r="C84" s="456"/>
      <c r="D84" s="456"/>
      <c r="E84" s="456"/>
      <c r="F84" s="371"/>
      <c r="G84" s="372"/>
      <c r="H84" s="373"/>
      <c r="I84" s="615"/>
      <c r="J84" s="276"/>
      <c r="K84" s="167">
        <v>1</v>
      </c>
      <c r="L84" s="168" t="s">
        <v>63</v>
      </c>
      <c r="M84" s="169">
        <f t="shared" si="4"/>
        <v>84</v>
      </c>
      <c r="N84" s="171"/>
      <c r="O84" s="277"/>
      <c r="P84" s="169" t="s">
        <v>63</v>
      </c>
      <c r="Q84" s="377"/>
      <c r="R84" s="277">
        <v>84</v>
      </c>
      <c r="S84" s="169" t="s">
        <v>63</v>
      </c>
      <c r="T84" s="278">
        <f t="shared" si="3"/>
        <v>0</v>
      </c>
      <c r="U84" s="281"/>
      <c r="V84" s="282"/>
      <c r="W84" s="278"/>
      <c r="X84" s="278"/>
      <c r="Y84" s="375"/>
      <c r="Z84" s="375"/>
      <c r="AA84" s="375"/>
      <c r="AB84" s="587"/>
    </row>
    <row r="85" spans="1:28" s="176" customFormat="1" ht="54.95" customHeight="1" x14ac:dyDescent="0.15">
      <c r="A85" s="387"/>
      <c r="B85" s="164">
        <f>C6+C9</f>
        <v>260</v>
      </c>
      <c r="C85" s="456" t="str">
        <f>A6</f>
        <v>BR</v>
      </c>
      <c r="D85" s="456"/>
      <c r="E85" s="456"/>
      <c r="F85" s="371"/>
      <c r="G85" s="372"/>
      <c r="H85" s="373"/>
      <c r="I85" s="615"/>
      <c r="J85" s="276"/>
      <c r="K85" s="167">
        <v>1</v>
      </c>
      <c r="L85" s="168" t="s">
        <v>63</v>
      </c>
      <c r="M85" s="169">
        <f t="shared" si="4"/>
        <v>260</v>
      </c>
      <c r="N85" s="171"/>
      <c r="O85" s="277"/>
      <c r="P85" s="169" t="s">
        <v>63</v>
      </c>
      <c r="Q85" s="377"/>
      <c r="R85" s="168">
        <v>260</v>
      </c>
      <c r="S85" s="169" t="s">
        <v>63</v>
      </c>
      <c r="T85" s="278">
        <f t="shared" si="3"/>
        <v>0</v>
      </c>
      <c r="U85" s="281"/>
      <c r="V85" s="282"/>
      <c r="W85" s="278"/>
      <c r="X85" s="278"/>
      <c r="Y85" s="375"/>
      <c r="Z85" s="375"/>
      <c r="AA85" s="375"/>
      <c r="AB85" s="587"/>
    </row>
    <row r="86" spans="1:28" s="176" customFormat="1" ht="54.95" customHeight="1" x14ac:dyDescent="0.15">
      <c r="A86" s="387"/>
      <c r="B86" s="164">
        <f>D6+D9</f>
        <v>280</v>
      </c>
      <c r="C86" s="456"/>
      <c r="D86" s="456"/>
      <c r="E86" s="456"/>
      <c r="F86" s="371"/>
      <c r="G86" s="372"/>
      <c r="H86" s="373"/>
      <c r="I86" s="615"/>
      <c r="J86" s="276"/>
      <c r="K86" s="167">
        <v>1</v>
      </c>
      <c r="L86" s="168" t="s">
        <v>63</v>
      </c>
      <c r="M86" s="169">
        <f t="shared" ref="M86:M106" si="25">K86*B86</f>
        <v>280</v>
      </c>
      <c r="N86" s="171"/>
      <c r="O86" s="277"/>
      <c r="P86" s="169" t="s">
        <v>63</v>
      </c>
      <c r="Q86" s="377"/>
      <c r="R86" s="168">
        <v>280</v>
      </c>
      <c r="S86" s="169" t="s">
        <v>63</v>
      </c>
      <c r="T86" s="278">
        <f t="shared" si="3"/>
        <v>0</v>
      </c>
      <c r="U86" s="281"/>
      <c r="V86" s="282"/>
      <c r="W86" s="278"/>
      <c r="X86" s="278"/>
      <c r="Y86" s="375"/>
      <c r="Z86" s="375"/>
      <c r="AA86" s="375"/>
      <c r="AB86" s="587"/>
    </row>
    <row r="87" spans="1:28" s="176" customFormat="1" ht="54.95" customHeight="1" x14ac:dyDescent="0.15">
      <c r="A87" s="387"/>
      <c r="B87" s="164">
        <f>E6+E9</f>
        <v>85</v>
      </c>
      <c r="C87" s="456"/>
      <c r="D87" s="456"/>
      <c r="E87" s="456"/>
      <c r="F87" s="371"/>
      <c r="G87" s="372"/>
      <c r="H87" s="373"/>
      <c r="I87" s="615"/>
      <c r="J87" s="276"/>
      <c r="K87" s="167">
        <v>1</v>
      </c>
      <c r="L87" s="168" t="s">
        <v>63</v>
      </c>
      <c r="M87" s="169">
        <f t="shared" si="25"/>
        <v>85</v>
      </c>
      <c r="N87" s="171"/>
      <c r="O87" s="277"/>
      <c r="P87" s="169" t="s">
        <v>63</v>
      </c>
      <c r="Q87" s="377"/>
      <c r="R87" s="277">
        <v>85</v>
      </c>
      <c r="S87" s="169" t="s">
        <v>63</v>
      </c>
      <c r="T87" s="278">
        <f>R87-M87</f>
        <v>0</v>
      </c>
      <c r="U87" s="281"/>
      <c r="V87" s="282"/>
      <c r="W87" s="278"/>
      <c r="X87" s="278"/>
      <c r="Y87" s="375"/>
      <c r="Z87" s="375"/>
      <c r="AA87" s="375"/>
      <c r="AB87" s="587"/>
    </row>
    <row r="88" spans="1:28" s="176" customFormat="1" ht="54.95" customHeight="1" x14ac:dyDescent="0.15">
      <c r="A88" s="387"/>
      <c r="B88" s="164">
        <f>C7+C10</f>
        <v>300</v>
      </c>
      <c r="C88" s="456" t="str">
        <f>A7</f>
        <v>DG</v>
      </c>
      <c r="D88" s="456"/>
      <c r="E88" s="456"/>
      <c r="F88" s="371"/>
      <c r="G88" s="372"/>
      <c r="H88" s="373"/>
      <c r="I88" s="615"/>
      <c r="J88" s="276"/>
      <c r="K88" s="167">
        <v>1</v>
      </c>
      <c r="L88" s="168" t="s">
        <v>63</v>
      </c>
      <c r="M88" s="169">
        <f t="shared" si="25"/>
        <v>300</v>
      </c>
      <c r="N88" s="171"/>
      <c r="O88" s="277"/>
      <c r="P88" s="169" t="s">
        <v>63</v>
      </c>
      <c r="Q88" s="377"/>
      <c r="R88" s="277">
        <v>300</v>
      </c>
      <c r="S88" s="169" t="s">
        <v>63</v>
      </c>
      <c r="T88" s="278">
        <f>R88-M88</f>
        <v>0</v>
      </c>
      <c r="U88" s="281"/>
      <c r="V88" s="282"/>
      <c r="W88" s="278"/>
      <c r="X88" s="278"/>
      <c r="Y88" s="375"/>
      <c r="Z88" s="375"/>
      <c r="AA88" s="375"/>
      <c r="AB88" s="587"/>
    </row>
    <row r="89" spans="1:28" s="176" customFormat="1" ht="54.95" customHeight="1" x14ac:dyDescent="0.15">
      <c r="A89" s="387"/>
      <c r="B89" s="164">
        <f>D7+D10</f>
        <v>320</v>
      </c>
      <c r="C89" s="456"/>
      <c r="D89" s="456"/>
      <c r="E89" s="456"/>
      <c r="F89" s="371"/>
      <c r="G89" s="372"/>
      <c r="H89" s="373"/>
      <c r="I89" s="615"/>
      <c r="J89" s="276"/>
      <c r="K89" s="167">
        <v>1</v>
      </c>
      <c r="L89" s="168" t="s">
        <v>63</v>
      </c>
      <c r="M89" s="169">
        <f t="shared" si="25"/>
        <v>320</v>
      </c>
      <c r="N89" s="171"/>
      <c r="O89" s="277"/>
      <c r="P89" s="169" t="s">
        <v>63</v>
      </c>
      <c r="Q89" s="377"/>
      <c r="R89" s="277">
        <v>320</v>
      </c>
      <c r="S89" s="169" t="s">
        <v>63</v>
      </c>
      <c r="T89" s="278">
        <f>R89-M89</f>
        <v>0</v>
      </c>
      <c r="U89" s="281"/>
      <c r="V89" s="282"/>
      <c r="W89" s="278"/>
      <c r="X89" s="278"/>
      <c r="Y89" s="375"/>
      <c r="Z89" s="375"/>
      <c r="AA89" s="375"/>
      <c r="AB89" s="587"/>
    </row>
    <row r="90" spans="1:28" s="176" customFormat="1" ht="54.95" customHeight="1" x14ac:dyDescent="0.15">
      <c r="A90" s="388"/>
      <c r="B90" s="164">
        <f>E7+E10</f>
        <v>107</v>
      </c>
      <c r="C90" s="456"/>
      <c r="D90" s="456"/>
      <c r="E90" s="456"/>
      <c r="F90" s="371"/>
      <c r="G90" s="372"/>
      <c r="H90" s="373"/>
      <c r="I90" s="616"/>
      <c r="J90" s="276"/>
      <c r="K90" s="167">
        <v>1</v>
      </c>
      <c r="L90" s="168" t="s">
        <v>63</v>
      </c>
      <c r="M90" s="169">
        <f t="shared" si="25"/>
        <v>107</v>
      </c>
      <c r="N90" s="171"/>
      <c r="O90" s="277"/>
      <c r="P90" s="169" t="s">
        <v>63</v>
      </c>
      <c r="Q90" s="378"/>
      <c r="R90" s="168">
        <v>107</v>
      </c>
      <c r="S90" s="169" t="s">
        <v>63</v>
      </c>
      <c r="T90" s="278">
        <f>R90-M90</f>
        <v>0</v>
      </c>
      <c r="U90" s="281"/>
      <c r="V90" s="282"/>
      <c r="W90" s="278"/>
      <c r="X90" s="278"/>
      <c r="Y90" s="379"/>
      <c r="Z90" s="379"/>
      <c r="AA90" s="379"/>
      <c r="AB90" s="588"/>
    </row>
    <row r="91" spans="1:28" s="176" customFormat="1" ht="54.95" customHeight="1" x14ac:dyDescent="0.15">
      <c r="A91" s="386" t="s">
        <v>158</v>
      </c>
      <c r="B91" s="164">
        <f>C5</f>
        <v>260</v>
      </c>
      <c r="C91" s="456" t="str">
        <f>A5</f>
        <v>DE</v>
      </c>
      <c r="D91" s="456"/>
      <c r="E91" s="456"/>
      <c r="F91" s="371"/>
      <c r="G91" s="372"/>
      <c r="H91" s="373"/>
      <c r="I91" s="276"/>
      <c r="J91" s="276"/>
      <c r="K91" s="167">
        <v>1</v>
      </c>
      <c r="L91" s="168" t="s">
        <v>63</v>
      </c>
      <c r="M91" s="169">
        <f t="shared" si="25"/>
        <v>260</v>
      </c>
      <c r="N91" s="171"/>
      <c r="O91" s="277"/>
      <c r="P91" s="169" t="s">
        <v>63</v>
      </c>
      <c r="Q91" s="376"/>
      <c r="R91" s="277"/>
      <c r="S91" s="169" t="s">
        <v>63</v>
      </c>
      <c r="T91" s="278">
        <f t="shared" si="3"/>
        <v>-260</v>
      </c>
      <c r="U91" s="281"/>
      <c r="V91" s="282"/>
      <c r="W91" s="278"/>
      <c r="X91" s="278"/>
      <c r="Y91" s="374" t="s">
        <v>67</v>
      </c>
      <c r="Z91" s="374"/>
      <c r="AA91" s="374"/>
      <c r="AB91" s="404"/>
    </row>
    <row r="92" spans="1:28" s="176" customFormat="1" ht="54.95" customHeight="1" x14ac:dyDescent="0.15">
      <c r="A92" s="387"/>
      <c r="B92" s="164">
        <f>D5</f>
        <v>270</v>
      </c>
      <c r="C92" s="456"/>
      <c r="D92" s="456"/>
      <c r="E92" s="456"/>
      <c r="F92" s="371"/>
      <c r="G92" s="372"/>
      <c r="H92" s="373"/>
      <c r="I92" s="276"/>
      <c r="J92" s="276"/>
      <c r="K92" s="167">
        <v>1</v>
      </c>
      <c r="L92" s="168" t="s">
        <v>63</v>
      </c>
      <c r="M92" s="169">
        <f t="shared" si="25"/>
        <v>270</v>
      </c>
      <c r="N92" s="171"/>
      <c r="O92" s="277"/>
      <c r="P92" s="169" t="s">
        <v>63</v>
      </c>
      <c r="Q92" s="377"/>
      <c r="R92" s="277"/>
      <c r="S92" s="169" t="s">
        <v>63</v>
      </c>
      <c r="T92" s="278">
        <f t="shared" si="3"/>
        <v>-270</v>
      </c>
      <c r="U92" s="281"/>
      <c r="V92" s="282"/>
      <c r="W92" s="278"/>
      <c r="X92" s="278"/>
      <c r="Y92" s="375"/>
      <c r="Z92" s="375"/>
      <c r="AA92" s="375"/>
      <c r="AB92" s="405"/>
    </row>
    <row r="93" spans="1:28" s="176" customFormat="1" ht="54.95" customHeight="1" x14ac:dyDescent="0.15">
      <c r="A93" s="387"/>
      <c r="B93" s="164">
        <f>E5</f>
        <v>84</v>
      </c>
      <c r="C93" s="456"/>
      <c r="D93" s="456"/>
      <c r="E93" s="456"/>
      <c r="F93" s="371"/>
      <c r="G93" s="372"/>
      <c r="H93" s="373"/>
      <c r="I93" s="276"/>
      <c r="J93" s="276"/>
      <c r="K93" s="167">
        <v>1</v>
      </c>
      <c r="L93" s="168" t="s">
        <v>63</v>
      </c>
      <c r="M93" s="169">
        <f t="shared" si="25"/>
        <v>84</v>
      </c>
      <c r="N93" s="171"/>
      <c r="O93" s="277"/>
      <c r="P93" s="169" t="s">
        <v>63</v>
      </c>
      <c r="Q93" s="377"/>
      <c r="R93" s="277"/>
      <c r="S93" s="169" t="s">
        <v>63</v>
      </c>
      <c r="T93" s="278">
        <f t="shared" si="3"/>
        <v>-84</v>
      </c>
      <c r="U93" s="281"/>
      <c r="V93" s="282"/>
      <c r="W93" s="278"/>
      <c r="X93" s="278"/>
      <c r="Y93" s="375"/>
      <c r="Z93" s="375"/>
      <c r="AA93" s="375"/>
      <c r="AB93" s="405"/>
    </row>
    <row r="94" spans="1:28" s="176" customFormat="1" ht="54.95" customHeight="1" x14ac:dyDescent="0.15">
      <c r="A94" s="387"/>
      <c r="B94" s="164">
        <f>C6</f>
        <v>260</v>
      </c>
      <c r="C94" s="456" t="str">
        <f>A6</f>
        <v>BR</v>
      </c>
      <c r="D94" s="456"/>
      <c r="E94" s="456"/>
      <c r="F94" s="371"/>
      <c r="G94" s="372"/>
      <c r="H94" s="373"/>
      <c r="I94" s="276"/>
      <c r="J94" s="276"/>
      <c r="K94" s="167">
        <v>1</v>
      </c>
      <c r="L94" s="168" t="s">
        <v>63</v>
      </c>
      <c r="M94" s="169">
        <f t="shared" si="25"/>
        <v>260</v>
      </c>
      <c r="N94" s="171"/>
      <c r="O94" s="277"/>
      <c r="P94" s="169" t="s">
        <v>63</v>
      </c>
      <c r="Q94" s="377"/>
      <c r="R94" s="168"/>
      <c r="S94" s="169" t="s">
        <v>63</v>
      </c>
      <c r="T94" s="278">
        <f t="shared" si="3"/>
        <v>-260</v>
      </c>
      <c r="U94" s="281"/>
      <c r="V94" s="282"/>
      <c r="W94" s="278"/>
      <c r="X94" s="278"/>
      <c r="Y94" s="375"/>
      <c r="Z94" s="375"/>
      <c r="AA94" s="375"/>
      <c r="AB94" s="405"/>
    </row>
    <row r="95" spans="1:28" s="176" customFormat="1" ht="54.95" customHeight="1" x14ac:dyDescent="0.15">
      <c r="A95" s="387"/>
      <c r="B95" s="164">
        <f>D6</f>
        <v>280</v>
      </c>
      <c r="C95" s="456"/>
      <c r="D95" s="456"/>
      <c r="E95" s="456"/>
      <c r="F95" s="371"/>
      <c r="G95" s="372"/>
      <c r="H95" s="373"/>
      <c r="I95" s="276"/>
      <c r="J95" s="276"/>
      <c r="K95" s="167">
        <v>1</v>
      </c>
      <c r="L95" s="168" t="s">
        <v>63</v>
      </c>
      <c r="M95" s="169">
        <f t="shared" si="25"/>
        <v>280</v>
      </c>
      <c r="N95" s="171"/>
      <c r="O95" s="277"/>
      <c r="P95" s="169" t="s">
        <v>63</v>
      </c>
      <c r="Q95" s="377"/>
      <c r="R95" s="168"/>
      <c r="S95" s="169" t="s">
        <v>63</v>
      </c>
      <c r="T95" s="278">
        <f t="shared" si="3"/>
        <v>-280</v>
      </c>
      <c r="U95" s="281"/>
      <c r="V95" s="282"/>
      <c r="W95" s="278"/>
      <c r="X95" s="278"/>
      <c r="Y95" s="375"/>
      <c r="Z95" s="375"/>
      <c r="AA95" s="375"/>
      <c r="AB95" s="405"/>
    </row>
    <row r="96" spans="1:28" s="176" customFormat="1" ht="54.95" customHeight="1" x14ac:dyDescent="0.15">
      <c r="A96" s="387"/>
      <c r="B96" s="164">
        <f>E6</f>
        <v>85</v>
      </c>
      <c r="C96" s="456"/>
      <c r="D96" s="456"/>
      <c r="E96" s="456"/>
      <c r="F96" s="371"/>
      <c r="G96" s="372"/>
      <c r="H96" s="373"/>
      <c r="I96" s="276"/>
      <c r="J96" s="276"/>
      <c r="K96" s="167">
        <v>1</v>
      </c>
      <c r="L96" s="168" t="s">
        <v>63</v>
      </c>
      <c r="M96" s="169">
        <f t="shared" si="25"/>
        <v>85</v>
      </c>
      <c r="N96" s="171"/>
      <c r="O96" s="277"/>
      <c r="P96" s="169" t="s">
        <v>63</v>
      </c>
      <c r="Q96" s="377"/>
      <c r="R96" s="277"/>
      <c r="S96" s="169" t="s">
        <v>63</v>
      </c>
      <c r="T96" s="278">
        <f t="shared" si="3"/>
        <v>-85</v>
      </c>
      <c r="U96" s="281"/>
      <c r="V96" s="282"/>
      <c r="W96" s="278"/>
      <c r="X96" s="278"/>
      <c r="Y96" s="374" t="s">
        <v>67</v>
      </c>
      <c r="Z96" s="374"/>
      <c r="AA96" s="374"/>
      <c r="AB96" s="405"/>
    </row>
    <row r="97" spans="1:28" s="176" customFormat="1" ht="54.95" customHeight="1" x14ac:dyDescent="0.15">
      <c r="A97" s="387"/>
      <c r="B97" s="164">
        <f>C7</f>
        <v>300</v>
      </c>
      <c r="C97" s="456" t="str">
        <f>A7</f>
        <v>DG</v>
      </c>
      <c r="D97" s="456"/>
      <c r="E97" s="456"/>
      <c r="F97" s="371"/>
      <c r="G97" s="372"/>
      <c r="H97" s="373"/>
      <c r="I97" s="276"/>
      <c r="J97" s="276"/>
      <c r="K97" s="167">
        <v>1</v>
      </c>
      <c r="L97" s="168" t="s">
        <v>63</v>
      </c>
      <c r="M97" s="169">
        <f t="shared" si="25"/>
        <v>300</v>
      </c>
      <c r="N97" s="171"/>
      <c r="O97" s="277"/>
      <c r="P97" s="169" t="s">
        <v>63</v>
      </c>
      <c r="Q97" s="377"/>
      <c r="R97" s="277"/>
      <c r="S97" s="169" t="s">
        <v>63</v>
      </c>
      <c r="T97" s="278">
        <f t="shared" si="3"/>
        <v>-300</v>
      </c>
      <c r="U97" s="281"/>
      <c r="V97" s="282"/>
      <c r="W97" s="278"/>
      <c r="X97" s="278"/>
      <c r="Y97" s="375"/>
      <c r="Z97" s="375"/>
      <c r="AA97" s="375"/>
      <c r="AB97" s="405"/>
    </row>
    <row r="98" spans="1:28" s="176" customFormat="1" ht="54.95" customHeight="1" x14ac:dyDescent="0.15">
      <c r="A98" s="387"/>
      <c r="B98" s="164">
        <f>D7</f>
        <v>320</v>
      </c>
      <c r="C98" s="456"/>
      <c r="D98" s="456"/>
      <c r="E98" s="456"/>
      <c r="F98" s="371"/>
      <c r="G98" s="372"/>
      <c r="H98" s="373"/>
      <c r="I98" s="276"/>
      <c r="J98" s="276"/>
      <c r="K98" s="167">
        <v>1</v>
      </c>
      <c r="L98" s="168" t="s">
        <v>63</v>
      </c>
      <c r="M98" s="169">
        <f t="shared" si="25"/>
        <v>320</v>
      </c>
      <c r="N98" s="171"/>
      <c r="O98" s="277"/>
      <c r="P98" s="169" t="s">
        <v>63</v>
      </c>
      <c r="Q98" s="377"/>
      <c r="R98" s="277"/>
      <c r="S98" s="169" t="s">
        <v>63</v>
      </c>
      <c r="T98" s="278">
        <f t="shared" si="3"/>
        <v>-320</v>
      </c>
      <c r="U98" s="281"/>
      <c r="V98" s="282"/>
      <c r="W98" s="278"/>
      <c r="X98" s="278"/>
      <c r="Y98" s="375"/>
      <c r="Z98" s="375"/>
      <c r="AA98" s="375"/>
      <c r="AB98" s="405"/>
    </row>
    <row r="99" spans="1:28" s="176" customFormat="1" ht="54.95" customHeight="1" x14ac:dyDescent="0.15">
      <c r="A99" s="387"/>
      <c r="B99" s="164">
        <f>E7</f>
        <v>107</v>
      </c>
      <c r="C99" s="456"/>
      <c r="D99" s="456"/>
      <c r="E99" s="456"/>
      <c r="F99" s="371"/>
      <c r="G99" s="372"/>
      <c r="H99" s="373"/>
      <c r="I99" s="276"/>
      <c r="J99" s="276"/>
      <c r="K99" s="167">
        <v>1</v>
      </c>
      <c r="L99" s="168" t="s">
        <v>63</v>
      </c>
      <c r="M99" s="169">
        <f t="shared" si="25"/>
        <v>107</v>
      </c>
      <c r="N99" s="171"/>
      <c r="O99" s="277"/>
      <c r="P99" s="169" t="s">
        <v>63</v>
      </c>
      <c r="Q99" s="378"/>
      <c r="R99" s="168"/>
      <c r="S99" s="169" t="s">
        <v>63</v>
      </c>
      <c r="T99" s="278">
        <f t="shared" si="3"/>
        <v>-107</v>
      </c>
      <c r="U99" s="281"/>
      <c r="V99" s="282"/>
      <c r="W99" s="278"/>
      <c r="X99" s="278"/>
      <c r="Y99" s="375"/>
      <c r="Z99" s="375"/>
      <c r="AA99" s="375"/>
      <c r="AB99" s="405"/>
    </row>
    <row r="100" spans="1:28" s="55" customFormat="1" ht="54.95" customHeight="1" x14ac:dyDescent="0.15">
      <c r="A100" s="386" t="s">
        <v>159</v>
      </c>
      <c r="B100" s="87">
        <f>C11</f>
        <v>820</v>
      </c>
      <c r="C100" s="389" t="s">
        <v>71</v>
      </c>
      <c r="D100" s="390"/>
      <c r="E100" s="391"/>
      <c r="F100" s="368"/>
      <c r="G100" s="369"/>
      <c r="H100" s="370"/>
      <c r="I100" s="152"/>
      <c r="J100" s="90"/>
      <c r="K100" s="156">
        <v>1</v>
      </c>
      <c r="L100" s="77" t="s">
        <v>63</v>
      </c>
      <c r="M100" s="88">
        <f t="shared" si="25"/>
        <v>820</v>
      </c>
      <c r="N100" s="89"/>
      <c r="O100" s="153"/>
      <c r="P100" s="88" t="s">
        <v>63</v>
      </c>
      <c r="Q100" s="398">
        <v>46207</v>
      </c>
      <c r="R100" s="93">
        <v>820</v>
      </c>
      <c r="S100" s="88" t="s">
        <v>63</v>
      </c>
      <c r="T100" s="154">
        <f t="shared" si="3"/>
        <v>0</v>
      </c>
      <c r="U100" s="91"/>
      <c r="V100" s="159"/>
      <c r="W100" s="159"/>
      <c r="X100" s="159"/>
      <c r="Y100" s="401" t="s">
        <v>94</v>
      </c>
      <c r="Z100" s="416"/>
      <c r="AA100" s="416"/>
      <c r="AB100" s="419" t="s">
        <v>485</v>
      </c>
    </row>
    <row r="101" spans="1:28" s="55" customFormat="1" ht="54.95" customHeight="1" x14ac:dyDescent="0.15">
      <c r="A101" s="387"/>
      <c r="B101" s="87">
        <f>D11</f>
        <v>870</v>
      </c>
      <c r="C101" s="392"/>
      <c r="D101" s="393"/>
      <c r="E101" s="394"/>
      <c r="F101" s="368"/>
      <c r="G101" s="369"/>
      <c r="H101" s="370"/>
      <c r="I101" s="152"/>
      <c r="J101" s="90"/>
      <c r="K101" s="156">
        <v>1</v>
      </c>
      <c r="L101" s="77" t="s">
        <v>63</v>
      </c>
      <c r="M101" s="88">
        <f t="shared" si="25"/>
        <v>870</v>
      </c>
      <c r="N101" s="89"/>
      <c r="O101" s="153"/>
      <c r="P101" s="88" t="s">
        <v>63</v>
      </c>
      <c r="Q101" s="399"/>
      <c r="R101" s="93">
        <v>870</v>
      </c>
      <c r="S101" s="88" t="s">
        <v>63</v>
      </c>
      <c r="T101" s="154">
        <f t="shared" si="3"/>
        <v>0</v>
      </c>
      <c r="U101" s="91"/>
      <c r="V101" s="159"/>
      <c r="W101" s="159"/>
      <c r="X101" s="159"/>
      <c r="Y101" s="402"/>
      <c r="Z101" s="417"/>
      <c r="AA101" s="417"/>
      <c r="AB101" s="420"/>
    </row>
    <row r="102" spans="1:28" s="55" customFormat="1" ht="54.95" customHeight="1" x14ac:dyDescent="0.15">
      <c r="A102" s="387"/>
      <c r="B102" s="87">
        <f>E11</f>
        <v>276</v>
      </c>
      <c r="C102" s="392"/>
      <c r="D102" s="393"/>
      <c r="E102" s="394"/>
      <c r="F102" s="368"/>
      <c r="G102" s="369"/>
      <c r="H102" s="370"/>
      <c r="I102" s="152"/>
      <c r="J102" s="90"/>
      <c r="K102" s="156">
        <v>1</v>
      </c>
      <c r="L102" s="77" t="s">
        <v>63</v>
      </c>
      <c r="M102" s="88">
        <f t="shared" si="25"/>
        <v>276</v>
      </c>
      <c r="N102" s="89"/>
      <c r="O102" s="153"/>
      <c r="P102" s="88" t="s">
        <v>63</v>
      </c>
      <c r="Q102" s="399"/>
      <c r="R102" s="93">
        <v>276</v>
      </c>
      <c r="S102" s="88" t="s">
        <v>63</v>
      </c>
      <c r="T102" s="154">
        <f t="shared" si="3"/>
        <v>0</v>
      </c>
      <c r="U102" s="91"/>
      <c r="V102" s="159"/>
      <c r="W102" s="159"/>
      <c r="X102" s="159"/>
      <c r="Y102" s="402"/>
      <c r="Z102" s="417"/>
      <c r="AA102" s="417"/>
      <c r="AB102" s="420"/>
    </row>
    <row r="103" spans="1:28" s="55" customFormat="1" ht="54.95" customHeight="1" x14ac:dyDescent="0.15">
      <c r="A103" s="388"/>
      <c r="B103" s="87">
        <f>F11</f>
        <v>0</v>
      </c>
      <c r="C103" s="395"/>
      <c r="D103" s="396"/>
      <c r="E103" s="397"/>
      <c r="F103" s="368"/>
      <c r="G103" s="369"/>
      <c r="H103" s="370"/>
      <c r="I103" s="152"/>
      <c r="J103" s="90"/>
      <c r="K103" s="156"/>
      <c r="L103" s="77" t="s">
        <v>63</v>
      </c>
      <c r="M103" s="88">
        <f t="shared" si="25"/>
        <v>0</v>
      </c>
      <c r="N103" s="89"/>
      <c r="O103" s="153"/>
      <c r="P103" s="88" t="s">
        <v>63</v>
      </c>
      <c r="Q103" s="400"/>
      <c r="R103" s="162"/>
      <c r="S103" s="88" t="s">
        <v>63</v>
      </c>
      <c r="T103" s="154">
        <f t="shared" si="3"/>
        <v>0</v>
      </c>
      <c r="U103" s="91"/>
      <c r="V103" s="159"/>
      <c r="W103" s="159"/>
      <c r="X103" s="159"/>
      <c r="Y103" s="403"/>
      <c r="Z103" s="418"/>
      <c r="AA103" s="418"/>
      <c r="AB103" s="421"/>
    </row>
    <row r="104" spans="1:28" s="176" customFormat="1" ht="54.95" customHeight="1" x14ac:dyDescent="0.15">
      <c r="A104" s="163" t="s">
        <v>73</v>
      </c>
      <c r="B104" s="164">
        <f>I11</f>
        <v>1966</v>
      </c>
      <c r="C104" s="371" t="s">
        <v>71</v>
      </c>
      <c r="D104" s="372"/>
      <c r="E104" s="373"/>
      <c r="F104" s="371"/>
      <c r="G104" s="372"/>
      <c r="H104" s="373"/>
      <c r="I104" s="165"/>
      <c r="J104" s="166"/>
      <c r="K104" s="167">
        <v>1</v>
      </c>
      <c r="L104" s="168" t="s">
        <v>63</v>
      </c>
      <c r="M104" s="88">
        <f t="shared" si="25"/>
        <v>1966</v>
      </c>
      <c r="N104" s="170"/>
      <c r="O104" s="170"/>
      <c r="P104" s="169" t="s">
        <v>63</v>
      </c>
      <c r="Q104" s="363">
        <v>46221</v>
      </c>
      <c r="R104" s="165">
        <v>1966</v>
      </c>
      <c r="S104" s="169" t="s">
        <v>63</v>
      </c>
      <c r="T104" s="154">
        <f t="shared" si="3"/>
        <v>0</v>
      </c>
      <c r="U104" s="170"/>
      <c r="V104" s="172"/>
      <c r="W104" s="172"/>
      <c r="X104" s="172"/>
      <c r="Y104" s="374" t="s">
        <v>72</v>
      </c>
      <c r="Z104" s="380"/>
      <c r="AA104" s="383"/>
      <c r="AB104" s="586" t="s">
        <v>485</v>
      </c>
    </row>
    <row r="105" spans="1:28" s="55" customFormat="1" ht="54.95" customHeight="1" x14ac:dyDescent="0.15">
      <c r="A105" s="163" t="s">
        <v>81</v>
      </c>
      <c r="B105" s="87">
        <f>I11</f>
        <v>1966</v>
      </c>
      <c r="C105" s="368" t="s">
        <v>71</v>
      </c>
      <c r="D105" s="369"/>
      <c r="E105" s="370"/>
      <c r="F105" s="368"/>
      <c r="G105" s="369"/>
      <c r="H105" s="370"/>
      <c r="I105" s="93"/>
      <c r="J105" s="90"/>
      <c r="K105" s="156">
        <v>1</v>
      </c>
      <c r="L105" s="77" t="s">
        <v>63</v>
      </c>
      <c r="M105" s="88">
        <f>K105*B105</f>
        <v>1966</v>
      </c>
      <c r="N105" s="91"/>
      <c r="O105" s="91"/>
      <c r="P105" s="169" t="s">
        <v>63</v>
      </c>
      <c r="Q105" s="364"/>
      <c r="R105" s="165">
        <v>1966</v>
      </c>
      <c r="S105" s="169" t="s">
        <v>63</v>
      </c>
      <c r="T105" s="154">
        <f t="shared" si="3"/>
        <v>0</v>
      </c>
      <c r="U105" s="91"/>
      <c r="V105" s="91"/>
      <c r="W105" s="91"/>
      <c r="X105" s="91"/>
      <c r="Y105" s="375"/>
      <c r="Z105" s="381"/>
      <c r="AA105" s="384"/>
      <c r="AB105" s="587"/>
    </row>
    <row r="106" spans="1:28" s="55" customFormat="1" ht="54.95" customHeight="1" x14ac:dyDescent="0.15">
      <c r="A106" s="284" t="s">
        <v>160</v>
      </c>
      <c r="B106" s="87">
        <f>I11</f>
        <v>1966</v>
      </c>
      <c r="C106" s="368" t="s">
        <v>71</v>
      </c>
      <c r="D106" s="369"/>
      <c r="E106" s="370"/>
      <c r="F106" s="368"/>
      <c r="G106" s="369"/>
      <c r="H106" s="370"/>
      <c r="I106" s="93" t="s">
        <v>199</v>
      </c>
      <c r="J106" s="93"/>
      <c r="K106" s="156">
        <v>1</v>
      </c>
      <c r="L106" s="77" t="s">
        <v>63</v>
      </c>
      <c r="M106" s="88">
        <f t="shared" si="25"/>
        <v>1966</v>
      </c>
      <c r="N106" s="91"/>
      <c r="O106" s="91"/>
      <c r="P106" s="89" t="s">
        <v>63</v>
      </c>
      <c r="Q106" s="365"/>
      <c r="R106" s="93">
        <v>1966</v>
      </c>
      <c r="S106" s="89" t="s">
        <v>63</v>
      </c>
      <c r="T106" s="154">
        <f t="shared" si="3"/>
        <v>0</v>
      </c>
      <c r="U106" s="91"/>
      <c r="V106" s="91"/>
      <c r="W106" s="91"/>
      <c r="X106" s="91"/>
      <c r="Y106" s="379"/>
      <c r="Z106" s="382"/>
      <c r="AA106" s="385"/>
      <c r="AB106" s="588"/>
    </row>
    <row r="107" spans="1:28" x14ac:dyDescent="0.15">
      <c r="A107" s="285"/>
      <c r="B107" s="366"/>
      <c r="C107" s="366"/>
      <c r="D107" s="177"/>
      <c r="E107" s="177"/>
      <c r="F107" s="100"/>
      <c r="G107" s="100"/>
      <c r="H107" s="100"/>
      <c r="I107" s="177"/>
      <c r="J107" s="177"/>
      <c r="K107" s="101"/>
      <c r="L107" s="102"/>
      <c r="M107" s="103"/>
      <c r="N107" s="104"/>
      <c r="O107" s="104"/>
      <c r="P107" s="177"/>
      <c r="Q107" s="109"/>
      <c r="R107" s="105"/>
      <c r="S107" s="106"/>
      <c r="T107" s="107"/>
      <c r="U107" s="108"/>
      <c r="V107" s="108"/>
      <c r="W107" s="109"/>
      <c r="X107" s="107"/>
      <c r="Y107" s="110"/>
      <c r="Z107" s="111"/>
      <c r="AA107" s="111"/>
    </row>
    <row r="108" spans="1:28" x14ac:dyDescent="0.15">
      <c r="A108" s="285"/>
      <c r="B108" s="366"/>
      <c r="C108" s="366"/>
      <c r="D108" s="177"/>
      <c r="E108" s="177"/>
      <c r="F108" s="367"/>
      <c r="G108" s="367"/>
      <c r="H108" s="367"/>
      <c r="I108" s="177"/>
      <c r="J108" s="177"/>
      <c r="K108" s="101"/>
      <c r="L108" s="102"/>
      <c r="M108" s="103"/>
      <c r="N108" s="104"/>
      <c r="O108" s="104"/>
      <c r="P108" s="177"/>
      <c r="Q108" s="109"/>
      <c r="R108" s="105"/>
      <c r="S108" s="106"/>
      <c r="T108" s="107"/>
      <c r="U108" s="108"/>
      <c r="V108" s="108"/>
      <c r="W108" s="109"/>
      <c r="X108" s="107"/>
      <c r="Y108" s="112"/>
      <c r="Z108" s="111"/>
      <c r="AA108" s="111"/>
    </row>
    <row r="109" spans="1:28" x14ac:dyDescent="0.15">
      <c r="J109" s="177"/>
    </row>
    <row r="110" spans="1:28" x14ac:dyDescent="0.15">
      <c r="J110" s="177"/>
    </row>
    <row r="117" spans="1:29" s="114" customFormat="1" x14ac:dyDescent="0.15">
      <c r="A117" s="286"/>
      <c r="B117" s="113"/>
      <c r="C117" s="1"/>
      <c r="D117" s="1"/>
      <c r="E117" s="1"/>
      <c r="F117" s="1"/>
      <c r="G117" s="1"/>
      <c r="H117" s="1"/>
      <c r="I117" s="1"/>
      <c r="J117" s="1"/>
      <c r="L117" s="115"/>
      <c r="M117" s="116"/>
      <c r="N117" s="117"/>
      <c r="O117" s="117"/>
      <c r="P117" s="1"/>
      <c r="Q117" s="358"/>
      <c r="R117" s="118"/>
      <c r="S117" s="115"/>
      <c r="T117" s="119"/>
      <c r="U117" s="1"/>
      <c r="V117" s="1"/>
      <c r="W117" s="120"/>
      <c r="X117" s="121"/>
      <c r="Y117" s="1"/>
      <c r="Z117" s="1"/>
      <c r="AA117" s="1"/>
      <c r="AB117" s="1"/>
      <c r="AC117" s="1"/>
    </row>
    <row r="118" spans="1:29" s="114" customFormat="1" x14ac:dyDescent="0.15">
      <c r="A118" s="286"/>
      <c r="B118" s="113"/>
      <c r="C118" s="1"/>
      <c r="D118" s="1"/>
      <c r="E118" s="1"/>
      <c r="F118" s="1"/>
      <c r="G118" s="1"/>
      <c r="H118" s="1"/>
      <c r="I118" s="1"/>
      <c r="J118" s="1"/>
      <c r="L118" s="115"/>
      <c r="M118" s="116"/>
      <c r="N118" s="117"/>
      <c r="O118" s="117"/>
      <c r="P118" s="1"/>
      <c r="Q118" s="358"/>
      <c r="R118" s="118"/>
      <c r="S118" s="115"/>
      <c r="T118" s="119"/>
      <c r="U118" s="1"/>
      <c r="V118" s="1"/>
      <c r="W118" s="120"/>
      <c r="X118" s="121"/>
      <c r="Y118" s="1"/>
      <c r="Z118" s="1"/>
      <c r="AA118" s="1"/>
      <c r="AB118" s="1"/>
      <c r="AC118" s="1"/>
    </row>
  </sheetData>
  <mergeCells count="374">
    <mergeCell ref="A1:AB1"/>
    <mergeCell ref="B2:G2"/>
    <mergeCell ref="I2:L2"/>
    <mergeCell ref="M2:N2"/>
    <mergeCell ref="O2:S2"/>
    <mergeCell ref="T2:U2"/>
    <mergeCell ref="V2:X2"/>
    <mergeCell ref="Z2:AB2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A11:B11"/>
    <mergeCell ref="I11:J11"/>
    <mergeCell ref="Z11:AB11"/>
    <mergeCell ref="A12:B12"/>
    <mergeCell ref="I12:J12"/>
    <mergeCell ref="Y12:AB12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I15:I17"/>
    <mergeCell ref="Q15:Q17"/>
    <mergeCell ref="Y15:Y17"/>
    <mergeCell ref="N13:P13"/>
    <mergeCell ref="A18:A19"/>
    <mergeCell ref="C18:E18"/>
    <mergeCell ref="F18:H18"/>
    <mergeCell ref="Q18:Q19"/>
    <mergeCell ref="Y18:Y19"/>
    <mergeCell ref="AB18:AB19"/>
    <mergeCell ref="C19:E19"/>
    <mergeCell ref="F19:H19"/>
    <mergeCell ref="AB15:AB17"/>
    <mergeCell ref="A23:A25"/>
    <mergeCell ref="C23:E23"/>
    <mergeCell ref="F23:H23"/>
    <mergeCell ref="I23:I25"/>
    <mergeCell ref="Q23:Q25"/>
    <mergeCell ref="A20:A22"/>
    <mergeCell ref="C20:E20"/>
    <mergeCell ref="F20:H20"/>
    <mergeCell ref="I20:I22"/>
    <mergeCell ref="Y23:Y25"/>
    <mergeCell ref="AB23:AB25"/>
    <mergeCell ref="C24:E24"/>
    <mergeCell ref="F24:H24"/>
    <mergeCell ref="C25:E25"/>
    <mergeCell ref="F25:H25"/>
    <mergeCell ref="AB20:AB22"/>
    <mergeCell ref="C21:E21"/>
    <mergeCell ref="F21:H21"/>
    <mergeCell ref="C22:E22"/>
    <mergeCell ref="F22:H22"/>
    <mergeCell ref="Y20:Y22"/>
    <mergeCell ref="Q21:Q22"/>
    <mergeCell ref="A29:A31"/>
    <mergeCell ref="C29:E29"/>
    <mergeCell ref="F29:H29"/>
    <mergeCell ref="I29:I31"/>
    <mergeCell ref="Q29:Q31"/>
    <mergeCell ref="A26:A28"/>
    <mergeCell ref="C26:E26"/>
    <mergeCell ref="F26:H26"/>
    <mergeCell ref="I26:I28"/>
    <mergeCell ref="Q26:Q28"/>
    <mergeCell ref="Y29:Y31"/>
    <mergeCell ref="AB29:AB34"/>
    <mergeCell ref="C30:E30"/>
    <mergeCell ref="F30:H30"/>
    <mergeCell ref="C31:E31"/>
    <mergeCell ref="F31:H31"/>
    <mergeCell ref="AB26:AB28"/>
    <mergeCell ref="C27:E27"/>
    <mergeCell ref="F27:H27"/>
    <mergeCell ref="C28:E28"/>
    <mergeCell ref="F28:H28"/>
    <mergeCell ref="Y26:Y28"/>
    <mergeCell ref="A35:A37"/>
    <mergeCell ref="C35:E35"/>
    <mergeCell ref="F35:H35"/>
    <mergeCell ref="I35:I37"/>
    <mergeCell ref="Q35:Q37"/>
    <mergeCell ref="Y35:Y37"/>
    <mergeCell ref="A32:A34"/>
    <mergeCell ref="C32:E32"/>
    <mergeCell ref="F32:H32"/>
    <mergeCell ref="I32:I34"/>
    <mergeCell ref="Q32:Q34"/>
    <mergeCell ref="Y32:Y34"/>
    <mergeCell ref="C33:E33"/>
    <mergeCell ref="F33:H33"/>
    <mergeCell ref="AB35:AB37"/>
    <mergeCell ref="C36:E36"/>
    <mergeCell ref="F36:H36"/>
    <mergeCell ref="AC36:AF36"/>
    <mergeCell ref="C37:E37"/>
    <mergeCell ref="F37:H37"/>
    <mergeCell ref="AC37:AF37"/>
    <mergeCell ref="AC33:AF33"/>
    <mergeCell ref="C34:E34"/>
    <mergeCell ref="F34:H34"/>
    <mergeCell ref="AC34:AF34"/>
    <mergeCell ref="AB38:AB40"/>
    <mergeCell ref="C39:E39"/>
    <mergeCell ref="F39:H39"/>
    <mergeCell ref="AC39:AF39"/>
    <mergeCell ref="C40:E40"/>
    <mergeCell ref="F40:H40"/>
    <mergeCell ref="AC40:AF40"/>
    <mergeCell ref="A38:A40"/>
    <mergeCell ref="C38:E38"/>
    <mergeCell ref="F38:H38"/>
    <mergeCell ref="I38:I40"/>
    <mergeCell ref="Q38:Q40"/>
    <mergeCell ref="Y38:Y40"/>
    <mergeCell ref="AB41:AB43"/>
    <mergeCell ref="C42:E42"/>
    <mergeCell ref="F42:H42"/>
    <mergeCell ref="AC42:AF42"/>
    <mergeCell ref="C43:E43"/>
    <mergeCell ref="F43:H43"/>
    <mergeCell ref="AC43:AF43"/>
    <mergeCell ref="A41:A43"/>
    <mergeCell ref="C41:E41"/>
    <mergeCell ref="F41:H41"/>
    <mergeCell ref="I41:I43"/>
    <mergeCell ref="Q41:Q43"/>
    <mergeCell ref="Y41:Y43"/>
    <mergeCell ref="I47:I49"/>
    <mergeCell ref="A44:A46"/>
    <mergeCell ref="C44:E44"/>
    <mergeCell ref="F44:H44"/>
    <mergeCell ref="I44:I46"/>
    <mergeCell ref="Q44:Q52"/>
    <mergeCell ref="Y44:Y46"/>
    <mergeCell ref="A47:A49"/>
    <mergeCell ref="Y47:Y49"/>
    <mergeCell ref="C48:E48"/>
    <mergeCell ref="F48:H48"/>
    <mergeCell ref="A53:A55"/>
    <mergeCell ref="C53:E53"/>
    <mergeCell ref="F53:H53"/>
    <mergeCell ref="I53:I55"/>
    <mergeCell ref="Q53:Q55"/>
    <mergeCell ref="AC48:AF48"/>
    <mergeCell ref="C49:E49"/>
    <mergeCell ref="F49:H49"/>
    <mergeCell ref="AC49:AF49"/>
    <mergeCell ref="A50:A52"/>
    <mergeCell ref="C50:E50"/>
    <mergeCell ref="F50:H50"/>
    <mergeCell ref="I50:I52"/>
    <mergeCell ref="Y50:Y52"/>
    <mergeCell ref="C51:E51"/>
    <mergeCell ref="AB44:AB52"/>
    <mergeCell ref="C45:E45"/>
    <mergeCell ref="F45:H45"/>
    <mergeCell ref="AC45:AF45"/>
    <mergeCell ref="C46:E46"/>
    <mergeCell ref="F46:H46"/>
    <mergeCell ref="AC46:AF46"/>
    <mergeCell ref="C47:E47"/>
    <mergeCell ref="F47:H47"/>
    <mergeCell ref="Y53:Y55"/>
    <mergeCell ref="AB53:AB55"/>
    <mergeCell ref="C54:E54"/>
    <mergeCell ref="F54:H54"/>
    <mergeCell ref="C55:E55"/>
    <mergeCell ref="F55:H55"/>
    <mergeCell ref="F51:H51"/>
    <mergeCell ref="AC51:AF51"/>
    <mergeCell ref="C52:E52"/>
    <mergeCell ref="F52:H52"/>
    <mergeCell ref="AC52:AF52"/>
    <mergeCell ref="AB56:AB61"/>
    <mergeCell ref="C57:E57"/>
    <mergeCell ref="F57:H57"/>
    <mergeCell ref="C58:E58"/>
    <mergeCell ref="F58:H58"/>
    <mergeCell ref="A59:A61"/>
    <mergeCell ref="C59:E59"/>
    <mergeCell ref="F59:H59"/>
    <mergeCell ref="Y59:Y61"/>
    <mergeCell ref="C60:E60"/>
    <mergeCell ref="A56:A58"/>
    <mergeCell ref="C56:E56"/>
    <mergeCell ref="F56:H56"/>
    <mergeCell ref="I56:I58"/>
    <mergeCell ref="Y56:Y58"/>
    <mergeCell ref="F60:H60"/>
    <mergeCell ref="C61:E61"/>
    <mergeCell ref="F61:H61"/>
    <mergeCell ref="Q56:Q57"/>
    <mergeCell ref="Q59:Q60"/>
    <mergeCell ref="A65:A67"/>
    <mergeCell ref="C65:E65"/>
    <mergeCell ref="F65:H65"/>
    <mergeCell ref="I65:I67"/>
    <mergeCell ref="Q65:Q67"/>
    <mergeCell ref="A62:A64"/>
    <mergeCell ref="C62:E62"/>
    <mergeCell ref="F62:H62"/>
    <mergeCell ref="I62:I64"/>
    <mergeCell ref="Q62:Q64"/>
    <mergeCell ref="Y65:Y67"/>
    <mergeCell ref="AB65:AB67"/>
    <mergeCell ref="C66:E66"/>
    <mergeCell ref="F66:H66"/>
    <mergeCell ref="C67:E67"/>
    <mergeCell ref="F67:H67"/>
    <mergeCell ref="AB62:AB64"/>
    <mergeCell ref="C63:E63"/>
    <mergeCell ref="F63:H63"/>
    <mergeCell ref="C64:E64"/>
    <mergeCell ref="F64:H64"/>
    <mergeCell ref="Y62:Y64"/>
    <mergeCell ref="A71:A73"/>
    <mergeCell ref="C71:E71"/>
    <mergeCell ref="F71:H71"/>
    <mergeCell ref="I71:I73"/>
    <mergeCell ref="Q71:Q73"/>
    <mergeCell ref="A68:A70"/>
    <mergeCell ref="C68:E68"/>
    <mergeCell ref="F68:H68"/>
    <mergeCell ref="I68:I70"/>
    <mergeCell ref="Q68:Q70"/>
    <mergeCell ref="Y71:Y73"/>
    <mergeCell ref="AB71:AB73"/>
    <mergeCell ref="C72:E72"/>
    <mergeCell ref="F72:H72"/>
    <mergeCell ref="C73:E73"/>
    <mergeCell ref="F73:H73"/>
    <mergeCell ref="AB68:AB70"/>
    <mergeCell ref="C69:E69"/>
    <mergeCell ref="F69:H69"/>
    <mergeCell ref="C70:E70"/>
    <mergeCell ref="F70:H70"/>
    <mergeCell ref="Y68:Y70"/>
    <mergeCell ref="C75:E75"/>
    <mergeCell ref="F75:H75"/>
    <mergeCell ref="C76:E76"/>
    <mergeCell ref="F76:H76"/>
    <mergeCell ref="A77:A81"/>
    <mergeCell ref="C77:E81"/>
    <mergeCell ref="F77:H77"/>
    <mergeCell ref="I77:I81"/>
    <mergeCell ref="Q77:Q81"/>
    <mergeCell ref="A74:A76"/>
    <mergeCell ref="C74:E74"/>
    <mergeCell ref="F74:H74"/>
    <mergeCell ref="I74:I76"/>
    <mergeCell ref="Q74:Q76"/>
    <mergeCell ref="Y77:Y81"/>
    <mergeCell ref="Z77:Z81"/>
    <mergeCell ref="AA77:AA81"/>
    <mergeCell ref="AB77:AB81"/>
    <mergeCell ref="F78:H78"/>
    <mergeCell ref="F79:H79"/>
    <mergeCell ref="F80:H80"/>
    <mergeCell ref="F81:H81"/>
    <mergeCell ref="AB74:AB76"/>
    <mergeCell ref="Y74:Y76"/>
    <mergeCell ref="A82:A90"/>
    <mergeCell ref="C82:E84"/>
    <mergeCell ref="F82:H82"/>
    <mergeCell ref="I82:I90"/>
    <mergeCell ref="Q82:Q90"/>
    <mergeCell ref="Y82:Y90"/>
    <mergeCell ref="F88:H88"/>
    <mergeCell ref="F89:H89"/>
    <mergeCell ref="F90:H90"/>
    <mergeCell ref="Z82:Z90"/>
    <mergeCell ref="AA82:AA90"/>
    <mergeCell ref="AB82:AB90"/>
    <mergeCell ref="F83:H83"/>
    <mergeCell ref="F84:H84"/>
    <mergeCell ref="C85:E87"/>
    <mergeCell ref="F85:H85"/>
    <mergeCell ref="F86:H86"/>
    <mergeCell ref="F87:H87"/>
    <mergeCell ref="C88:E90"/>
    <mergeCell ref="A100:A103"/>
    <mergeCell ref="C100:E103"/>
    <mergeCell ref="F100:H100"/>
    <mergeCell ref="Q100:Q103"/>
    <mergeCell ref="Y100:Y103"/>
    <mergeCell ref="AA91:AA95"/>
    <mergeCell ref="AB91:AB99"/>
    <mergeCell ref="F92:H92"/>
    <mergeCell ref="F93:H93"/>
    <mergeCell ref="C94:E96"/>
    <mergeCell ref="F94:H94"/>
    <mergeCell ref="F95:H95"/>
    <mergeCell ref="F96:H96"/>
    <mergeCell ref="Y96:Y99"/>
    <mergeCell ref="Z96:Z99"/>
    <mergeCell ref="A91:A99"/>
    <mergeCell ref="C91:E93"/>
    <mergeCell ref="F91:H91"/>
    <mergeCell ref="Q91:Q99"/>
    <mergeCell ref="Y91:Y95"/>
    <mergeCell ref="Z91:Z95"/>
    <mergeCell ref="Z100:Z103"/>
    <mergeCell ref="AA100:AA103"/>
    <mergeCell ref="AB100:AB103"/>
    <mergeCell ref="F101:H101"/>
    <mergeCell ref="F102:H102"/>
    <mergeCell ref="F103:H103"/>
    <mergeCell ref="AA96:AA99"/>
    <mergeCell ref="C97:E99"/>
    <mergeCell ref="F97:H97"/>
    <mergeCell ref="F98:H98"/>
    <mergeCell ref="F99:H99"/>
    <mergeCell ref="B108:C108"/>
    <mergeCell ref="F108:H108"/>
    <mergeCell ref="AB104:AB106"/>
    <mergeCell ref="C105:E105"/>
    <mergeCell ref="F105:H105"/>
    <mergeCell ref="C106:E106"/>
    <mergeCell ref="F106:H106"/>
    <mergeCell ref="B107:C107"/>
    <mergeCell ref="C104:E104"/>
    <mergeCell ref="F104:H104"/>
    <mergeCell ref="Q104:Q106"/>
    <mergeCell ref="Y104:Y106"/>
    <mergeCell ref="Z104:Z106"/>
    <mergeCell ref="AA104:AA10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" orientation="portrait" r:id="rId1"/>
  <headerFooter alignWithMargins="0"/>
  <rowBreaks count="1" manualBreakCount="1">
    <brk id="81" max="27" man="1"/>
  </rowBreaks>
  <colBreaks count="1" manualBreakCount="1">
    <brk id="2" max="4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2FC0-7A09-42F1-8786-8A381B997971}">
  <sheetPr>
    <tabColor rgb="FFFF0000"/>
  </sheetPr>
  <dimension ref="A1"/>
  <sheetViews>
    <sheetView workbookViewId="0">
      <selection activeCell="N34" sqref="N34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B836-591E-4345-92F1-94A64FEFF34E}">
  <sheetPr>
    <pageSetUpPr fitToPage="1"/>
  </sheetPr>
  <dimension ref="A1:AF128"/>
  <sheetViews>
    <sheetView view="pageBreakPreview" zoomScale="75" zoomScaleNormal="100" zoomScaleSheetLayoutView="75" workbookViewId="0">
      <selection activeCell="B3" sqref="B3:F3"/>
    </sheetView>
  </sheetViews>
  <sheetFormatPr defaultRowHeight="13.5" x14ac:dyDescent="0.15"/>
  <cols>
    <col min="1" max="1" width="18.21875" style="1" customWidth="1"/>
    <col min="2" max="2" width="9.109375" style="113" customWidth="1"/>
    <col min="3" max="3" width="8.44140625" style="1" customWidth="1"/>
    <col min="4" max="4" width="8.77734375" style="1" customWidth="1"/>
    <col min="5" max="5" width="8.6640625" style="1" customWidth="1"/>
    <col min="6" max="7" width="8.5546875" style="1" customWidth="1"/>
    <col min="8" max="8" width="5.77734375" style="1" customWidth="1"/>
    <col min="9" max="9" width="11.77734375" style="1" customWidth="1"/>
    <col min="10" max="10" width="8.5546875" style="1" customWidth="1"/>
    <col min="11" max="11" width="9.109375" style="114" customWidth="1"/>
    <col min="12" max="12" width="4.77734375" style="115" customWidth="1"/>
    <col min="13" max="13" width="10.77734375" style="116" customWidth="1"/>
    <col min="14" max="14" width="8.21875" style="117" bestFit="1" customWidth="1"/>
    <col min="15" max="15" width="10.6640625" style="117" bestFit="1" customWidth="1"/>
    <col min="16" max="16" width="9" style="1" customWidth="1"/>
    <col min="17" max="17" width="8.77734375" style="118" customWidth="1"/>
    <col min="18" max="18" width="11.88671875" style="118" customWidth="1"/>
    <col min="19" max="19" width="4.77734375" style="115" customWidth="1"/>
    <col min="20" max="20" width="13.109375" style="119" bestFit="1" customWidth="1"/>
    <col min="21" max="21" width="7.77734375" style="1" customWidth="1"/>
    <col min="22" max="22" width="8.77734375" style="1" customWidth="1"/>
    <col min="23" max="23" width="4.77734375" style="120" customWidth="1"/>
    <col min="24" max="24" width="8.88671875" style="121" customWidth="1"/>
    <col min="25" max="25" width="13.109375" style="1" customWidth="1"/>
    <col min="26" max="27" width="10.6640625" style="1" customWidth="1"/>
    <col min="28" max="28" width="19" style="1" customWidth="1"/>
    <col min="29" max="16384" width="8.88671875" style="1"/>
  </cols>
  <sheetData>
    <row r="1" spans="1:32" ht="50.1" customHeight="1" x14ac:dyDescent="0.15">
      <c r="A1" s="544" t="s">
        <v>11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6"/>
    </row>
    <row r="2" spans="1:32" s="2" customFormat="1" ht="33" customHeight="1" x14ac:dyDescent="0.15">
      <c r="A2" s="180" t="s">
        <v>12</v>
      </c>
      <c r="B2" s="547" t="s">
        <v>487</v>
      </c>
      <c r="C2" s="548"/>
      <c r="D2" s="548"/>
      <c r="E2" s="548"/>
      <c r="F2" s="548"/>
      <c r="G2" s="549"/>
      <c r="H2" s="180" t="s">
        <v>1</v>
      </c>
      <c r="I2" s="550">
        <f>I11</f>
        <v>561</v>
      </c>
      <c r="J2" s="550"/>
      <c r="K2" s="480"/>
      <c r="L2" s="480"/>
      <c r="M2" s="551" t="s">
        <v>13</v>
      </c>
      <c r="N2" s="551"/>
      <c r="O2" s="552" t="s">
        <v>2</v>
      </c>
      <c r="P2" s="553"/>
      <c r="Q2" s="553"/>
      <c r="R2" s="553"/>
      <c r="S2" s="554"/>
      <c r="T2" s="555" t="s">
        <v>14</v>
      </c>
      <c r="U2" s="555"/>
      <c r="V2" s="551" t="s">
        <v>15</v>
      </c>
      <c r="W2" s="551"/>
      <c r="X2" s="551"/>
      <c r="Y2" s="188" t="s">
        <v>16</v>
      </c>
      <c r="Z2" s="552"/>
      <c r="AA2" s="553"/>
      <c r="AB2" s="554"/>
    </row>
    <row r="3" spans="1:32" ht="21.75" customHeight="1" x14ac:dyDescent="0.15">
      <c r="A3" s="3"/>
      <c r="B3" s="556"/>
      <c r="C3" s="556"/>
      <c r="D3" s="556"/>
      <c r="E3" s="556"/>
      <c r="F3" s="556"/>
      <c r="G3" s="189"/>
      <c r="H3" s="4"/>
      <c r="I3" s="4"/>
      <c r="J3" s="4"/>
      <c r="K3" s="5"/>
      <c r="L3" s="6"/>
      <c r="M3" s="7"/>
      <c r="N3" s="8"/>
      <c r="O3" s="8"/>
      <c r="P3" s="8"/>
      <c r="Q3" s="9"/>
      <c r="R3" s="9"/>
      <c r="S3" s="10"/>
      <c r="T3" s="11"/>
      <c r="U3" s="8"/>
      <c r="V3" s="8"/>
      <c r="W3" s="12"/>
      <c r="X3" s="11"/>
      <c r="Y3" s="8"/>
      <c r="Z3" s="124"/>
      <c r="AA3" s="8"/>
      <c r="AB3" s="13"/>
      <c r="AC3" s="14"/>
    </row>
    <row r="4" spans="1:32" ht="39.950000000000003" customHeight="1" x14ac:dyDescent="0.15">
      <c r="A4" s="480" t="s">
        <v>17</v>
      </c>
      <c r="B4" s="480"/>
      <c r="C4" s="180">
        <v>55</v>
      </c>
      <c r="D4" s="126">
        <v>66</v>
      </c>
      <c r="E4" s="126">
        <v>77</v>
      </c>
      <c r="F4" s="180"/>
      <c r="G4" s="180"/>
      <c r="H4" s="180"/>
      <c r="I4" s="539" t="s">
        <v>18</v>
      </c>
      <c r="J4" s="480"/>
      <c r="K4" s="15"/>
      <c r="L4" s="16"/>
      <c r="M4" s="17"/>
      <c r="N4" s="8"/>
      <c r="O4" s="8"/>
      <c r="P4" s="4"/>
      <c r="Q4" s="18"/>
      <c r="R4" s="18"/>
      <c r="S4" s="18"/>
      <c r="T4" s="19"/>
      <c r="U4" s="19"/>
      <c r="V4" s="190"/>
      <c r="W4" s="540" t="s">
        <v>19</v>
      </c>
      <c r="X4" s="541"/>
      <c r="Y4" s="187" t="s">
        <v>20</v>
      </c>
      <c r="Z4" s="187" t="s">
        <v>21</v>
      </c>
      <c r="AA4" s="187" t="s">
        <v>22</v>
      </c>
      <c r="AB4" s="20"/>
      <c r="AC4" s="14" t="s">
        <v>23</v>
      </c>
    </row>
    <row r="5" spans="1:32" ht="24.95" customHeight="1" x14ac:dyDescent="0.15">
      <c r="A5" s="480" t="s">
        <v>328</v>
      </c>
      <c r="B5" s="480"/>
      <c r="C5" s="182">
        <v>187</v>
      </c>
      <c r="D5" s="182">
        <v>100</v>
      </c>
      <c r="E5" s="182"/>
      <c r="F5" s="182"/>
      <c r="G5" s="182"/>
      <c r="H5" s="542" t="s">
        <v>24</v>
      </c>
      <c r="I5" s="524">
        <f t="shared" ref="I5:I11" si="0">SUM(C5:G5)</f>
        <v>287</v>
      </c>
      <c r="J5" s="524"/>
      <c r="K5" s="21"/>
      <c r="L5" s="21"/>
      <c r="M5" s="22"/>
      <c r="N5" s="8"/>
      <c r="O5" s="23"/>
      <c r="P5" s="533"/>
      <c r="Q5" s="533"/>
      <c r="R5" s="533"/>
      <c r="S5" s="533"/>
      <c r="T5" s="533"/>
      <c r="U5" s="125"/>
      <c r="V5" s="190"/>
      <c r="W5" s="541"/>
      <c r="X5" s="543"/>
      <c r="Y5" s="187"/>
      <c r="Z5" s="187"/>
      <c r="AA5" s="187"/>
      <c r="AB5" s="20"/>
      <c r="AC5" s="14"/>
    </row>
    <row r="6" spans="1:32" ht="24.95" customHeight="1" x14ac:dyDescent="0.15">
      <c r="A6" s="522" t="s">
        <v>82</v>
      </c>
      <c r="B6" s="523"/>
      <c r="C6" s="182">
        <v>174</v>
      </c>
      <c r="D6" s="182">
        <v>100</v>
      </c>
      <c r="E6" s="182"/>
      <c r="F6" s="182"/>
      <c r="G6" s="182"/>
      <c r="H6" s="537"/>
      <c r="I6" s="524">
        <f t="shared" si="0"/>
        <v>274</v>
      </c>
      <c r="J6" s="524"/>
      <c r="K6" s="25"/>
      <c r="L6" s="24"/>
      <c r="M6" s="24"/>
      <c r="N6" s="24"/>
      <c r="O6" s="23"/>
      <c r="P6" s="184"/>
      <c r="Q6" s="184"/>
      <c r="R6" s="184"/>
      <c r="S6" s="184"/>
      <c r="T6" s="184"/>
      <c r="U6" s="125"/>
      <c r="V6" s="26"/>
      <c r="W6" s="27"/>
      <c r="X6" s="27"/>
      <c r="Y6" s="127"/>
      <c r="Z6" s="127"/>
      <c r="AA6" s="127"/>
      <c r="AB6" s="28"/>
      <c r="AC6" s="14"/>
    </row>
    <row r="7" spans="1:32" ht="24.95" customHeight="1" thickBot="1" x14ac:dyDescent="0.2">
      <c r="A7" s="530"/>
      <c r="B7" s="531"/>
      <c r="C7" s="183"/>
      <c r="D7" s="183"/>
      <c r="E7" s="183"/>
      <c r="F7" s="183"/>
      <c r="G7" s="183"/>
      <c r="H7" s="532"/>
      <c r="I7" s="532">
        <f t="shared" si="0"/>
        <v>0</v>
      </c>
      <c r="J7" s="532"/>
      <c r="K7" s="25"/>
      <c r="L7" s="24"/>
      <c r="M7" s="24"/>
      <c r="N7" s="24"/>
      <c r="O7" s="23"/>
      <c r="P7" s="533"/>
      <c r="Q7" s="533"/>
      <c r="R7" s="533"/>
      <c r="S7" s="533"/>
      <c r="T7" s="533"/>
      <c r="U7" s="533"/>
      <c r="V7" s="533"/>
      <c r="W7" s="27"/>
      <c r="X7" s="27"/>
      <c r="Y7" s="127"/>
      <c r="Z7" s="127"/>
      <c r="AA7" s="127"/>
      <c r="AB7" s="28"/>
      <c r="AC7" s="14"/>
    </row>
    <row r="8" spans="1:32" ht="24.95" customHeight="1" thickTop="1" x14ac:dyDescent="0.15">
      <c r="A8" s="534"/>
      <c r="B8" s="535"/>
      <c r="C8" s="186"/>
      <c r="D8" s="186"/>
      <c r="E8" s="186"/>
      <c r="F8" s="29"/>
      <c r="G8" s="186"/>
      <c r="H8" s="536" t="s">
        <v>25</v>
      </c>
      <c r="I8" s="538">
        <f t="shared" si="0"/>
        <v>0</v>
      </c>
      <c r="J8" s="538"/>
      <c r="K8" s="25"/>
      <c r="L8" s="24"/>
      <c r="M8" s="24"/>
      <c r="N8" s="291"/>
      <c r="O8" s="184"/>
      <c r="P8" s="533"/>
      <c r="Q8" s="533"/>
      <c r="R8" s="533"/>
      <c r="S8" s="533"/>
      <c r="T8" s="533"/>
      <c r="U8" s="533"/>
      <c r="V8" s="533"/>
      <c r="W8" s="30"/>
      <c r="X8" s="31" t="s">
        <v>26</v>
      </c>
      <c r="Y8" s="31"/>
      <c r="Z8" s="520">
        <v>46224</v>
      </c>
      <c r="AA8" s="520"/>
      <c r="AB8" s="521"/>
      <c r="AC8" s="32"/>
    </row>
    <row r="9" spans="1:32" ht="24.95" customHeight="1" x14ac:dyDescent="0.15">
      <c r="A9" s="522"/>
      <c r="B9" s="523"/>
      <c r="C9" s="33"/>
      <c r="D9" s="182"/>
      <c r="E9" s="182"/>
      <c r="F9" s="34"/>
      <c r="G9" s="182"/>
      <c r="H9" s="537"/>
      <c r="I9" s="524">
        <f t="shared" si="0"/>
        <v>0</v>
      </c>
      <c r="J9" s="524"/>
      <c r="K9" s="25"/>
      <c r="L9" s="24"/>
      <c r="M9" s="290"/>
      <c r="N9" s="291"/>
      <c r="O9" s="184"/>
      <c r="P9" s="184"/>
      <c r="Q9" s="184"/>
      <c r="R9" s="184"/>
      <c r="S9" s="184"/>
      <c r="T9" s="184"/>
      <c r="U9" s="125"/>
      <c r="V9" s="30"/>
      <c r="W9" s="30"/>
      <c r="X9" s="525" t="s">
        <v>3</v>
      </c>
      <c r="Y9" s="525"/>
      <c r="Z9" s="526"/>
      <c r="AA9" s="526"/>
      <c r="AB9" s="527"/>
      <c r="AC9" s="35"/>
    </row>
    <row r="10" spans="1:32" ht="24.95" customHeight="1" x14ac:dyDescent="0.15">
      <c r="A10" s="528"/>
      <c r="B10" s="529"/>
      <c r="C10" s="182"/>
      <c r="D10" s="182"/>
      <c r="E10" s="182"/>
      <c r="F10" s="182"/>
      <c r="G10" s="182"/>
      <c r="H10" s="538"/>
      <c r="I10" s="524">
        <f t="shared" si="0"/>
        <v>0</v>
      </c>
      <c r="J10" s="524"/>
      <c r="K10" s="25"/>
      <c r="L10" s="24"/>
      <c r="M10" s="290"/>
      <c r="N10" s="291"/>
      <c r="O10" s="184"/>
      <c r="P10" s="184"/>
      <c r="Q10" s="184"/>
      <c r="R10" s="184"/>
      <c r="S10" s="184"/>
      <c r="T10" s="184"/>
      <c r="U10" s="4"/>
      <c r="V10" s="4"/>
      <c r="W10" s="4"/>
      <c r="X10" s="36" t="s">
        <v>4</v>
      </c>
      <c r="Y10" s="36"/>
      <c r="Z10" s="526"/>
      <c r="AA10" s="526"/>
      <c r="AB10" s="527"/>
      <c r="AC10" s="14"/>
    </row>
    <row r="11" spans="1:32" ht="31.5" customHeight="1" x14ac:dyDescent="0.15">
      <c r="A11" s="480" t="s">
        <v>27</v>
      </c>
      <c r="B11" s="480"/>
      <c r="C11" s="181">
        <f>SUM(C5:C10)</f>
        <v>361</v>
      </c>
      <c r="D11" s="181">
        <f>SUM(D5:D10)</f>
        <v>200</v>
      </c>
      <c r="E11" s="181">
        <f>SUM(E5:E10)</f>
        <v>0</v>
      </c>
      <c r="F11" s="181">
        <f>SUM(F5:F10)</f>
        <v>0</v>
      </c>
      <c r="G11" s="181">
        <f>SUM(G5:G10)</f>
        <v>0</v>
      </c>
      <c r="H11" s="182"/>
      <c r="I11" s="481">
        <f t="shared" si="0"/>
        <v>561</v>
      </c>
      <c r="J11" s="481"/>
      <c r="K11" s="37"/>
      <c r="L11" s="37"/>
      <c r="M11" s="38"/>
      <c r="N11" s="39"/>
      <c r="O11" s="39"/>
      <c r="P11" s="39"/>
      <c r="Q11" s="39"/>
      <c r="R11" s="39"/>
      <c r="S11" s="40"/>
      <c r="T11" s="40"/>
      <c r="U11" s="32"/>
      <c r="V11" s="32"/>
      <c r="W11" s="32"/>
      <c r="X11" s="41" t="s">
        <v>28</v>
      </c>
      <c r="Y11" s="42"/>
      <c r="Z11" s="482">
        <v>46267</v>
      </c>
      <c r="AA11" s="482"/>
      <c r="AB11" s="483"/>
      <c r="AC11" s="14"/>
    </row>
    <row r="12" spans="1:32" ht="28.5" customHeight="1" x14ac:dyDescent="0.15">
      <c r="A12" s="484" t="s">
        <v>29</v>
      </c>
      <c r="B12" s="485"/>
      <c r="C12" s="43">
        <f>C11*1.02</f>
        <v>368.22</v>
      </c>
      <c r="D12" s="43">
        <f>D11*1.02</f>
        <v>204</v>
      </c>
      <c r="E12" s="43">
        <f>E11*1.02</f>
        <v>0</v>
      </c>
      <c r="F12" s="43">
        <f>F11*1.02</f>
        <v>0</v>
      </c>
      <c r="G12" s="43">
        <f>G11*1.02</f>
        <v>0</v>
      </c>
      <c r="H12" s="44"/>
      <c r="I12" s="486">
        <f>I11*1.02</f>
        <v>572.22</v>
      </c>
      <c r="J12" s="486"/>
      <c r="K12" s="45"/>
      <c r="L12" s="46"/>
      <c r="M12" s="47"/>
      <c r="N12" s="48"/>
      <c r="O12" s="48"/>
      <c r="P12" s="44"/>
      <c r="Q12" s="49"/>
      <c r="R12" s="49"/>
      <c r="S12" s="46"/>
      <c r="T12" s="50"/>
      <c r="U12" s="48"/>
      <c r="V12" s="48"/>
      <c r="W12" s="51"/>
      <c r="X12" s="50"/>
      <c r="Y12" s="487"/>
      <c r="Z12" s="487"/>
      <c r="AA12" s="487"/>
      <c r="AB12" s="488"/>
      <c r="AC12" s="14"/>
    </row>
    <row r="13" spans="1:32" s="55" customFormat="1" ht="54.95" customHeight="1" x14ac:dyDescent="0.15">
      <c r="A13" s="514" t="s">
        <v>30</v>
      </c>
      <c r="B13" s="514" t="s">
        <v>1</v>
      </c>
      <c r="C13" s="515" t="s">
        <v>31</v>
      </c>
      <c r="D13" s="516"/>
      <c r="E13" s="517"/>
      <c r="F13" s="515" t="s">
        <v>32</v>
      </c>
      <c r="G13" s="516"/>
      <c r="H13" s="517"/>
      <c r="I13" s="52" t="s">
        <v>33</v>
      </c>
      <c r="J13" s="52" t="s">
        <v>34</v>
      </c>
      <c r="K13" s="518" t="s">
        <v>35</v>
      </c>
      <c r="L13" s="519"/>
      <c r="M13" s="53" t="s">
        <v>36</v>
      </c>
      <c r="N13" s="468" t="s">
        <v>37</v>
      </c>
      <c r="O13" s="469"/>
      <c r="P13" s="470"/>
      <c r="Q13" s="502" t="s">
        <v>38</v>
      </c>
      <c r="R13" s="503"/>
      <c r="S13" s="504"/>
      <c r="T13" s="505" t="s">
        <v>0</v>
      </c>
      <c r="U13" s="507" t="s">
        <v>39</v>
      </c>
      <c r="V13" s="508"/>
      <c r="W13" s="509"/>
      <c r="X13" s="54" t="s">
        <v>40</v>
      </c>
      <c r="Y13" s="464" t="s">
        <v>41</v>
      </c>
      <c r="Z13" s="431" t="s">
        <v>42</v>
      </c>
      <c r="AA13" s="464" t="s">
        <v>43</v>
      </c>
      <c r="AB13" s="489" t="s">
        <v>44</v>
      </c>
    </row>
    <row r="14" spans="1:32" s="55" customFormat="1" ht="54.95" customHeight="1" thickBot="1" x14ac:dyDescent="0.2">
      <c r="A14" s="510"/>
      <c r="B14" s="510"/>
      <c r="C14" s="491" t="s">
        <v>45</v>
      </c>
      <c r="D14" s="492"/>
      <c r="E14" s="493"/>
      <c r="F14" s="491" t="s">
        <v>46</v>
      </c>
      <c r="G14" s="492"/>
      <c r="H14" s="493"/>
      <c r="I14" s="56" t="s">
        <v>47</v>
      </c>
      <c r="J14" s="57" t="s">
        <v>48</v>
      </c>
      <c r="K14" s="494" t="s">
        <v>49</v>
      </c>
      <c r="L14" s="495"/>
      <c r="M14" s="58" t="s">
        <v>50</v>
      </c>
      <c r="N14" s="59" t="s">
        <v>51</v>
      </c>
      <c r="O14" s="496" t="s">
        <v>52</v>
      </c>
      <c r="P14" s="497"/>
      <c r="Q14" s="60" t="s">
        <v>51</v>
      </c>
      <c r="R14" s="498" t="s">
        <v>53</v>
      </c>
      <c r="S14" s="499"/>
      <c r="T14" s="506"/>
      <c r="U14" s="61" t="s">
        <v>54</v>
      </c>
      <c r="V14" s="500" t="s">
        <v>55</v>
      </c>
      <c r="W14" s="501"/>
      <c r="X14" s="62" t="s">
        <v>56</v>
      </c>
      <c r="Y14" s="510"/>
      <c r="Z14" s="511"/>
      <c r="AA14" s="510"/>
      <c r="AB14" s="490"/>
    </row>
    <row r="15" spans="1:32" s="55" customFormat="1" ht="69.95" customHeight="1" thickTop="1" x14ac:dyDescent="0.15">
      <c r="A15" s="473" t="s">
        <v>5</v>
      </c>
      <c r="B15" s="185">
        <f>$I$5</f>
        <v>287</v>
      </c>
      <c r="C15" s="474" t="str">
        <f t="shared" ref="C15:C31" si="1">$A$5</f>
        <v>CG</v>
      </c>
      <c r="D15" s="475"/>
      <c r="E15" s="476"/>
      <c r="F15" s="474"/>
      <c r="G15" s="475"/>
      <c r="H15" s="476"/>
      <c r="I15" s="71" t="s">
        <v>128</v>
      </c>
      <c r="J15" s="65" t="s">
        <v>6</v>
      </c>
      <c r="K15" s="66">
        <v>1.81</v>
      </c>
      <c r="L15" s="67" t="s">
        <v>7</v>
      </c>
      <c r="M15" s="68">
        <f>K15*B15</f>
        <v>519.47</v>
      </c>
      <c r="N15" s="69"/>
      <c r="O15" s="70"/>
      <c r="P15" s="67" t="s">
        <v>7</v>
      </c>
      <c r="Q15" s="478"/>
      <c r="R15" s="311"/>
      <c r="S15" s="71" t="s">
        <v>7</v>
      </c>
      <c r="T15" s="123">
        <f t="shared" ref="T15:T116" si="2">R15-M15</f>
        <v>-519.47</v>
      </c>
      <c r="U15" s="72"/>
      <c r="V15" s="72"/>
      <c r="W15" s="73"/>
      <c r="X15" s="74"/>
      <c r="Y15" s="627" t="s">
        <v>329</v>
      </c>
      <c r="Z15" s="63"/>
      <c r="AA15" s="64"/>
      <c r="AB15" s="566"/>
      <c r="AC15" s="471"/>
      <c r="AD15" s="472"/>
      <c r="AE15" s="472"/>
      <c r="AF15" s="472"/>
    </row>
    <row r="16" spans="1:32" s="55" customFormat="1" ht="69.95" customHeight="1" x14ac:dyDescent="0.15">
      <c r="A16" s="559"/>
      <c r="B16" s="182">
        <f>$I$6</f>
        <v>274</v>
      </c>
      <c r="C16" s="368" t="str">
        <f>$A$6</f>
        <v>CR</v>
      </c>
      <c r="D16" s="369"/>
      <c r="E16" s="370"/>
      <c r="F16" s="368"/>
      <c r="G16" s="369"/>
      <c r="H16" s="370"/>
      <c r="I16" s="75" t="s">
        <v>99</v>
      </c>
      <c r="J16" s="76" t="s">
        <v>6</v>
      </c>
      <c r="K16" s="83">
        <v>1.86</v>
      </c>
      <c r="L16" s="77" t="s">
        <v>7</v>
      </c>
      <c r="M16" s="78">
        <f t="shared" ref="M16:M79" si="3">K16*B16</f>
        <v>509.64000000000004</v>
      </c>
      <c r="N16" s="79"/>
      <c r="O16" s="128"/>
      <c r="P16" s="77" t="s">
        <v>7</v>
      </c>
      <c r="Q16" s="447"/>
      <c r="R16" s="294"/>
      <c r="S16" s="75" t="s">
        <v>7</v>
      </c>
      <c r="T16" s="81">
        <f t="shared" si="2"/>
        <v>-509.64000000000004</v>
      </c>
      <c r="U16" s="131"/>
      <c r="V16" s="131"/>
      <c r="W16" s="132"/>
      <c r="X16" s="133"/>
      <c r="Y16" s="628" t="s">
        <v>273</v>
      </c>
      <c r="Z16" s="134"/>
      <c r="AA16" s="135"/>
      <c r="AB16" s="361"/>
      <c r="AC16" s="471"/>
      <c r="AD16" s="472"/>
      <c r="AE16" s="472"/>
      <c r="AF16" s="472"/>
    </row>
    <row r="17" spans="1:32" s="55" customFormat="1" ht="69.95" customHeight="1" x14ac:dyDescent="0.15">
      <c r="A17" s="432"/>
      <c r="B17" s="182">
        <f>$I$7</f>
        <v>0</v>
      </c>
      <c r="C17" s="368">
        <f>$A$7</f>
        <v>0</v>
      </c>
      <c r="D17" s="369"/>
      <c r="E17" s="370"/>
      <c r="F17" s="368"/>
      <c r="G17" s="369"/>
      <c r="H17" s="370"/>
      <c r="I17" s="75" t="s">
        <v>128</v>
      </c>
      <c r="J17" s="76" t="s">
        <v>6</v>
      </c>
      <c r="K17" s="323"/>
      <c r="L17" s="77" t="s">
        <v>7</v>
      </c>
      <c r="M17" s="78">
        <f t="shared" si="3"/>
        <v>0</v>
      </c>
      <c r="N17" s="79"/>
      <c r="O17" s="128"/>
      <c r="P17" s="77" t="s">
        <v>7</v>
      </c>
      <c r="Q17" s="444"/>
      <c r="R17" s="294"/>
      <c r="S17" s="75" t="s">
        <v>7</v>
      </c>
      <c r="T17" s="81">
        <f t="shared" si="2"/>
        <v>0</v>
      </c>
      <c r="U17" s="131"/>
      <c r="V17" s="131"/>
      <c r="W17" s="132"/>
      <c r="X17" s="133"/>
      <c r="Y17" s="329"/>
      <c r="Z17" s="134"/>
      <c r="AA17" s="135"/>
      <c r="AB17" s="362"/>
      <c r="AC17" s="471"/>
      <c r="AD17" s="472"/>
      <c r="AE17" s="472"/>
      <c r="AF17" s="472"/>
    </row>
    <row r="18" spans="1:32" s="55" customFormat="1" ht="69.95" hidden="1" customHeight="1" x14ac:dyDescent="0.15">
      <c r="A18" s="431" t="s">
        <v>83</v>
      </c>
      <c r="B18" s="182">
        <f t="shared" ref="B18:B31" si="4">$I$5</f>
        <v>287</v>
      </c>
      <c r="C18" s="461" t="str">
        <f t="shared" si="1"/>
        <v>CG</v>
      </c>
      <c r="D18" s="461"/>
      <c r="E18" s="461"/>
      <c r="F18" s="461"/>
      <c r="G18" s="461"/>
      <c r="H18" s="461"/>
      <c r="I18" s="75" t="s">
        <v>8</v>
      </c>
      <c r="J18" s="76" t="s">
        <v>6</v>
      </c>
      <c r="K18" s="136"/>
      <c r="L18" s="77" t="s">
        <v>7</v>
      </c>
      <c r="M18" s="78">
        <f t="shared" si="3"/>
        <v>0</v>
      </c>
      <c r="N18" s="79"/>
      <c r="O18" s="78"/>
      <c r="P18" s="80" t="s">
        <v>7</v>
      </c>
      <c r="Q18" s="443"/>
      <c r="R18" s="78"/>
      <c r="S18" s="80" t="s">
        <v>7</v>
      </c>
      <c r="T18" s="81">
        <f t="shared" si="2"/>
        <v>0</v>
      </c>
      <c r="U18" s="82"/>
      <c r="V18" s="137"/>
      <c r="W18" s="78"/>
      <c r="X18" s="78"/>
      <c r="Y18" s="445" t="s">
        <v>57</v>
      </c>
      <c r="Z18" s="138"/>
      <c r="AA18" s="135"/>
      <c r="AB18" s="360"/>
      <c r="AC18" s="178"/>
      <c r="AD18" s="179"/>
      <c r="AE18" s="179"/>
      <c r="AF18" s="179"/>
    </row>
    <row r="19" spans="1:32" s="55" customFormat="1" ht="69.95" hidden="1" customHeight="1" x14ac:dyDescent="0.15">
      <c r="A19" s="432"/>
      <c r="B19" s="182">
        <f>$I$6</f>
        <v>274</v>
      </c>
      <c r="C19" s="461" t="str">
        <f>$A$6</f>
        <v>CR</v>
      </c>
      <c r="D19" s="461"/>
      <c r="E19" s="461"/>
      <c r="F19" s="461"/>
      <c r="G19" s="461"/>
      <c r="H19" s="461"/>
      <c r="I19" s="75" t="s">
        <v>8</v>
      </c>
      <c r="J19" s="76" t="s">
        <v>6</v>
      </c>
      <c r="K19" s="136"/>
      <c r="L19" s="77" t="s">
        <v>7</v>
      </c>
      <c r="M19" s="78">
        <f t="shared" si="3"/>
        <v>0</v>
      </c>
      <c r="N19" s="79" t="s">
        <v>84</v>
      </c>
      <c r="O19" s="128"/>
      <c r="P19" s="77" t="s">
        <v>7</v>
      </c>
      <c r="Q19" s="444"/>
      <c r="R19" s="130"/>
      <c r="S19" s="75" t="s">
        <v>7</v>
      </c>
      <c r="T19" s="81">
        <f t="shared" si="2"/>
        <v>0</v>
      </c>
      <c r="U19" s="131"/>
      <c r="V19" s="131"/>
      <c r="W19" s="132"/>
      <c r="X19" s="133"/>
      <c r="Y19" s="446"/>
      <c r="Z19" s="134"/>
      <c r="AA19" s="135"/>
      <c r="AB19" s="362"/>
      <c r="AC19" s="178"/>
      <c r="AD19" s="179"/>
      <c r="AE19" s="179"/>
      <c r="AF19" s="179"/>
    </row>
    <row r="20" spans="1:32" s="55" customFormat="1" ht="69.95" customHeight="1" x14ac:dyDescent="0.15">
      <c r="A20" s="431" t="s">
        <v>283</v>
      </c>
      <c r="B20" s="182">
        <f t="shared" si="4"/>
        <v>287</v>
      </c>
      <c r="C20" s="461" t="str">
        <f t="shared" si="1"/>
        <v>CG</v>
      </c>
      <c r="D20" s="461"/>
      <c r="E20" s="461"/>
      <c r="F20" s="461"/>
      <c r="G20" s="461"/>
      <c r="H20" s="461"/>
      <c r="I20" s="75" t="s">
        <v>99</v>
      </c>
      <c r="J20" s="76" t="s">
        <v>6</v>
      </c>
      <c r="K20" s="136">
        <v>0.61</v>
      </c>
      <c r="L20" s="77" t="s">
        <v>7</v>
      </c>
      <c r="M20" s="78">
        <f t="shared" si="3"/>
        <v>175.07</v>
      </c>
      <c r="N20" s="79"/>
      <c r="O20" s="78"/>
      <c r="P20" s="80" t="s">
        <v>7</v>
      </c>
      <c r="Q20" s="443"/>
      <c r="R20" s="78"/>
      <c r="S20" s="80" t="s">
        <v>7</v>
      </c>
      <c r="T20" s="81">
        <f t="shared" si="2"/>
        <v>-175.07</v>
      </c>
      <c r="U20" s="598"/>
      <c r="V20" s="137"/>
      <c r="W20" s="80" t="s">
        <v>7</v>
      </c>
      <c r="X20" s="78"/>
      <c r="Y20" s="445" t="s">
        <v>93</v>
      </c>
      <c r="Z20" s="138"/>
      <c r="AA20" s="135"/>
      <c r="AB20" s="360"/>
      <c r="AC20" s="178"/>
      <c r="AD20" s="179"/>
      <c r="AE20" s="179"/>
      <c r="AF20" s="179"/>
    </row>
    <row r="21" spans="1:32" s="55" customFormat="1" ht="69.95" customHeight="1" x14ac:dyDescent="0.15">
      <c r="A21" s="559"/>
      <c r="B21" s="182">
        <f>$I$6</f>
        <v>274</v>
      </c>
      <c r="C21" s="461" t="str">
        <f>$A$6</f>
        <v>CR</v>
      </c>
      <c r="D21" s="461"/>
      <c r="E21" s="461"/>
      <c r="F21" s="461"/>
      <c r="G21" s="461"/>
      <c r="H21" s="461"/>
      <c r="I21" s="75" t="s">
        <v>287</v>
      </c>
      <c r="J21" s="76" t="s">
        <v>6</v>
      </c>
      <c r="K21" s="136">
        <v>0.61</v>
      </c>
      <c r="L21" s="77" t="s">
        <v>7</v>
      </c>
      <c r="M21" s="78">
        <f t="shared" si="3"/>
        <v>167.14</v>
      </c>
      <c r="N21" s="79"/>
      <c r="O21" s="128"/>
      <c r="P21" s="77" t="s">
        <v>7</v>
      </c>
      <c r="Q21" s="447"/>
      <c r="R21" s="137"/>
      <c r="S21" s="75" t="s">
        <v>7</v>
      </c>
      <c r="T21" s="81">
        <f t="shared" si="2"/>
        <v>-167.14</v>
      </c>
      <c r="U21" s="599"/>
      <c r="V21" s="131"/>
      <c r="W21" s="75" t="s">
        <v>7</v>
      </c>
      <c r="X21" s="133"/>
      <c r="Y21" s="557"/>
      <c r="Z21" s="228"/>
      <c r="AA21" s="228"/>
      <c r="AB21" s="361"/>
      <c r="AC21" s="178"/>
      <c r="AD21" s="179"/>
      <c r="AE21" s="179"/>
      <c r="AF21" s="179"/>
    </row>
    <row r="22" spans="1:32" s="55" customFormat="1" ht="69.95" customHeight="1" x14ac:dyDescent="0.15">
      <c r="A22" s="432"/>
      <c r="B22" s="182">
        <f>$I$7</f>
        <v>0</v>
      </c>
      <c r="C22" s="461">
        <f>$A$7</f>
        <v>0</v>
      </c>
      <c r="D22" s="461"/>
      <c r="E22" s="461"/>
      <c r="F22" s="461"/>
      <c r="G22" s="461"/>
      <c r="H22" s="461"/>
      <c r="I22" s="75" t="s">
        <v>99</v>
      </c>
      <c r="J22" s="76" t="s">
        <v>6</v>
      </c>
      <c r="K22" s="136">
        <v>0.61</v>
      </c>
      <c r="L22" s="77" t="s">
        <v>7</v>
      </c>
      <c r="M22" s="78">
        <f t="shared" si="3"/>
        <v>0</v>
      </c>
      <c r="N22" s="79"/>
      <c r="O22" s="128"/>
      <c r="P22" s="77" t="s">
        <v>7</v>
      </c>
      <c r="Q22" s="444"/>
      <c r="R22" s="137"/>
      <c r="S22" s="75" t="s">
        <v>7</v>
      </c>
      <c r="T22" s="81">
        <f t="shared" si="2"/>
        <v>0</v>
      </c>
      <c r="U22" s="600"/>
      <c r="V22" s="131"/>
      <c r="W22" s="75" t="s">
        <v>7</v>
      </c>
      <c r="X22" s="133"/>
      <c r="Y22" s="446"/>
      <c r="Z22" s="228"/>
      <c r="AA22" s="228"/>
      <c r="AB22" s="362"/>
      <c r="AC22" s="178"/>
      <c r="AD22" s="179"/>
      <c r="AE22" s="179"/>
      <c r="AF22" s="179"/>
    </row>
    <row r="23" spans="1:32" s="55" customFormat="1" ht="69.95" customHeight="1" x14ac:dyDescent="0.15">
      <c r="A23" s="431" t="s">
        <v>315</v>
      </c>
      <c r="B23" s="182">
        <f t="shared" si="4"/>
        <v>287</v>
      </c>
      <c r="C23" s="461" t="str">
        <f t="shared" si="1"/>
        <v>CG</v>
      </c>
      <c r="D23" s="461"/>
      <c r="E23" s="461"/>
      <c r="F23" s="461"/>
      <c r="G23" s="461"/>
      <c r="H23" s="461"/>
      <c r="I23" s="75" t="s">
        <v>287</v>
      </c>
      <c r="J23" s="76" t="s">
        <v>6</v>
      </c>
      <c r="K23" s="136">
        <v>0.61</v>
      </c>
      <c r="L23" s="77" t="s">
        <v>7</v>
      </c>
      <c r="M23" s="78">
        <f t="shared" si="3"/>
        <v>175.07</v>
      </c>
      <c r="N23" s="79"/>
      <c r="O23" s="78"/>
      <c r="P23" s="80" t="s">
        <v>7</v>
      </c>
      <c r="Q23" s="443"/>
      <c r="R23" s="78"/>
      <c r="S23" s="80" t="s">
        <v>7</v>
      </c>
      <c r="T23" s="81">
        <f t="shared" si="2"/>
        <v>-175.07</v>
      </c>
      <c r="U23" s="82"/>
      <c r="V23" s="137"/>
      <c r="W23" s="78"/>
      <c r="X23" s="78"/>
      <c r="Y23" s="445" t="s">
        <v>93</v>
      </c>
      <c r="Z23" s="138"/>
      <c r="AA23" s="135"/>
      <c r="AB23" s="360"/>
      <c r="AC23" s="178"/>
      <c r="AD23" s="179"/>
      <c r="AE23" s="179"/>
      <c r="AF23" s="179"/>
    </row>
    <row r="24" spans="1:32" s="55" customFormat="1" ht="69.95" customHeight="1" x14ac:dyDescent="0.15">
      <c r="A24" s="559"/>
      <c r="B24" s="182">
        <f>$I$6</f>
        <v>274</v>
      </c>
      <c r="C24" s="461" t="str">
        <f>$A$6</f>
        <v>CR</v>
      </c>
      <c r="D24" s="461"/>
      <c r="E24" s="461"/>
      <c r="F24" s="461"/>
      <c r="G24" s="461"/>
      <c r="H24" s="461"/>
      <c r="I24" s="75" t="s">
        <v>287</v>
      </c>
      <c r="J24" s="76" t="s">
        <v>6</v>
      </c>
      <c r="K24" s="136">
        <v>0.61</v>
      </c>
      <c r="L24" s="77" t="s">
        <v>7</v>
      </c>
      <c r="M24" s="78">
        <f t="shared" si="3"/>
        <v>167.14</v>
      </c>
      <c r="N24" s="79"/>
      <c r="O24" s="128"/>
      <c r="P24" s="77" t="s">
        <v>7</v>
      </c>
      <c r="Q24" s="447"/>
      <c r="R24" s="137"/>
      <c r="S24" s="75" t="s">
        <v>7</v>
      </c>
      <c r="T24" s="81">
        <f t="shared" si="2"/>
        <v>-167.14</v>
      </c>
      <c r="U24" s="131"/>
      <c r="V24" s="131"/>
      <c r="W24" s="132"/>
      <c r="X24" s="133"/>
      <c r="Y24" s="557"/>
      <c r="Z24" s="228"/>
      <c r="AA24" s="228"/>
      <c r="AB24" s="361"/>
      <c r="AC24" s="178"/>
      <c r="AD24" s="179"/>
      <c r="AE24" s="179"/>
      <c r="AF24" s="179"/>
    </row>
    <row r="25" spans="1:32" s="55" customFormat="1" ht="69.95" customHeight="1" x14ac:dyDescent="0.15">
      <c r="A25" s="432"/>
      <c r="B25" s="182">
        <f>$I$7</f>
        <v>0</v>
      </c>
      <c r="C25" s="461">
        <f>$A$7</f>
        <v>0</v>
      </c>
      <c r="D25" s="461"/>
      <c r="E25" s="461"/>
      <c r="F25" s="461"/>
      <c r="G25" s="461"/>
      <c r="H25" s="461"/>
      <c r="I25" s="75" t="s">
        <v>287</v>
      </c>
      <c r="J25" s="76" t="s">
        <v>6</v>
      </c>
      <c r="K25" s="136">
        <v>0.61</v>
      </c>
      <c r="L25" s="77" t="s">
        <v>7</v>
      </c>
      <c r="M25" s="78">
        <f t="shared" si="3"/>
        <v>0</v>
      </c>
      <c r="N25" s="79"/>
      <c r="O25" s="128"/>
      <c r="P25" s="77" t="s">
        <v>7</v>
      </c>
      <c r="Q25" s="444"/>
      <c r="R25" s="137"/>
      <c r="S25" s="75" t="s">
        <v>7</v>
      </c>
      <c r="T25" s="81">
        <f t="shared" si="2"/>
        <v>0</v>
      </c>
      <c r="U25" s="131"/>
      <c r="V25" s="131"/>
      <c r="W25" s="132"/>
      <c r="X25" s="133"/>
      <c r="Y25" s="446"/>
      <c r="Z25" s="228"/>
      <c r="AA25" s="228"/>
      <c r="AB25" s="362"/>
      <c r="AC25" s="178"/>
      <c r="AD25" s="179"/>
      <c r="AE25" s="179"/>
      <c r="AF25" s="179"/>
    </row>
    <row r="26" spans="1:32" s="55" customFormat="1" ht="69.95" customHeight="1" x14ac:dyDescent="0.15">
      <c r="A26" s="431" t="s">
        <v>263</v>
      </c>
      <c r="B26" s="182">
        <f t="shared" si="4"/>
        <v>287</v>
      </c>
      <c r="C26" s="461" t="str">
        <f t="shared" si="1"/>
        <v>CG</v>
      </c>
      <c r="D26" s="461"/>
      <c r="E26" s="461"/>
      <c r="F26" s="461"/>
      <c r="G26" s="461"/>
      <c r="H26" s="461"/>
      <c r="I26" s="441" t="s">
        <v>8</v>
      </c>
      <c r="J26" s="76" t="s">
        <v>6</v>
      </c>
      <c r="K26" s="136">
        <v>0.97</v>
      </c>
      <c r="L26" s="77" t="s">
        <v>7</v>
      </c>
      <c r="M26" s="78">
        <f t="shared" si="3"/>
        <v>278.39</v>
      </c>
      <c r="N26" s="79"/>
      <c r="O26" s="78"/>
      <c r="P26" s="80" t="s">
        <v>7</v>
      </c>
      <c r="Q26" s="443"/>
      <c r="R26" s="78"/>
      <c r="S26" s="80" t="s">
        <v>7</v>
      </c>
      <c r="T26" s="81">
        <f t="shared" si="2"/>
        <v>-278.39</v>
      </c>
      <c r="U26" s="598" t="s">
        <v>339</v>
      </c>
      <c r="V26" s="137"/>
      <c r="W26" s="80" t="s">
        <v>7</v>
      </c>
      <c r="X26" s="78"/>
      <c r="Y26" s="445" t="s">
        <v>93</v>
      </c>
      <c r="Z26" s="138"/>
      <c r="AA26" s="135"/>
      <c r="AB26" s="360"/>
      <c r="AC26" s="178"/>
      <c r="AD26" s="179"/>
      <c r="AE26" s="179"/>
      <c r="AF26" s="179"/>
    </row>
    <row r="27" spans="1:32" s="55" customFormat="1" ht="69.95" customHeight="1" x14ac:dyDescent="0.15">
      <c r="A27" s="559"/>
      <c r="B27" s="182">
        <f>$I$6</f>
        <v>274</v>
      </c>
      <c r="C27" s="461" t="str">
        <f>$A$6</f>
        <v>CR</v>
      </c>
      <c r="D27" s="461"/>
      <c r="E27" s="461"/>
      <c r="F27" s="461"/>
      <c r="G27" s="461"/>
      <c r="H27" s="461"/>
      <c r="I27" s="563"/>
      <c r="J27" s="76" t="s">
        <v>6</v>
      </c>
      <c r="K27" s="136">
        <v>0.97</v>
      </c>
      <c r="L27" s="77" t="s">
        <v>7</v>
      </c>
      <c r="M27" s="78">
        <f t="shared" si="3"/>
        <v>265.77999999999997</v>
      </c>
      <c r="N27" s="79"/>
      <c r="O27" s="128"/>
      <c r="P27" s="77" t="s">
        <v>7</v>
      </c>
      <c r="Q27" s="447"/>
      <c r="R27" s="137"/>
      <c r="S27" s="75" t="s">
        <v>7</v>
      </c>
      <c r="T27" s="81">
        <f t="shared" si="2"/>
        <v>-265.77999999999997</v>
      </c>
      <c r="U27" s="599"/>
      <c r="V27" s="75">
        <v>471</v>
      </c>
      <c r="W27" s="75" t="s">
        <v>7</v>
      </c>
      <c r="X27" s="133"/>
      <c r="Y27" s="557"/>
      <c r="Z27" s="228"/>
      <c r="AA27" s="228"/>
      <c r="AB27" s="361"/>
      <c r="AC27" s="178"/>
      <c r="AD27" s="179"/>
      <c r="AE27" s="179"/>
      <c r="AF27" s="179"/>
    </row>
    <row r="28" spans="1:32" s="55" customFormat="1" ht="69.95" customHeight="1" x14ac:dyDescent="0.15">
      <c r="A28" s="432"/>
      <c r="B28" s="182">
        <f>$I$7</f>
        <v>0</v>
      </c>
      <c r="C28" s="461">
        <f>$A$7</f>
        <v>0</v>
      </c>
      <c r="D28" s="461"/>
      <c r="E28" s="461"/>
      <c r="F28" s="461"/>
      <c r="G28" s="461"/>
      <c r="H28" s="461"/>
      <c r="I28" s="442"/>
      <c r="J28" s="76" t="s">
        <v>6</v>
      </c>
      <c r="K28" s="136">
        <v>0.97</v>
      </c>
      <c r="L28" s="77" t="s">
        <v>7</v>
      </c>
      <c r="M28" s="78">
        <f t="shared" si="3"/>
        <v>0</v>
      </c>
      <c r="N28" s="79"/>
      <c r="O28" s="128"/>
      <c r="P28" s="77" t="s">
        <v>7</v>
      </c>
      <c r="Q28" s="444"/>
      <c r="R28" s="137"/>
      <c r="S28" s="75" t="s">
        <v>7</v>
      </c>
      <c r="T28" s="81">
        <f t="shared" si="2"/>
        <v>0</v>
      </c>
      <c r="U28" s="600"/>
      <c r="V28" s="75">
        <v>442</v>
      </c>
      <c r="W28" s="75" t="s">
        <v>7</v>
      </c>
      <c r="X28" s="133"/>
      <c r="Y28" s="446"/>
      <c r="Z28" s="228"/>
      <c r="AA28" s="228"/>
      <c r="AB28" s="362"/>
      <c r="AC28" s="178"/>
      <c r="AD28" s="179"/>
      <c r="AE28" s="179"/>
      <c r="AF28" s="179"/>
    </row>
    <row r="29" spans="1:32" s="206" customFormat="1" ht="69.95" customHeight="1" x14ac:dyDescent="0.15">
      <c r="A29" s="431" t="s">
        <v>115</v>
      </c>
      <c r="B29" s="191">
        <f t="shared" si="4"/>
        <v>287</v>
      </c>
      <c r="C29" s="465" t="str">
        <f t="shared" si="1"/>
        <v>CG</v>
      </c>
      <c r="D29" s="465"/>
      <c r="E29" s="465"/>
      <c r="F29" s="465"/>
      <c r="G29" s="465"/>
      <c r="H29" s="465"/>
      <c r="I29" s="433" t="s">
        <v>8</v>
      </c>
      <c r="J29" s="192" t="s">
        <v>6</v>
      </c>
      <c r="K29" s="209"/>
      <c r="L29" s="194" t="s">
        <v>7</v>
      </c>
      <c r="M29" s="195">
        <f t="shared" si="3"/>
        <v>0</v>
      </c>
      <c r="N29" s="196"/>
      <c r="O29" s="195"/>
      <c r="P29" s="197" t="s">
        <v>7</v>
      </c>
      <c r="Q29" s="435"/>
      <c r="R29" s="195"/>
      <c r="S29" s="197" t="s">
        <v>7</v>
      </c>
      <c r="T29" s="198">
        <f t="shared" si="2"/>
        <v>0</v>
      </c>
      <c r="U29" s="199"/>
      <c r="V29" s="200"/>
      <c r="W29" s="195"/>
      <c r="X29" s="195"/>
      <c r="Y29" s="437" t="s">
        <v>93</v>
      </c>
      <c r="Z29" s="235"/>
      <c r="AA29" s="202"/>
      <c r="AB29" s="439"/>
      <c r="AC29" s="229"/>
      <c r="AD29" s="230"/>
      <c r="AE29" s="230"/>
      <c r="AF29" s="230"/>
    </row>
    <row r="30" spans="1:32" s="206" customFormat="1" ht="69.95" customHeight="1" x14ac:dyDescent="0.15">
      <c r="A30" s="432"/>
      <c r="B30" s="191">
        <f>$I$6</f>
        <v>274</v>
      </c>
      <c r="C30" s="465" t="str">
        <f>$A$6</f>
        <v>CR</v>
      </c>
      <c r="D30" s="465"/>
      <c r="E30" s="465"/>
      <c r="F30" s="465"/>
      <c r="G30" s="465"/>
      <c r="H30" s="465"/>
      <c r="I30" s="434"/>
      <c r="J30" s="192" t="s">
        <v>6</v>
      </c>
      <c r="K30" s="209"/>
      <c r="L30" s="194" t="s">
        <v>7</v>
      </c>
      <c r="M30" s="195">
        <f t="shared" si="3"/>
        <v>0</v>
      </c>
      <c r="N30" s="196"/>
      <c r="O30" s="210"/>
      <c r="P30" s="194" t="s">
        <v>7</v>
      </c>
      <c r="Q30" s="436"/>
      <c r="R30" s="236"/>
      <c r="S30" s="207" t="s">
        <v>7</v>
      </c>
      <c r="T30" s="198">
        <f t="shared" si="2"/>
        <v>0</v>
      </c>
      <c r="U30" s="211"/>
      <c r="V30" s="211"/>
      <c r="W30" s="212"/>
      <c r="X30" s="213"/>
      <c r="Y30" s="438"/>
      <c r="Z30" s="238"/>
      <c r="AA30" s="238"/>
      <c r="AB30" s="440"/>
      <c r="AC30" s="229"/>
      <c r="AD30" s="230"/>
      <c r="AE30" s="230"/>
      <c r="AF30" s="230"/>
    </row>
    <row r="31" spans="1:32" s="55" customFormat="1" ht="69.95" customHeight="1" x14ac:dyDescent="0.15">
      <c r="A31" s="431" t="s">
        <v>284</v>
      </c>
      <c r="B31" s="182">
        <f t="shared" si="4"/>
        <v>287</v>
      </c>
      <c r="C31" s="461" t="str">
        <f t="shared" si="1"/>
        <v>CG</v>
      </c>
      <c r="D31" s="461"/>
      <c r="E31" s="461"/>
      <c r="F31" s="461"/>
      <c r="G31" s="461"/>
      <c r="H31" s="461"/>
      <c r="I31" s="441" t="s">
        <v>58</v>
      </c>
      <c r="J31" s="76"/>
      <c r="K31" s="136">
        <v>0.08</v>
      </c>
      <c r="L31" s="77" t="s">
        <v>7</v>
      </c>
      <c r="M31" s="78">
        <f t="shared" si="3"/>
        <v>22.96</v>
      </c>
      <c r="N31" s="79"/>
      <c r="O31" s="78"/>
      <c r="P31" s="80" t="s">
        <v>7</v>
      </c>
      <c r="Q31" s="443"/>
      <c r="R31" s="78"/>
      <c r="S31" s="80" t="s">
        <v>7</v>
      </c>
      <c r="T31" s="81">
        <f t="shared" si="2"/>
        <v>-22.96</v>
      </c>
      <c r="U31" s="82"/>
      <c r="V31" s="137"/>
      <c r="W31" s="78"/>
      <c r="X31" s="78"/>
      <c r="Y31" s="445" t="s">
        <v>59</v>
      </c>
      <c r="Z31" s="138"/>
      <c r="AA31" s="135"/>
      <c r="AB31" s="360"/>
      <c r="AC31" s="178"/>
      <c r="AD31" s="179"/>
      <c r="AE31" s="179"/>
      <c r="AF31" s="179"/>
    </row>
    <row r="32" spans="1:32" s="55" customFormat="1" ht="69.95" customHeight="1" x14ac:dyDescent="0.15">
      <c r="A32" s="559"/>
      <c r="B32" s="182">
        <f>$I$6</f>
        <v>274</v>
      </c>
      <c r="C32" s="461" t="str">
        <f>$A$6</f>
        <v>CR</v>
      </c>
      <c r="D32" s="461"/>
      <c r="E32" s="461"/>
      <c r="F32" s="461"/>
      <c r="G32" s="461"/>
      <c r="H32" s="461"/>
      <c r="I32" s="563"/>
      <c r="J32" s="76"/>
      <c r="K32" s="136">
        <v>0.08</v>
      </c>
      <c r="L32" s="77" t="s">
        <v>7</v>
      </c>
      <c r="M32" s="78">
        <f t="shared" si="3"/>
        <v>21.92</v>
      </c>
      <c r="N32" s="79"/>
      <c r="O32" s="128"/>
      <c r="P32" s="77" t="s">
        <v>7</v>
      </c>
      <c r="Q32" s="447"/>
      <c r="R32" s="137"/>
      <c r="S32" s="75" t="s">
        <v>7</v>
      </c>
      <c r="T32" s="81">
        <f t="shared" si="2"/>
        <v>-21.92</v>
      </c>
      <c r="U32" s="131"/>
      <c r="V32" s="131"/>
      <c r="W32" s="132"/>
      <c r="X32" s="133"/>
      <c r="Y32" s="557"/>
      <c r="Z32" s="134"/>
      <c r="AA32" s="135"/>
      <c r="AB32" s="361"/>
      <c r="AC32" s="178"/>
      <c r="AD32" s="179"/>
      <c r="AE32" s="179"/>
      <c r="AF32" s="179"/>
    </row>
    <row r="33" spans="1:32" s="55" customFormat="1" ht="69.95" customHeight="1" thickBot="1" x14ac:dyDescent="0.2">
      <c r="A33" s="432"/>
      <c r="B33" s="182">
        <f>$I$7</f>
        <v>0</v>
      </c>
      <c r="C33" s="461">
        <f>$A$7</f>
        <v>0</v>
      </c>
      <c r="D33" s="461"/>
      <c r="E33" s="461"/>
      <c r="F33" s="461"/>
      <c r="G33" s="461"/>
      <c r="H33" s="461"/>
      <c r="I33" s="442"/>
      <c r="J33" s="76"/>
      <c r="K33" s="136">
        <v>0.08</v>
      </c>
      <c r="L33" s="77" t="s">
        <v>7</v>
      </c>
      <c r="M33" s="78">
        <f t="shared" si="3"/>
        <v>0</v>
      </c>
      <c r="N33" s="79"/>
      <c r="O33" s="128"/>
      <c r="P33" s="77" t="s">
        <v>7</v>
      </c>
      <c r="Q33" s="444"/>
      <c r="R33" s="137"/>
      <c r="S33" s="75" t="s">
        <v>7</v>
      </c>
      <c r="T33" s="81">
        <f t="shared" si="2"/>
        <v>0</v>
      </c>
      <c r="U33" s="131"/>
      <c r="V33" s="131"/>
      <c r="W33" s="132"/>
      <c r="X33" s="133"/>
      <c r="Y33" s="446"/>
      <c r="Z33" s="134"/>
      <c r="AA33" s="135"/>
      <c r="AB33" s="362"/>
      <c r="AC33" s="178"/>
      <c r="AD33" s="179"/>
      <c r="AE33" s="179"/>
      <c r="AF33" s="179"/>
    </row>
    <row r="34" spans="1:32" s="143" customFormat="1" ht="69.95" customHeight="1" thickTop="1" x14ac:dyDescent="0.15">
      <c r="A34" s="431" t="s">
        <v>108</v>
      </c>
      <c r="B34" s="191">
        <f>$I$5</f>
        <v>287</v>
      </c>
      <c r="C34" s="465" t="str">
        <f>$A$5</f>
        <v>CG</v>
      </c>
      <c r="D34" s="465"/>
      <c r="E34" s="465"/>
      <c r="F34" s="465"/>
      <c r="G34" s="465"/>
      <c r="H34" s="465"/>
      <c r="I34" s="433" t="s">
        <v>8</v>
      </c>
      <c r="J34" s="192" t="s">
        <v>6</v>
      </c>
      <c r="K34" s="209"/>
      <c r="L34" s="194" t="s">
        <v>7</v>
      </c>
      <c r="M34" s="195">
        <f>K34*B34</f>
        <v>0</v>
      </c>
      <c r="N34" s="196"/>
      <c r="O34" s="195"/>
      <c r="P34" s="197" t="s">
        <v>7</v>
      </c>
      <c r="Q34" s="435"/>
      <c r="R34" s="195"/>
      <c r="S34" s="197" t="s">
        <v>9</v>
      </c>
      <c r="T34" s="198">
        <f t="shared" si="2"/>
        <v>0</v>
      </c>
      <c r="U34" s="199"/>
      <c r="V34" s="200"/>
      <c r="W34" s="195"/>
      <c r="X34" s="195"/>
      <c r="Y34" s="437" t="s">
        <v>59</v>
      </c>
      <c r="Z34" s="201"/>
      <c r="AA34" s="202"/>
      <c r="AB34" s="596"/>
    </row>
    <row r="35" spans="1:32" s="143" customFormat="1" ht="69.95" customHeight="1" x14ac:dyDescent="0.15">
      <c r="A35" s="432"/>
      <c r="B35" s="191">
        <f>$I$6</f>
        <v>274</v>
      </c>
      <c r="C35" s="465" t="str">
        <f>$A$6</f>
        <v>CR</v>
      </c>
      <c r="D35" s="465"/>
      <c r="E35" s="465"/>
      <c r="F35" s="465"/>
      <c r="G35" s="465"/>
      <c r="H35" s="465"/>
      <c r="I35" s="434"/>
      <c r="J35" s="192" t="s">
        <v>6</v>
      </c>
      <c r="K35" s="209"/>
      <c r="L35" s="194" t="s">
        <v>7</v>
      </c>
      <c r="M35" s="195">
        <f>K35*B35</f>
        <v>0</v>
      </c>
      <c r="N35" s="196"/>
      <c r="O35" s="210"/>
      <c r="P35" s="194" t="s">
        <v>7</v>
      </c>
      <c r="Q35" s="436"/>
      <c r="R35" s="200"/>
      <c r="S35" s="207" t="s">
        <v>9</v>
      </c>
      <c r="T35" s="198">
        <f t="shared" si="2"/>
        <v>0</v>
      </c>
      <c r="U35" s="211"/>
      <c r="V35" s="211"/>
      <c r="W35" s="212"/>
      <c r="X35" s="213"/>
      <c r="Y35" s="438"/>
      <c r="Z35" s="214"/>
      <c r="AA35" s="202"/>
      <c r="AB35" s="440"/>
      <c r="AC35" s="577"/>
      <c r="AD35" s="578"/>
      <c r="AE35" s="578"/>
      <c r="AF35" s="578"/>
    </row>
    <row r="36" spans="1:32" s="143" customFormat="1" ht="69.95" customHeight="1" x14ac:dyDescent="0.15">
      <c r="A36" s="464" t="s">
        <v>86</v>
      </c>
      <c r="B36" s="182">
        <f>$I$5</f>
        <v>287</v>
      </c>
      <c r="C36" s="461" t="str">
        <f>$A$5</f>
        <v>CG</v>
      </c>
      <c r="D36" s="461"/>
      <c r="E36" s="461"/>
      <c r="F36" s="461"/>
      <c r="G36" s="461"/>
      <c r="H36" s="461"/>
      <c r="I36" s="441" t="s">
        <v>251</v>
      </c>
      <c r="J36" s="76"/>
      <c r="K36" s="136">
        <v>22.9</v>
      </c>
      <c r="L36" s="77" t="s">
        <v>7</v>
      </c>
      <c r="M36" s="78">
        <f t="shared" ref="M36:M41" si="5">K36*B36/50</f>
        <v>131.446</v>
      </c>
      <c r="N36" s="79"/>
      <c r="O36" s="78"/>
      <c r="P36" s="80" t="s">
        <v>7</v>
      </c>
      <c r="Q36" s="443"/>
      <c r="R36" s="78"/>
      <c r="S36" s="80" t="s">
        <v>9</v>
      </c>
      <c r="T36" s="81">
        <f t="shared" si="2"/>
        <v>-131.446</v>
      </c>
      <c r="U36" s="82"/>
      <c r="V36" s="137"/>
      <c r="W36" s="78"/>
      <c r="X36" s="78"/>
      <c r="Y36" s="445" t="s">
        <v>94</v>
      </c>
      <c r="Z36" s="141"/>
      <c r="AA36" s="135"/>
      <c r="AB36" s="360"/>
    </row>
    <row r="37" spans="1:32" s="143" customFormat="1" ht="69.95" customHeight="1" x14ac:dyDescent="0.15">
      <c r="A37" s="464"/>
      <c r="B37" s="182">
        <f>$I$6</f>
        <v>274</v>
      </c>
      <c r="C37" s="461" t="str">
        <f>$A$6</f>
        <v>CR</v>
      </c>
      <c r="D37" s="461"/>
      <c r="E37" s="461"/>
      <c r="F37" s="461"/>
      <c r="G37" s="461"/>
      <c r="H37" s="461"/>
      <c r="I37" s="563"/>
      <c r="J37" s="76"/>
      <c r="K37" s="136">
        <v>22.9</v>
      </c>
      <c r="L37" s="77" t="s">
        <v>7</v>
      </c>
      <c r="M37" s="78">
        <f t="shared" si="5"/>
        <v>125.49199999999999</v>
      </c>
      <c r="N37" s="79"/>
      <c r="O37" s="128"/>
      <c r="P37" s="77" t="s">
        <v>7</v>
      </c>
      <c r="Q37" s="447"/>
      <c r="R37" s="137"/>
      <c r="S37" s="75" t="s">
        <v>9</v>
      </c>
      <c r="T37" s="81">
        <f t="shared" si="2"/>
        <v>-125.49199999999999</v>
      </c>
      <c r="U37" s="131"/>
      <c r="V37" s="131"/>
      <c r="W37" s="132"/>
      <c r="X37" s="133"/>
      <c r="Y37" s="557"/>
      <c r="Z37" s="134"/>
      <c r="AA37" s="135"/>
      <c r="AB37" s="361"/>
      <c r="AC37" s="577"/>
      <c r="AD37" s="578"/>
      <c r="AE37" s="578"/>
      <c r="AF37" s="578"/>
    </row>
    <row r="38" spans="1:32" s="143" customFormat="1" ht="69.95" customHeight="1" x14ac:dyDescent="0.15">
      <c r="A38" s="464"/>
      <c r="B38" s="182">
        <f>$I$7</f>
        <v>0</v>
      </c>
      <c r="C38" s="461">
        <f>$A$7</f>
        <v>0</v>
      </c>
      <c r="D38" s="461"/>
      <c r="E38" s="461"/>
      <c r="F38" s="461"/>
      <c r="G38" s="461"/>
      <c r="H38" s="461"/>
      <c r="I38" s="442"/>
      <c r="J38" s="76"/>
      <c r="K38" s="136">
        <v>22.9</v>
      </c>
      <c r="L38" s="77" t="s">
        <v>7</v>
      </c>
      <c r="M38" s="78">
        <f t="shared" si="5"/>
        <v>0</v>
      </c>
      <c r="N38" s="79"/>
      <c r="O38" s="128"/>
      <c r="P38" s="77" t="s">
        <v>7</v>
      </c>
      <c r="Q38" s="444"/>
      <c r="R38" s="137"/>
      <c r="S38" s="75" t="s">
        <v>9</v>
      </c>
      <c r="T38" s="81">
        <f t="shared" si="2"/>
        <v>0</v>
      </c>
      <c r="U38" s="131"/>
      <c r="V38" s="131"/>
      <c r="W38" s="132"/>
      <c r="X38" s="133"/>
      <c r="Y38" s="446"/>
      <c r="Z38" s="134"/>
      <c r="AA38" s="135"/>
      <c r="AB38" s="361"/>
      <c r="AC38" s="577"/>
      <c r="AD38" s="578"/>
      <c r="AE38" s="578"/>
      <c r="AF38" s="578"/>
    </row>
    <row r="39" spans="1:32" s="143" customFormat="1" ht="69.95" customHeight="1" x14ac:dyDescent="0.15">
      <c r="A39" s="464" t="s">
        <v>222</v>
      </c>
      <c r="B39" s="182">
        <f>$I$5</f>
        <v>287</v>
      </c>
      <c r="C39" s="461" t="str">
        <f>$A$5</f>
        <v>CG</v>
      </c>
      <c r="D39" s="461"/>
      <c r="E39" s="461"/>
      <c r="F39" s="461"/>
      <c r="G39" s="461"/>
      <c r="H39" s="461"/>
      <c r="I39" s="441" t="s">
        <v>76</v>
      </c>
      <c r="J39" s="76"/>
      <c r="K39" s="136">
        <v>0.7</v>
      </c>
      <c r="L39" s="77" t="s">
        <v>7</v>
      </c>
      <c r="M39" s="78">
        <f t="shared" si="5"/>
        <v>4.0179999999999998</v>
      </c>
      <c r="N39" s="79"/>
      <c r="O39" s="78"/>
      <c r="P39" s="80" t="s">
        <v>7</v>
      </c>
      <c r="Q39" s="443"/>
      <c r="R39" s="78"/>
      <c r="S39" s="80" t="s">
        <v>9</v>
      </c>
      <c r="T39" s="81">
        <f t="shared" si="2"/>
        <v>-4.0179999999999998</v>
      </c>
      <c r="U39" s="82"/>
      <c r="V39" s="137"/>
      <c r="W39" s="78"/>
      <c r="X39" s="78"/>
      <c r="Y39" s="445" t="s">
        <v>94</v>
      </c>
      <c r="Z39" s="141"/>
      <c r="AA39" s="135"/>
      <c r="AB39" s="361"/>
    </row>
    <row r="40" spans="1:32" s="143" customFormat="1" ht="69.95" customHeight="1" x14ac:dyDescent="0.15">
      <c r="A40" s="464"/>
      <c r="B40" s="182">
        <f>$I$6</f>
        <v>274</v>
      </c>
      <c r="C40" s="461" t="str">
        <f>$A$6</f>
        <v>CR</v>
      </c>
      <c r="D40" s="461"/>
      <c r="E40" s="461"/>
      <c r="F40" s="461"/>
      <c r="G40" s="461"/>
      <c r="H40" s="461"/>
      <c r="I40" s="563"/>
      <c r="J40" s="76"/>
      <c r="K40" s="136">
        <v>0.7</v>
      </c>
      <c r="L40" s="77" t="s">
        <v>7</v>
      </c>
      <c r="M40" s="78">
        <f t="shared" si="5"/>
        <v>3.8359999999999999</v>
      </c>
      <c r="N40" s="79"/>
      <c r="O40" s="128"/>
      <c r="P40" s="77" t="s">
        <v>7</v>
      </c>
      <c r="Q40" s="447"/>
      <c r="R40" s="137"/>
      <c r="S40" s="75" t="s">
        <v>9</v>
      </c>
      <c r="T40" s="81">
        <f t="shared" si="2"/>
        <v>-3.8359999999999999</v>
      </c>
      <c r="U40" s="131"/>
      <c r="V40" s="131"/>
      <c r="W40" s="132"/>
      <c r="X40" s="133"/>
      <c r="Y40" s="557"/>
      <c r="Z40" s="134"/>
      <c r="AA40" s="135"/>
      <c r="AB40" s="361"/>
      <c r="AC40" s="577"/>
      <c r="AD40" s="578"/>
      <c r="AE40" s="578"/>
      <c r="AF40" s="578"/>
    </row>
    <row r="41" spans="1:32" s="143" customFormat="1" ht="69.95" customHeight="1" x14ac:dyDescent="0.15">
      <c r="A41" s="464"/>
      <c r="B41" s="182">
        <f>$I$7</f>
        <v>0</v>
      </c>
      <c r="C41" s="461">
        <f>$A$7</f>
        <v>0</v>
      </c>
      <c r="D41" s="461"/>
      <c r="E41" s="461"/>
      <c r="F41" s="461"/>
      <c r="G41" s="461"/>
      <c r="H41" s="461"/>
      <c r="I41" s="442"/>
      <c r="J41" s="76"/>
      <c r="K41" s="136">
        <v>0.7</v>
      </c>
      <c r="L41" s="77" t="s">
        <v>7</v>
      </c>
      <c r="M41" s="78">
        <f t="shared" si="5"/>
        <v>0</v>
      </c>
      <c r="N41" s="79"/>
      <c r="O41" s="128"/>
      <c r="P41" s="77" t="s">
        <v>7</v>
      </c>
      <c r="Q41" s="444"/>
      <c r="R41" s="137"/>
      <c r="S41" s="75" t="s">
        <v>9</v>
      </c>
      <c r="T41" s="81">
        <f t="shared" si="2"/>
        <v>0</v>
      </c>
      <c r="U41" s="131"/>
      <c r="V41" s="131"/>
      <c r="W41" s="132"/>
      <c r="X41" s="133"/>
      <c r="Y41" s="446"/>
      <c r="Z41" s="134"/>
      <c r="AA41" s="135"/>
      <c r="AB41" s="361"/>
      <c r="AC41" s="577"/>
      <c r="AD41" s="578"/>
      <c r="AE41" s="578"/>
      <c r="AF41" s="578"/>
    </row>
    <row r="42" spans="1:32" s="203" customFormat="1" ht="69.95" customHeight="1" x14ac:dyDescent="0.15">
      <c r="A42" s="464" t="s">
        <v>77</v>
      </c>
      <c r="B42" s="182">
        <f>$I$5</f>
        <v>287</v>
      </c>
      <c r="C42" s="461" t="str">
        <f>$A$5</f>
        <v>CG</v>
      </c>
      <c r="D42" s="461"/>
      <c r="E42" s="461"/>
      <c r="F42" s="461"/>
      <c r="G42" s="461"/>
      <c r="H42" s="461"/>
      <c r="I42" s="441" t="s">
        <v>76</v>
      </c>
      <c r="J42" s="76"/>
      <c r="K42" s="136">
        <v>0.5</v>
      </c>
      <c r="L42" s="77" t="s">
        <v>7</v>
      </c>
      <c r="M42" s="78">
        <f>K42*B42/100</f>
        <v>1.4350000000000001</v>
      </c>
      <c r="N42" s="79"/>
      <c r="O42" s="78"/>
      <c r="P42" s="80" t="s">
        <v>7</v>
      </c>
      <c r="Q42" s="443"/>
      <c r="R42" s="78"/>
      <c r="S42" s="80" t="s">
        <v>9</v>
      </c>
      <c r="T42" s="81">
        <f>R42-M42</f>
        <v>-1.4350000000000001</v>
      </c>
      <c r="U42" s="82"/>
      <c r="V42" s="137"/>
      <c r="W42" s="78"/>
      <c r="X42" s="78"/>
      <c r="Y42" s="445" t="s">
        <v>94</v>
      </c>
      <c r="Z42" s="141"/>
      <c r="AA42" s="135"/>
      <c r="AB42" s="361"/>
    </row>
    <row r="43" spans="1:32" s="203" customFormat="1" ht="69.95" customHeight="1" x14ac:dyDescent="0.15">
      <c r="A43" s="464"/>
      <c r="B43" s="182">
        <f>$I$6</f>
        <v>274</v>
      </c>
      <c r="C43" s="461" t="str">
        <f>$A$6</f>
        <v>CR</v>
      </c>
      <c r="D43" s="461"/>
      <c r="E43" s="461"/>
      <c r="F43" s="461"/>
      <c r="G43" s="461"/>
      <c r="H43" s="461"/>
      <c r="I43" s="563"/>
      <c r="J43" s="76"/>
      <c r="K43" s="83">
        <v>0.5</v>
      </c>
      <c r="L43" s="77" t="s">
        <v>7</v>
      </c>
      <c r="M43" s="78">
        <f>K43*B43/100</f>
        <v>1.37</v>
      </c>
      <c r="N43" s="79"/>
      <c r="O43" s="128"/>
      <c r="P43" s="77" t="s">
        <v>7</v>
      </c>
      <c r="Q43" s="447"/>
      <c r="R43" s="137"/>
      <c r="S43" s="75" t="s">
        <v>9</v>
      </c>
      <c r="T43" s="81">
        <f>R43-M43</f>
        <v>-1.37</v>
      </c>
      <c r="U43" s="131"/>
      <c r="V43" s="131"/>
      <c r="W43" s="132"/>
      <c r="X43" s="133"/>
      <c r="Y43" s="557"/>
      <c r="Z43" s="134"/>
      <c r="AA43" s="135"/>
      <c r="AB43" s="361"/>
      <c r="AC43" s="466"/>
      <c r="AD43" s="467"/>
      <c r="AE43" s="467"/>
      <c r="AF43" s="467"/>
    </row>
    <row r="44" spans="1:32" s="203" customFormat="1" ht="69.95" customHeight="1" x14ac:dyDescent="0.15">
      <c r="A44" s="464"/>
      <c r="B44" s="182">
        <f>$I$7</f>
        <v>0</v>
      </c>
      <c r="C44" s="461">
        <f>$A$7</f>
        <v>0</v>
      </c>
      <c r="D44" s="461"/>
      <c r="E44" s="461"/>
      <c r="F44" s="461"/>
      <c r="G44" s="461"/>
      <c r="H44" s="461"/>
      <c r="I44" s="442"/>
      <c r="J44" s="76"/>
      <c r="K44" s="83">
        <v>0.5</v>
      </c>
      <c r="L44" s="77" t="s">
        <v>7</v>
      </c>
      <c r="M44" s="78">
        <f>K44*B44/100</f>
        <v>0</v>
      </c>
      <c r="N44" s="79"/>
      <c r="O44" s="128"/>
      <c r="P44" s="77" t="s">
        <v>7</v>
      </c>
      <c r="Q44" s="444"/>
      <c r="R44" s="137"/>
      <c r="S44" s="75" t="s">
        <v>9</v>
      </c>
      <c r="T44" s="81">
        <f>R44-M44</f>
        <v>0</v>
      </c>
      <c r="U44" s="131"/>
      <c r="V44" s="131"/>
      <c r="W44" s="132"/>
      <c r="X44" s="133"/>
      <c r="Y44" s="446"/>
      <c r="Z44" s="134"/>
      <c r="AA44" s="135"/>
      <c r="AB44" s="362"/>
      <c r="AC44" s="466"/>
      <c r="AD44" s="467"/>
      <c r="AE44" s="467"/>
      <c r="AF44" s="467"/>
    </row>
    <row r="45" spans="1:32" s="203" customFormat="1" ht="69.95" customHeight="1" x14ac:dyDescent="0.15">
      <c r="A45" s="464" t="s">
        <v>116</v>
      </c>
      <c r="B45" s="191">
        <f>$I$5</f>
        <v>287</v>
      </c>
      <c r="C45" s="465" t="str">
        <f>$A$5</f>
        <v>CG</v>
      </c>
      <c r="D45" s="465"/>
      <c r="E45" s="465"/>
      <c r="F45" s="465"/>
      <c r="G45" s="465"/>
      <c r="H45" s="465"/>
      <c r="I45" s="433" t="s">
        <v>76</v>
      </c>
      <c r="J45" s="192"/>
      <c r="K45" s="209"/>
      <c r="L45" s="194" t="s">
        <v>7</v>
      </c>
      <c r="M45" s="195">
        <f>K45*B45/50</f>
        <v>0</v>
      </c>
      <c r="N45" s="196"/>
      <c r="O45" s="195"/>
      <c r="P45" s="197" t="s">
        <v>7</v>
      </c>
      <c r="Q45" s="435"/>
      <c r="R45" s="195"/>
      <c r="S45" s="197" t="s">
        <v>9</v>
      </c>
      <c r="T45" s="198">
        <f t="shared" si="2"/>
        <v>0</v>
      </c>
      <c r="U45" s="199"/>
      <c r="V45" s="200"/>
      <c r="W45" s="195"/>
      <c r="X45" s="195"/>
      <c r="Y45" s="437" t="s">
        <v>94</v>
      </c>
      <c r="Z45" s="201"/>
      <c r="AA45" s="202"/>
      <c r="AB45" s="439"/>
    </row>
    <row r="46" spans="1:32" s="203" customFormat="1" ht="69.95" customHeight="1" x14ac:dyDescent="0.15">
      <c r="A46" s="464"/>
      <c r="B46" s="191">
        <f>$I$6</f>
        <v>274</v>
      </c>
      <c r="C46" s="465" t="str">
        <f>$A$6</f>
        <v>CR</v>
      </c>
      <c r="D46" s="465"/>
      <c r="E46" s="465"/>
      <c r="F46" s="465"/>
      <c r="G46" s="465"/>
      <c r="H46" s="465"/>
      <c r="I46" s="434"/>
      <c r="J46" s="192"/>
      <c r="K46" s="208"/>
      <c r="L46" s="194" t="s">
        <v>7</v>
      </c>
      <c r="M46" s="195">
        <f>K46*B46/50</f>
        <v>0</v>
      </c>
      <c r="N46" s="196"/>
      <c r="O46" s="210"/>
      <c r="P46" s="194" t="s">
        <v>7</v>
      </c>
      <c r="Q46" s="436"/>
      <c r="R46" s="200"/>
      <c r="S46" s="207" t="s">
        <v>9</v>
      </c>
      <c r="T46" s="198">
        <f t="shared" si="2"/>
        <v>0</v>
      </c>
      <c r="U46" s="211"/>
      <c r="V46" s="211"/>
      <c r="W46" s="212"/>
      <c r="X46" s="213"/>
      <c r="Y46" s="438"/>
      <c r="Z46" s="214"/>
      <c r="AA46" s="202"/>
      <c r="AB46" s="440"/>
      <c r="AC46" s="466"/>
      <c r="AD46" s="467"/>
      <c r="AE46" s="467"/>
      <c r="AF46" s="467"/>
    </row>
    <row r="47" spans="1:32" s="143" customFormat="1" ht="69.95" customHeight="1" x14ac:dyDescent="0.15">
      <c r="A47" s="431" t="s">
        <v>88</v>
      </c>
      <c r="B47" s="182">
        <f>$I$5</f>
        <v>287</v>
      </c>
      <c r="C47" s="461" t="str">
        <f>$A$5</f>
        <v>CG</v>
      </c>
      <c r="D47" s="461"/>
      <c r="E47" s="461"/>
      <c r="F47" s="461"/>
      <c r="G47" s="461"/>
      <c r="H47" s="461"/>
      <c r="I47" s="441" t="s">
        <v>62</v>
      </c>
      <c r="J47" s="76"/>
      <c r="K47" s="139">
        <v>300</v>
      </c>
      <c r="L47" s="77" t="s">
        <v>61</v>
      </c>
      <c r="M47" s="78">
        <f t="shared" ref="M47:M52" si="6">K47*B47/2500</f>
        <v>34.44</v>
      </c>
      <c r="N47" s="79"/>
      <c r="O47" s="78"/>
      <c r="P47" s="80" t="s">
        <v>10</v>
      </c>
      <c r="Q47" s="443"/>
      <c r="R47" s="78"/>
      <c r="S47" s="80" t="s">
        <v>10</v>
      </c>
      <c r="T47" s="81">
        <f t="shared" si="2"/>
        <v>-34.44</v>
      </c>
      <c r="U47" s="82"/>
      <c r="V47" s="137"/>
      <c r="W47" s="78"/>
      <c r="X47" s="78"/>
      <c r="Y47" s="445" t="s">
        <v>94</v>
      </c>
      <c r="Z47" s="141"/>
      <c r="AA47" s="135"/>
      <c r="AB47" s="360"/>
    </row>
    <row r="48" spans="1:32" s="55" customFormat="1" ht="69.95" customHeight="1" x14ac:dyDescent="0.15">
      <c r="A48" s="559"/>
      <c r="B48" s="186">
        <f>$I$6</f>
        <v>274</v>
      </c>
      <c r="C48" s="395" t="str">
        <f>$A$6</f>
        <v>CR</v>
      </c>
      <c r="D48" s="396"/>
      <c r="E48" s="397"/>
      <c r="F48" s="395"/>
      <c r="G48" s="396"/>
      <c r="H48" s="397"/>
      <c r="I48" s="563"/>
      <c r="J48" s="144"/>
      <c r="K48" s="139">
        <v>300</v>
      </c>
      <c r="L48" s="145" t="s">
        <v>61</v>
      </c>
      <c r="M48" s="78">
        <f t="shared" si="6"/>
        <v>32.880000000000003</v>
      </c>
      <c r="N48" s="146"/>
      <c r="O48" s="147"/>
      <c r="P48" s="145" t="s">
        <v>10</v>
      </c>
      <c r="Q48" s="447"/>
      <c r="R48" s="161"/>
      <c r="S48" s="148" t="s">
        <v>10</v>
      </c>
      <c r="T48" s="84">
        <f t="shared" si="2"/>
        <v>-32.880000000000003</v>
      </c>
      <c r="U48" s="149"/>
      <c r="V48" s="149"/>
      <c r="W48" s="150"/>
      <c r="X48" s="151"/>
      <c r="Y48" s="557"/>
      <c r="Z48" s="216"/>
      <c r="AA48" s="217"/>
      <c r="AB48" s="361"/>
      <c r="AC48" s="471"/>
      <c r="AD48" s="472"/>
      <c r="AE48" s="472"/>
      <c r="AF48" s="472"/>
    </row>
    <row r="49" spans="1:32" s="55" customFormat="1" ht="69.95" customHeight="1" x14ac:dyDescent="0.15">
      <c r="A49" s="432"/>
      <c r="B49" s="182">
        <f>$I$7</f>
        <v>0</v>
      </c>
      <c r="C49" s="461">
        <f>$A$7</f>
        <v>0</v>
      </c>
      <c r="D49" s="461"/>
      <c r="E49" s="461"/>
      <c r="F49" s="395"/>
      <c r="G49" s="396"/>
      <c r="H49" s="397"/>
      <c r="I49" s="442"/>
      <c r="J49" s="144"/>
      <c r="K49" s="139">
        <v>300</v>
      </c>
      <c r="L49" s="145" t="s">
        <v>61</v>
      </c>
      <c r="M49" s="78">
        <f t="shared" si="6"/>
        <v>0</v>
      </c>
      <c r="N49" s="146"/>
      <c r="O49" s="147"/>
      <c r="P49" s="145" t="s">
        <v>10</v>
      </c>
      <c r="Q49" s="447"/>
      <c r="R49" s="161"/>
      <c r="S49" s="148" t="s">
        <v>10</v>
      </c>
      <c r="T49" s="84">
        <f t="shared" si="2"/>
        <v>0</v>
      </c>
      <c r="U49" s="149"/>
      <c r="V49" s="149"/>
      <c r="W49" s="150"/>
      <c r="X49" s="151"/>
      <c r="Y49" s="446"/>
      <c r="Z49" s="216"/>
      <c r="AA49" s="217"/>
      <c r="AB49" s="361"/>
      <c r="AC49" s="471"/>
      <c r="AD49" s="472"/>
      <c r="AE49" s="472"/>
      <c r="AF49" s="472"/>
    </row>
    <row r="50" spans="1:32" s="143" customFormat="1" ht="69.95" customHeight="1" x14ac:dyDescent="0.15">
      <c r="A50" s="431" t="s">
        <v>285</v>
      </c>
      <c r="B50" s="182">
        <f>$I$5</f>
        <v>287</v>
      </c>
      <c r="C50" s="461" t="str">
        <f>$A$5</f>
        <v>CG</v>
      </c>
      <c r="D50" s="461"/>
      <c r="E50" s="461"/>
      <c r="F50" s="461"/>
      <c r="G50" s="461"/>
      <c r="H50" s="461"/>
      <c r="I50" s="441" t="s">
        <v>62</v>
      </c>
      <c r="J50" s="76"/>
      <c r="K50" s="139">
        <v>10</v>
      </c>
      <c r="L50" s="77" t="s">
        <v>61</v>
      </c>
      <c r="M50" s="78">
        <f t="shared" si="6"/>
        <v>1.1479999999999999</v>
      </c>
      <c r="N50" s="79"/>
      <c r="O50" s="78"/>
      <c r="P50" s="80" t="s">
        <v>10</v>
      </c>
      <c r="Q50" s="447"/>
      <c r="R50" s="78"/>
      <c r="S50" s="80" t="s">
        <v>10</v>
      </c>
      <c r="T50" s="81">
        <f t="shared" si="2"/>
        <v>-1.1479999999999999</v>
      </c>
      <c r="U50" s="82"/>
      <c r="V50" s="137"/>
      <c r="W50" s="78"/>
      <c r="X50" s="78"/>
      <c r="Y50" s="445" t="s">
        <v>94</v>
      </c>
      <c r="Z50" s="141"/>
      <c r="AA50" s="135"/>
      <c r="AB50" s="361"/>
    </row>
    <row r="51" spans="1:32" s="55" customFormat="1" ht="69.95" customHeight="1" x14ac:dyDescent="0.15">
      <c r="A51" s="559"/>
      <c r="B51" s="186">
        <f>$I$6</f>
        <v>274</v>
      </c>
      <c r="C51" s="395" t="str">
        <f>$A$6</f>
        <v>CR</v>
      </c>
      <c r="D51" s="396"/>
      <c r="E51" s="397"/>
      <c r="F51" s="395"/>
      <c r="G51" s="396"/>
      <c r="H51" s="397"/>
      <c r="I51" s="563"/>
      <c r="J51" s="144"/>
      <c r="K51" s="139">
        <v>10</v>
      </c>
      <c r="L51" s="145" t="s">
        <v>61</v>
      </c>
      <c r="M51" s="78">
        <f t="shared" si="6"/>
        <v>1.0960000000000001</v>
      </c>
      <c r="N51" s="146"/>
      <c r="O51" s="147"/>
      <c r="P51" s="145" t="s">
        <v>10</v>
      </c>
      <c r="Q51" s="447"/>
      <c r="R51" s="161"/>
      <c r="S51" s="148" t="s">
        <v>10</v>
      </c>
      <c r="T51" s="84">
        <f t="shared" si="2"/>
        <v>-1.0960000000000001</v>
      </c>
      <c r="U51" s="149"/>
      <c r="V51" s="149"/>
      <c r="W51" s="150"/>
      <c r="X51" s="151"/>
      <c r="Y51" s="557"/>
      <c r="Z51" s="216"/>
      <c r="AA51" s="217"/>
      <c r="AB51" s="361"/>
      <c r="AC51" s="471"/>
      <c r="AD51" s="472"/>
      <c r="AE51" s="472"/>
      <c r="AF51" s="472"/>
    </row>
    <row r="52" spans="1:32" s="55" customFormat="1" ht="69.95" customHeight="1" x14ac:dyDescent="0.15">
      <c r="A52" s="432"/>
      <c r="B52" s="182">
        <f>$I$7</f>
        <v>0</v>
      </c>
      <c r="C52" s="461">
        <f>$A$7</f>
        <v>0</v>
      </c>
      <c r="D52" s="461"/>
      <c r="E52" s="461"/>
      <c r="F52" s="395"/>
      <c r="G52" s="396"/>
      <c r="H52" s="397"/>
      <c r="I52" s="442"/>
      <c r="J52" s="144"/>
      <c r="K52" s="139">
        <v>10</v>
      </c>
      <c r="L52" s="145" t="s">
        <v>61</v>
      </c>
      <c r="M52" s="78">
        <f t="shared" si="6"/>
        <v>0</v>
      </c>
      <c r="N52" s="146"/>
      <c r="O52" s="147"/>
      <c r="P52" s="145" t="s">
        <v>10</v>
      </c>
      <c r="Q52" s="447"/>
      <c r="R52" s="161"/>
      <c r="S52" s="148" t="s">
        <v>10</v>
      </c>
      <c r="T52" s="84">
        <f t="shared" si="2"/>
        <v>0</v>
      </c>
      <c r="U52" s="149"/>
      <c r="V52" s="149"/>
      <c r="W52" s="150"/>
      <c r="X52" s="151"/>
      <c r="Y52" s="446"/>
      <c r="Z52" s="216"/>
      <c r="AA52" s="217"/>
      <c r="AB52" s="361"/>
      <c r="AC52" s="471"/>
      <c r="AD52" s="472"/>
      <c r="AE52" s="472"/>
      <c r="AF52" s="472"/>
    </row>
    <row r="53" spans="1:32" s="143" customFormat="1" ht="69.95" customHeight="1" x14ac:dyDescent="0.15">
      <c r="A53" s="431" t="s">
        <v>147</v>
      </c>
      <c r="B53" s="182">
        <f>$I$5</f>
        <v>287</v>
      </c>
      <c r="C53" s="461" t="str">
        <f>$A$5</f>
        <v>CG</v>
      </c>
      <c r="D53" s="461"/>
      <c r="E53" s="461"/>
      <c r="F53" s="461"/>
      <c r="G53" s="461"/>
      <c r="H53" s="461"/>
      <c r="I53" s="441" t="s">
        <v>60</v>
      </c>
      <c r="J53" s="76"/>
      <c r="K53" s="139">
        <v>350</v>
      </c>
      <c r="L53" s="77" t="s">
        <v>61</v>
      </c>
      <c r="M53" s="78">
        <f>K53*B53/4000</f>
        <v>25.112500000000001</v>
      </c>
      <c r="N53" s="79"/>
      <c r="O53" s="78"/>
      <c r="P53" s="80" t="s">
        <v>10</v>
      </c>
      <c r="Q53" s="447"/>
      <c r="R53" s="78"/>
      <c r="S53" s="80" t="s">
        <v>10</v>
      </c>
      <c r="T53" s="81">
        <f t="shared" si="2"/>
        <v>-25.112500000000001</v>
      </c>
      <c r="U53" s="82"/>
      <c r="V53" s="137"/>
      <c r="W53" s="78"/>
      <c r="X53" s="78"/>
      <c r="Y53" s="445" t="s">
        <v>94</v>
      </c>
      <c r="Z53" s="141"/>
      <c r="AA53" s="135"/>
      <c r="AB53" s="361"/>
    </row>
    <row r="54" spans="1:32" s="55" customFormat="1" ht="69.95" customHeight="1" x14ac:dyDescent="0.15">
      <c r="A54" s="559"/>
      <c r="B54" s="186">
        <f>$I$6</f>
        <v>274</v>
      </c>
      <c r="C54" s="395" t="str">
        <f>$A$6</f>
        <v>CR</v>
      </c>
      <c r="D54" s="396"/>
      <c r="E54" s="397"/>
      <c r="F54" s="395"/>
      <c r="G54" s="396"/>
      <c r="H54" s="397"/>
      <c r="I54" s="563"/>
      <c r="J54" s="144"/>
      <c r="K54" s="139">
        <v>350</v>
      </c>
      <c r="L54" s="145" t="s">
        <v>61</v>
      </c>
      <c r="M54" s="78">
        <f>K54*B54/4000</f>
        <v>23.975000000000001</v>
      </c>
      <c r="N54" s="146"/>
      <c r="O54" s="147"/>
      <c r="P54" s="145" t="s">
        <v>10</v>
      </c>
      <c r="Q54" s="447"/>
      <c r="R54" s="161"/>
      <c r="S54" s="148" t="s">
        <v>10</v>
      </c>
      <c r="T54" s="84">
        <f t="shared" si="2"/>
        <v>-23.975000000000001</v>
      </c>
      <c r="U54" s="149"/>
      <c r="V54" s="149"/>
      <c r="W54" s="150"/>
      <c r="X54" s="151"/>
      <c r="Y54" s="557"/>
      <c r="Z54" s="216"/>
      <c r="AA54" s="217"/>
      <c r="AB54" s="361"/>
      <c r="AC54" s="471"/>
      <c r="AD54" s="472"/>
      <c r="AE54" s="472"/>
      <c r="AF54" s="472"/>
    </row>
    <row r="55" spans="1:32" s="55" customFormat="1" ht="69.95" customHeight="1" x14ac:dyDescent="0.15">
      <c r="A55" s="432"/>
      <c r="B55" s="182">
        <f>$I$7</f>
        <v>0</v>
      </c>
      <c r="C55" s="461">
        <f>$A$7</f>
        <v>0</v>
      </c>
      <c r="D55" s="461"/>
      <c r="E55" s="461"/>
      <c r="F55" s="395"/>
      <c r="G55" s="396"/>
      <c r="H55" s="397"/>
      <c r="I55" s="442"/>
      <c r="J55" s="144"/>
      <c r="K55" s="139">
        <v>350</v>
      </c>
      <c r="L55" s="145" t="s">
        <v>61</v>
      </c>
      <c r="M55" s="78">
        <f>K55*B55/4000</f>
        <v>0</v>
      </c>
      <c r="N55" s="146"/>
      <c r="O55" s="147"/>
      <c r="P55" s="145" t="s">
        <v>10</v>
      </c>
      <c r="Q55" s="444"/>
      <c r="R55" s="161"/>
      <c r="S55" s="148" t="s">
        <v>10</v>
      </c>
      <c r="T55" s="84">
        <f t="shared" si="2"/>
        <v>0</v>
      </c>
      <c r="U55" s="149"/>
      <c r="V55" s="149"/>
      <c r="W55" s="150"/>
      <c r="X55" s="151"/>
      <c r="Y55" s="446"/>
      <c r="Z55" s="216"/>
      <c r="AA55" s="217"/>
      <c r="AB55" s="362"/>
      <c r="AC55" s="471"/>
      <c r="AD55" s="472"/>
      <c r="AE55" s="472"/>
      <c r="AF55" s="472"/>
    </row>
    <row r="56" spans="1:32" s="143" customFormat="1" ht="69.95" customHeight="1" x14ac:dyDescent="0.15">
      <c r="A56" s="431" t="s">
        <v>253</v>
      </c>
      <c r="B56" s="191">
        <f>$I$5</f>
        <v>287</v>
      </c>
      <c r="C56" s="465" t="str">
        <f>$A$5</f>
        <v>CG</v>
      </c>
      <c r="D56" s="465"/>
      <c r="E56" s="465"/>
      <c r="F56" s="465" t="str">
        <f>$A$5</f>
        <v>CG</v>
      </c>
      <c r="G56" s="465"/>
      <c r="H56" s="465"/>
      <c r="I56" s="433" t="s">
        <v>254</v>
      </c>
      <c r="J56" s="192"/>
      <c r="K56" s="193">
        <v>10</v>
      </c>
      <c r="L56" s="194" t="s">
        <v>61</v>
      </c>
      <c r="M56" s="195">
        <f>K56*B56/6000</f>
        <v>0.47833333333333333</v>
      </c>
      <c r="N56" s="196"/>
      <c r="O56" s="195"/>
      <c r="P56" s="197" t="s">
        <v>10</v>
      </c>
      <c r="Q56" s="435"/>
      <c r="R56" s="195"/>
      <c r="S56" s="197" t="s">
        <v>10</v>
      </c>
      <c r="T56" s="198">
        <f t="shared" si="2"/>
        <v>-0.47833333333333333</v>
      </c>
      <c r="U56" s="199"/>
      <c r="V56" s="200"/>
      <c r="W56" s="195"/>
      <c r="X56" s="195"/>
      <c r="Y56" s="437" t="s">
        <v>94</v>
      </c>
      <c r="Z56" s="201"/>
      <c r="AA56" s="202"/>
      <c r="AB56" s="439"/>
    </row>
    <row r="57" spans="1:32" s="55" customFormat="1" ht="69.95" customHeight="1" x14ac:dyDescent="0.15">
      <c r="A57" s="432"/>
      <c r="B57" s="204">
        <f>$I$6</f>
        <v>274</v>
      </c>
      <c r="C57" s="453" t="str">
        <f>$A$6</f>
        <v>CR</v>
      </c>
      <c r="D57" s="454"/>
      <c r="E57" s="455"/>
      <c r="F57" s="453" t="str">
        <f>$A$6</f>
        <v>CR</v>
      </c>
      <c r="G57" s="454"/>
      <c r="H57" s="455"/>
      <c r="I57" s="434"/>
      <c r="J57" s="218"/>
      <c r="K57" s="193">
        <v>10</v>
      </c>
      <c r="L57" s="219" t="s">
        <v>61</v>
      </c>
      <c r="M57" s="195">
        <f>K57*B57/6000</f>
        <v>0.45666666666666667</v>
      </c>
      <c r="N57" s="220"/>
      <c r="O57" s="221"/>
      <c r="P57" s="219" t="s">
        <v>10</v>
      </c>
      <c r="Q57" s="436"/>
      <c r="R57" s="222"/>
      <c r="S57" s="215" t="s">
        <v>10</v>
      </c>
      <c r="T57" s="205">
        <f t="shared" si="2"/>
        <v>-0.45666666666666667</v>
      </c>
      <c r="U57" s="223"/>
      <c r="V57" s="223"/>
      <c r="W57" s="224"/>
      <c r="X57" s="225"/>
      <c r="Y57" s="438"/>
      <c r="Z57" s="226"/>
      <c r="AA57" s="227"/>
      <c r="AB57" s="440"/>
      <c r="AC57" s="471"/>
      <c r="AD57" s="472"/>
      <c r="AE57" s="472"/>
      <c r="AF57" s="472"/>
    </row>
    <row r="58" spans="1:32" s="206" customFormat="1" ht="69.95" customHeight="1" x14ac:dyDescent="0.15">
      <c r="A58" s="431" t="s">
        <v>117</v>
      </c>
      <c r="B58" s="191">
        <f t="shared" ref="B58:B60" si="7">$I$5</f>
        <v>287</v>
      </c>
      <c r="C58" s="422" t="str">
        <f t="shared" ref="C58:C60" si="8">$A$5</f>
        <v>CG</v>
      </c>
      <c r="D58" s="423"/>
      <c r="E58" s="424"/>
      <c r="F58" s="425"/>
      <c r="G58" s="423"/>
      <c r="H58" s="424"/>
      <c r="I58" s="433" t="s">
        <v>80</v>
      </c>
      <c r="J58" s="192"/>
      <c r="K58" s="193"/>
      <c r="L58" s="194" t="s">
        <v>65</v>
      </c>
      <c r="M58" s="195">
        <f t="shared" ref="M58:M78" si="9">K58*B58</f>
        <v>0</v>
      </c>
      <c r="N58" s="196"/>
      <c r="O58" s="195"/>
      <c r="P58" s="194" t="s">
        <v>65</v>
      </c>
      <c r="Q58" s="435"/>
      <c r="R58" s="195"/>
      <c r="S58" s="194" t="s">
        <v>65</v>
      </c>
      <c r="T58" s="205">
        <f t="shared" si="2"/>
        <v>0</v>
      </c>
      <c r="U58" s="199"/>
      <c r="V58" s="199"/>
      <c r="W58" s="208"/>
      <c r="X58" s="198"/>
      <c r="Y58" s="437" t="s">
        <v>57</v>
      </c>
      <c r="Z58" s="231"/>
      <c r="AA58" s="232"/>
      <c r="AB58" s="439"/>
    </row>
    <row r="59" spans="1:32" s="206" customFormat="1" ht="69.95" customHeight="1" x14ac:dyDescent="0.15">
      <c r="A59" s="432"/>
      <c r="B59" s="204">
        <f>$I$6</f>
        <v>274</v>
      </c>
      <c r="C59" s="453" t="str">
        <f>$A$6</f>
        <v>CR</v>
      </c>
      <c r="D59" s="454"/>
      <c r="E59" s="455"/>
      <c r="F59" s="425"/>
      <c r="G59" s="423"/>
      <c r="H59" s="424"/>
      <c r="I59" s="434"/>
      <c r="J59" s="192"/>
      <c r="K59" s="193"/>
      <c r="L59" s="194" t="s">
        <v>65</v>
      </c>
      <c r="M59" s="195">
        <f t="shared" si="9"/>
        <v>0</v>
      </c>
      <c r="N59" s="233"/>
      <c r="O59" s="195"/>
      <c r="P59" s="194" t="s">
        <v>65</v>
      </c>
      <c r="Q59" s="436"/>
      <c r="R59" s="195"/>
      <c r="S59" s="194" t="s">
        <v>65</v>
      </c>
      <c r="T59" s="198">
        <f t="shared" si="2"/>
        <v>0</v>
      </c>
      <c r="U59" s="199"/>
      <c r="V59" s="200"/>
      <c r="W59" s="195"/>
      <c r="X59" s="195"/>
      <c r="Y59" s="438"/>
      <c r="Z59" s="201"/>
      <c r="AA59" s="202"/>
      <c r="AB59" s="440"/>
      <c r="AC59" s="234"/>
      <c r="AD59" s="230"/>
      <c r="AE59" s="230"/>
      <c r="AF59" s="230"/>
    </row>
    <row r="60" spans="1:32" s="206" customFormat="1" ht="69.95" customHeight="1" x14ac:dyDescent="0.15">
      <c r="A60" s="431" t="s">
        <v>78</v>
      </c>
      <c r="B60" s="191">
        <f t="shared" si="7"/>
        <v>287</v>
      </c>
      <c r="C60" s="422" t="str">
        <f t="shared" si="8"/>
        <v>CG</v>
      </c>
      <c r="D60" s="423"/>
      <c r="E60" s="424"/>
      <c r="F60" s="425"/>
      <c r="G60" s="423"/>
      <c r="H60" s="424"/>
      <c r="I60" s="207"/>
      <c r="J60" s="192"/>
      <c r="K60" s="193"/>
      <c r="L60" s="194" t="s">
        <v>65</v>
      </c>
      <c r="M60" s="195">
        <f t="shared" si="9"/>
        <v>0</v>
      </c>
      <c r="N60" s="196"/>
      <c r="O60" s="195"/>
      <c r="P60" s="194" t="s">
        <v>65</v>
      </c>
      <c r="Q60" s="435"/>
      <c r="R60" s="195"/>
      <c r="S60" s="194" t="s">
        <v>65</v>
      </c>
      <c r="T60" s="205">
        <f t="shared" si="2"/>
        <v>0</v>
      </c>
      <c r="U60" s="199"/>
      <c r="V60" s="199"/>
      <c r="W60" s="208"/>
      <c r="X60" s="198"/>
      <c r="Y60" s="437" t="s">
        <v>57</v>
      </c>
      <c r="Z60" s="231"/>
      <c r="AA60" s="232"/>
      <c r="AB60" s="439"/>
    </row>
    <row r="61" spans="1:32" s="206" customFormat="1" ht="69.95" customHeight="1" x14ac:dyDescent="0.15">
      <c r="A61" s="432"/>
      <c r="B61" s="204">
        <f>$I$6</f>
        <v>274</v>
      </c>
      <c r="C61" s="453" t="str">
        <f>$A$6</f>
        <v>CR</v>
      </c>
      <c r="D61" s="454"/>
      <c r="E61" s="455"/>
      <c r="F61" s="425"/>
      <c r="G61" s="423"/>
      <c r="H61" s="424"/>
      <c r="I61" s="207"/>
      <c r="J61" s="192"/>
      <c r="K61" s="193"/>
      <c r="L61" s="194" t="s">
        <v>65</v>
      </c>
      <c r="M61" s="195">
        <f t="shared" si="9"/>
        <v>0</v>
      </c>
      <c r="N61" s="233"/>
      <c r="O61" s="195"/>
      <c r="P61" s="194" t="s">
        <v>65</v>
      </c>
      <c r="Q61" s="436"/>
      <c r="R61" s="195"/>
      <c r="S61" s="194" t="s">
        <v>65</v>
      </c>
      <c r="T61" s="198">
        <f t="shared" si="2"/>
        <v>0</v>
      </c>
      <c r="U61" s="199"/>
      <c r="V61" s="200"/>
      <c r="W61" s="195"/>
      <c r="X61" s="195"/>
      <c r="Y61" s="438"/>
      <c r="Z61" s="201"/>
      <c r="AA61" s="202"/>
      <c r="AB61" s="440"/>
      <c r="AC61" s="234"/>
      <c r="AD61" s="230"/>
      <c r="AE61" s="230"/>
      <c r="AF61" s="230"/>
    </row>
    <row r="62" spans="1:32" s="55" customFormat="1" ht="69.95" customHeight="1" x14ac:dyDescent="0.15">
      <c r="A62" s="431" t="s">
        <v>100</v>
      </c>
      <c r="B62" s="191">
        <f t="shared" ref="B62:B75" si="10">$I$5</f>
        <v>287</v>
      </c>
      <c r="C62" s="422" t="str">
        <f t="shared" ref="C62:C75" si="11">$A$5</f>
        <v>CG</v>
      </c>
      <c r="D62" s="423"/>
      <c r="E62" s="424"/>
      <c r="F62" s="425"/>
      <c r="G62" s="423"/>
      <c r="H62" s="424"/>
      <c r="I62" s="207" t="s">
        <v>101</v>
      </c>
      <c r="J62" s="192"/>
      <c r="K62" s="193"/>
      <c r="L62" s="194" t="s">
        <v>63</v>
      </c>
      <c r="M62" s="195">
        <f t="shared" si="9"/>
        <v>0</v>
      </c>
      <c r="N62" s="196"/>
      <c r="O62" s="195"/>
      <c r="P62" s="197" t="s">
        <v>63</v>
      </c>
      <c r="Q62" s="435"/>
      <c r="R62" s="195"/>
      <c r="S62" s="197" t="s">
        <v>63</v>
      </c>
      <c r="T62" s="205">
        <f t="shared" si="2"/>
        <v>0</v>
      </c>
      <c r="U62" s="199"/>
      <c r="V62" s="199"/>
      <c r="W62" s="208"/>
      <c r="X62" s="198"/>
      <c r="Y62" s="437" t="s">
        <v>94</v>
      </c>
      <c r="Z62" s="231"/>
      <c r="AA62" s="232"/>
      <c r="AB62" s="439"/>
    </row>
    <row r="63" spans="1:32" s="55" customFormat="1" ht="69.95" customHeight="1" x14ac:dyDescent="0.15">
      <c r="A63" s="432"/>
      <c r="B63" s="204">
        <f>$I$6</f>
        <v>274</v>
      </c>
      <c r="C63" s="453" t="str">
        <f>$A$6</f>
        <v>CR</v>
      </c>
      <c r="D63" s="454"/>
      <c r="E63" s="455"/>
      <c r="F63" s="425"/>
      <c r="G63" s="423"/>
      <c r="H63" s="424"/>
      <c r="I63" s="207" t="s">
        <v>101</v>
      </c>
      <c r="J63" s="192"/>
      <c r="K63" s="193"/>
      <c r="L63" s="194" t="s">
        <v>63</v>
      </c>
      <c r="M63" s="195">
        <f t="shared" si="9"/>
        <v>0</v>
      </c>
      <c r="N63" s="233"/>
      <c r="O63" s="195"/>
      <c r="P63" s="197" t="s">
        <v>63</v>
      </c>
      <c r="Q63" s="436"/>
      <c r="R63" s="195"/>
      <c r="S63" s="197" t="s">
        <v>63</v>
      </c>
      <c r="T63" s="198">
        <f t="shared" si="2"/>
        <v>0</v>
      </c>
      <c r="U63" s="199"/>
      <c r="V63" s="200"/>
      <c r="W63" s="195"/>
      <c r="X63" s="195"/>
      <c r="Y63" s="438"/>
      <c r="Z63" s="201"/>
      <c r="AA63" s="202"/>
      <c r="AB63" s="440"/>
      <c r="AC63" s="142"/>
      <c r="AD63" s="179"/>
      <c r="AE63" s="179"/>
      <c r="AF63" s="179"/>
    </row>
    <row r="64" spans="1:32" s="206" customFormat="1" ht="69.95" customHeight="1" x14ac:dyDescent="0.15">
      <c r="A64" s="431" t="s">
        <v>265</v>
      </c>
      <c r="B64" s="191">
        <f t="shared" ref="B64" si="12">$I$5</f>
        <v>287</v>
      </c>
      <c r="C64" s="422" t="str">
        <f t="shared" si="11"/>
        <v>CG</v>
      </c>
      <c r="D64" s="423"/>
      <c r="E64" s="424"/>
      <c r="F64" s="425"/>
      <c r="G64" s="426"/>
      <c r="H64" s="427"/>
      <c r="I64" s="215"/>
      <c r="J64" s="192"/>
      <c r="K64" s="193">
        <v>2</v>
      </c>
      <c r="L64" s="194" t="s">
        <v>267</v>
      </c>
      <c r="M64" s="321">
        <f t="shared" si="9"/>
        <v>574</v>
      </c>
      <c r="N64" s="233"/>
      <c r="O64" s="195"/>
      <c r="P64" s="197"/>
      <c r="Q64" s="317"/>
      <c r="R64" s="195"/>
      <c r="S64" s="197" t="s">
        <v>264</v>
      </c>
      <c r="T64" s="322">
        <f t="shared" si="2"/>
        <v>-574</v>
      </c>
      <c r="U64" s="199"/>
      <c r="V64" s="200"/>
      <c r="W64" s="195"/>
      <c r="X64" s="195"/>
      <c r="Y64" s="437" t="s">
        <v>64</v>
      </c>
      <c r="Z64" s="201"/>
      <c r="AA64" s="202"/>
      <c r="AB64" s="439"/>
      <c r="AC64" s="234"/>
      <c r="AD64" s="230"/>
      <c r="AE64" s="230"/>
      <c r="AF64" s="230"/>
    </row>
    <row r="65" spans="1:32" s="206" customFormat="1" ht="69.95" customHeight="1" x14ac:dyDescent="0.15">
      <c r="A65" s="432"/>
      <c r="B65" s="204">
        <f>$I$6</f>
        <v>274</v>
      </c>
      <c r="C65" s="422" t="str">
        <f>$A$6</f>
        <v>CR</v>
      </c>
      <c r="D65" s="423"/>
      <c r="E65" s="424"/>
      <c r="F65" s="425"/>
      <c r="G65" s="426"/>
      <c r="H65" s="427"/>
      <c r="I65" s="215"/>
      <c r="J65" s="192"/>
      <c r="K65" s="193">
        <v>2</v>
      </c>
      <c r="L65" s="194" t="s">
        <v>267</v>
      </c>
      <c r="M65" s="321">
        <f t="shared" si="9"/>
        <v>548</v>
      </c>
      <c r="N65" s="233"/>
      <c r="O65" s="195"/>
      <c r="P65" s="197"/>
      <c r="Q65" s="317"/>
      <c r="R65" s="195"/>
      <c r="S65" s="197" t="s">
        <v>264</v>
      </c>
      <c r="T65" s="322">
        <f t="shared" si="2"/>
        <v>-548</v>
      </c>
      <c r="U65" s="199"/>
      <c r="V65" s="200"/>
      <c r="W65" s="195"/>
      <c r="X65" s="195"/>
      <c r="Y65" s="438"/>
      <c r="Z65" s="201"/>
      <c r="AA65" s="202"/>
      <c r="AB65" s="440"/>
      <c r="AC65" s="234"/>
      <c r="AD65" s="230"/>
      <c r="AE65" s="230"/>
      <c r="AF65" s="230"/>
    </row>
    <row r="66" spans="1:32" s="206" customFormat="1" ht="69.95" customHeight="1" x14ac:dyDescent="0.15">
      <c r="A66" s="431" t="s">
        <v>90</v>
      </c>
      <c r="B66" s="182">
        <f t="shared" si="10"/>
        <v>287</v>
      </c>
      <c r="C66" s="368" t="str">
        <f t="shared" si="11"/>
        <v>CG</v>
      </c>
      <c r="D66" s="369"/>
      <c r="E66" s="370"/>
      <c r="F66" s="428"/>
      <c r="G66" s="429"/>
      <c r="H66" s="430"/>
      <c r="I66" s="441" t="s">
        <v>121</v>
      </c>
      <c r="J66" s="76"/>
      <c r="K66" s="139">
        <v>5</v>
      </c>
      <c r="L66" s="77" t="s">
        <v>63</v>
      </c>
      <c r="M66" s="78">
        <f t="shared" si="9"/>
        <v>1435</v>
      </c>
      <c r="N66" s="79"/>
      <c r="O66" s="78"/>
      <c r="P66" s="80" t="s">
        <v>63</v>
      </c>
      <c r="Q66" s="443"/>
      <c r="R66" s="78"/>
      <c r="S66" s="80" t="s">
        <v>63</v>
      </c>
      <c r="T66" s="324">
        <f t="shared" si="2"/>
        <v>-1435</v>
      </c>
      <c r="U66" s="82"/>
      <c r="V66" s="82"/>
      <c r="W66" s="83"/>
      <c r="X66" s="81"/>
      <c r="Y66" s="445" t="s">
        <v>64</v>
      </c>
      <c r="Z66" s="86"/>
      <c r="AA66" s="85"/>
      <c r="AB66" s="360"/>
    </row>
    <row r="67" spans="1:32" s="206" customFormat="1" ht="69.95" customHeight="1" x14ac:dyDescent="0.15">
      <c r="A67" s="559"/>
      <c r="B67" s="186">
        <f>$I$6</f>
        <v>274</v>
      </c>
      <c r="C67" s="368" t="str">
        <f>$A$6</f>
        <v>CR</v>
      </c>
      <c r="D67" s="369"/>
      <c r="E67" s="370"/>
      <c r="F67" s="428"/>
      <c r="G67" s="429"/>
      <c r="H67" s="430"/>
      <c r="I67" s="563"/>
      <c r="J67" s="76"/>
      <c r="K67" s="139">
        <v>5</v>
      </c>
      <c r="L67" s="77" t="s">
        <v>63</v>
      </c>
      <c r="M67" s="78">
        <f t="shared" si="9"/>
        <v>1370</v>
      </c>
      <c r="N67" s="140"/>
      <c r="O67" s="78"/>
      <c r="P67" s="80" t="s">
        <v>63</v>
      </c>
      <c r="Q67" s="447"/>
      <c r="R67" s="78"/>
      <c r="S67" s="80" t="s">
        <v>63</v>
      </c>
      <c r="T67" s="78">
        <f t="shared" si="2"/>
        <v>-1370</v>
      </c>
      <c r="U67" s="82"/>
      <c r="V67" s="137"/>
      <c r="W67" s="78"/>
      <c r="X67" s="78"/>
      <c r="Y67" s="557"/>
      <c r="Z67" s="141"/>
      <c r="AA67" s="135"/>
      <c r="AB67" s="361"/>
      <c r="AC67" s="234"/>
      <c r="AD67" s="230"/>
      <c r="AE67" s="230"/>
      <c r="AF67" s="230"/>
    </row>
    <row r="68" spans="1:32" s="206" customFormat="1" ht="69.95" customHeight="1" x14ac:dyDescent="0.15">
      <c r="A68" s="432"/>
      <c r="B68" s="182">
        <f>$I$7</f>
        <v>0</v>
      </c>
      <c r="C68" s="461">
        <f>$A$7</f>
        <v>0</v>
      </c>
      <c r="D68" s="461"/>
      <c r="E68" s="461"/>
      <c r="F68" s="428"/>
      <c r="G68" s="429"/>
      <c r="H68" s="430"/>
      <c r="I68" s="442"/>
      <c r="J68" s="76"/>
      <c r="K68" s="139">
        <v>5</v>
      </c>
      <c r="L68" s="77" t="s">
        <v>63</v>
      </c>
      <c r="M68" s="78">
        <f t="shared" si="9"/>
        <v>0</v>
      </c>
      <c r="N68" s="140"/>
      <c r="O68" s="78"/>
      <c r="P68" s="80" t="s">
        <v>63</v>
      </c>
      <c r="Q68" s="444"/>
      <c r="R68" s="78"/>
      <c r="S68" s="80" t="s">
        <v>63</v>
      </c>
      <c r="T68" s="78">
        <f t="shared" si="2"/>
        <v>0</v>
      </c>
      <c r="U68" s="82"/>
      <c r="V68" s="137"/>
      <c r="W68" s="78"/>
      <c r="X68" s="78"/>
      <c r="Y68" s="446"/>
      <c r="Z68" s="141"/>
      <c r="AA68" s="135"/>
      <c r="AB68" s="362"/>
      <c r="AC68" s="234"/>
      <c r="AD68" s="230"/>
      <c r="AE68" s="230"/>
      <c r="AF68" s="230"/>
    </row>
    <row r="69" spans="1:32" s="55" customFormat="1" ht="69.95" customHeight="1" x14ac:dyDescent="0.15">
      <c r="A69" s="431" t="s">
        <v>91</v>
      </c>
      <c r="B69" s="182">
        <f t="shared" si="10"/>
        <v>287</v>
      </c>
      <c r="C69" s="368" t="str">
        <f t="shared" si="11"/>
        <v>CG</v>
      </c>
      <c r="D69" s="369"/>
      <c r="E69" s="370"/>
      <c r="F69" s="428"/>
      <c r="G69" s="429"/>
      <c r="H69" s="430"/>
      <c r="I69" s="441" t="s">
        <v>75</v>
      </c>
      <c r="J69" s="76"/>
      <c r="K69" s="139">
        <v>2</v>
      </c>
      <c r="L69" s="77" t="s">
        <v>63</v>
      </c>
      <c r="M69" s="78">
        <f t="shared" si="9"/>
        <v>574</v>
      </c>
      <c r="N69" s="79"/>
      <c r="O69" s="78"/>
      <c r="P69" s="80" t="s">
        <v>63</v>
      </c>
      <c r="Q69" s="443"/>
      <c r="R69" s="78"/>
      <c r="S69" s="80" t="s">
        <v>63</v>
      </c>
      <c r="T69" s="324">
        <f t="shared" si="2"/>
        <v>-574</v>
      </c>
      <c r="U69" s="82"/>
      <c r="V69" s="82"/>
      <c r="W69" s="83"/>
      <c r="X69" s="81"/>
      <c r="Y69" s="445" t="s">
        <v>64</v>
      </c>
      <c r="Z69" s="86"/>
      <c r="AA69" s="85"/>
      <c r="AB69" s="360"/>
    </row>
    <row r="70" spans="1:32" s="55" customFormat="1" ht="69.95" customHeight="1" x14ac:dyDescent="0.15">
      <c r="A70" s="559"/>
      <c r="B70" s="186">
        <f>$I$6</f>
        <v>274</v>
      </c>
      <c r="C70" s="368" t="str">
        <f>$A$6</f>
        <v>CR</v>
      </c>
      <c r="D70" s="369"/>
      <c r="E70" s="370"/>
      <c r="F70" s="428"/>
      <c r="G70" s="429"/>
      <c r="H70" s="430"/>
      <c r="I70" s="563"/>
      <c r="J70" s="76"/>
      <c r="K70" s="139">
        <v>2</v>
      </c>
      <c r="L70" s="77" t="s">
        <v>63</v>
      </c>
      <c r="M70" s="78">
        <f t="shared" si="9"/>
        <v>548</v>
      </c>
      <c r="N70" s="140"/>
      <c r="O70" s="78"/>
      <c r="P70" s="80" t="s">
        <v>63</v>
      </c>
      <c r="Q70" s="447"/>
      <c r="R70" s="78"/>
      <c r="S70" s="80" t="s">
        <v>63</v>
      </c>
      <c r="T70" s="78">
        <f t="shared" si="2"/>
        <v>-548</v>
      </c>
      <c r="U70" s="82"/>
      <c r="V70" s="137"/>
      <c r="W70" s="78"/>
      <c r="X70" s="78"/>
      <c r="Y70" s="557"/>
      <c r="Z70" s="141"/>
      <c r="AA70" s="135"/>
      <c r="AB70" s="361"/>
      <c r="AC70" s="142"/>
      <c r="AD70" s="179"/>
      <c r="AE70" s="179"/>
      <c r="AF70" s="179"/>
    </row>
    <row r="71" spans="1:32" s="55" customFormat="1" ht="69.95" customHeight="1" x14ac:dyDescent="0.15">
      <c r="A71" s="432"/>
      <c r="B71" s="182">
        <f>$I$7</f>
        <v>0</v>
      </c>
      <c r="C71" s="461">
        <f>$A$7</f>
        <v>0</v>
      </c>
      <c r="D71" s="461"/>
      <c r="E71" s="461"/>
      <c r="F71" s="428"/>
      <c r="G71" s="429"/>
      <c r="H71" s="430"/>
      <c r="I71" s="442"/>
      <c r="J71" s="76"/>
      <c r="K71" s="139">
        <v>2</v>
      </c>
      <c r="L71" s="77" t="s">
        <v>63</v>
      </c>
      <c r="M71" s="78">
        <f t="shared" si="9"/>
        <v>0</v>
      </c>
      <c r="N71" s="140"/>
      <c r="O71" s="78"/>
      <c r="P71" s="80" t="s">
        <v>63</v>
      </c>
      <c r="Q71" s="444"/>
      <c r="R71" s="78"/>
      <c r="S71" s="80" t="s">
        <v>63</v>
      </c>
      <c r="T71" s="78">
        <f t="shared" si="2"/>
        <v>0</v>
      </c>
      <c r="U71" s="82"/>
      <c r="V71" s="137"/>
      <c r="W71" s="78"/>
      <c r="X71" s="78"/>
      <c r="Y71" s="446"/>
      <c r="Z71" s="141"/>
      <c r="AA71" s="135"/>
      <c r="AB71" s="362"/>
      <c r="AC71" s="142"/>
      <c r="AD71" s="179"/>
      <c r="AE71" s="179"/>
      <c r="AF71" s="179"/>
    </row>
    <row r="72" spans="1:32" s="55" customFormat="1" ht="69.95" customHeight="1" x14ac:dyDescent="0.15">
      <c r="A72" s="431" t="s">
        <v>286</v>
      </c>
      <c r="B72" s="182">
        <f t="shared" si="10"/>
        <v>287</v>
      </c>
      <c r="C72" s="368" t="str">
        <f t="shared" si="11"/>
        <v>CG</v>
      </c>
      <c r="D72" s="369"/>
      <c r="E72" s="370"/>
      <c r="F72" s="428"/>
      <c r="G72" s="429"/>
      <c r="H72" s="430"/>
      <c r="I72" s="75"/>
      <c r="J72" s="76"/>
      <c r="K72" s="298">
        <v>0.8</v>
      </c>
      <c r="L72" s="77" t="s">
        <v>7</v>
      </c>
      <c r="M72" s="78">
        <f t="shared" si="9"/>
        <v>229.60000000000002</v>
      </c>
      <c r="N72" s="79"/>
      <c r="O72" s="78"/>
      <c r="P72" s="77" t="s">
        <v>7</v>
      </c>
      <c r="Q72" s="443"/>
      <c r="R72" s="78"/>
      <c r="S72" s="77" t="s">
        <v>7</v>
      </c>
      <c r="T72" s="324">
        <f t="shared" si="2"/>
        <v>-229.60000000000002</v>
      </c>
      <c r="U72" s="82"/>
      <c r="V72" s="82"/>
      <c r="W72" s="83"/>
      <c r="X72" s="81"/>
      <c r="Y72" s="445" t="s">
        <v>130</v>
      </c>
      <c r="Z72" s="86"/>
      <c r="AA72" s="85"/>
      <c r="AB72" s="360"/>
    </row>
    <row r="73" spans="1:32" s="55" customFormat="1" ht="69.95" customHeight="1" x14ac:dyDescent="0.15">
      <c r="A73" s="559"/>
      <c r="B73" s="186">
        <f>$I$6</f>
        <v>274</v>
      </c>
      <c r="C73" s="368" t="str">
        <f>$A$6</f>
        <v>CR</v>
      </c>
      <c r="D73" s="369"/>
      <c r="E73" s="370"/>
      <c r="F73" s="428"/>
      <c r="G73" s="429"/>
      <c r="H73" s="430"/>
      <c r="I73" s="75"/>
      <c r="J73" s="76"/>
      <c r="K73" s="298">
        <v>0.8</v>
      </c>
      <c r="L73" s="77" t="s">
        <v>7</v>
      </c>
      <c r="M73" s="78">
        <f t="shared" si="9"/>
        <v>219.20000000000002</v>
      </c>
      <c r="N73" s="140"/>
      <c r="O73" s="78"/>
      <c r="P73" s="77" t="s">
        <v>7</v>
      </c>
      <c r="Q73" s="447"/>
      <c r="R73" s="78"/>
      <c r="S73" s="77" t="s">
        <v>7</v>
      </c>
      <c r="T73" s="78">
        <f t="shared" si="2"/>
        <v>-219.20000000000002</v>
      </c>
      <c r="U73" s="82"/>
      <c r="V73" s="137"/>
      <c r="W73" s="78"/>
      <c r="X73" s="78"/>
      <c r="Y73" s="557"/>
      <c r="Z73" s="141"/>
      <c r="AA73" s="135"/>
      <c r="AB73" s="361"/>
      <c r="AC73" s="142"/>
      <c r="AD73" s="179"/>
      <c r="AE73" s="179"/>
      <c r="AF73" s="179"/>
    </row>
    <row r="74" spans="1:32" s="55" customFormat="1" ht="69.95" customHeight="1" x14ac:dyDescent="0.15">
      <c r="A74" s="432"/>
      <c r="B74" s="182">
        <f>$I$7</f>
        <v>0</v>
      </c>
      <c r="C74" s="461">
        <f>$A$7</f>
        <v>0</v>
      </c>
      <c r="D74" s="461"/>
      <c r="E74" s="461"/>
      <c r="F74" s="428"/>
      <c r="G74" s="429"/>
      <c r="H74" s="430"/>
      <c r="I74" s="75"/>
      <c r="J74" s="76"/>
      <c r="K74" s="298">
        <v>0.8</v>
      </c>
      <c r="L74" s="77" t="s">
        <v>7</v>
      </c>
      <c r="M74" s="78">
        <f t="shared" si="9"/>
        <v>0</v>
      </c>
      <c r="N74" s="140"/>
      <c r="O74" s="78"/>
      <c r="P74" s="77" t="s">
        <v>7</v>
      </c>
      <c r="Q74" s="444"/>
      <c r="R74" s="78"/>
      <c r="S74" s="77" t="s">
        <v>7</v>
      </c>
      <c r="T74" s="78">
        <f t="shared" si="2"/>
        <v>0</v>
      </c>
      <c r="U74" s="82"/>
      <c r="V74" s="137"/>
      <c r="W74" s="78"/>
      <c r="X74" s="78"/>
      <c r="Y74" s="446"/>
      <c r="Z74" s="141"/>
      <c r="AA74" s="135"/>
      <c r="AB74" s="362"/>
      <c r="AC74" s="142"/>
      <c r="AD74" s="179"/>
      <c r="AE74" s="179"/>
      <c r="AF74" s="179"/>
    </row>
    <row r="75" spans="1:32" s="55" customFormat="1" ht="69.95" customHeight="1" x14ac:dyDescent="0.15">
      <c r="A75" s="431" t="s">
        <v>255</v>
      </c>
      <c r="B75" s="191">
        <f t="shared" si="10"/>
        <v>287</v>
      </c>
      <c r="C75" s="422" t="str">
        <f t="shared" si="11"/>
        <v>CG</v>
      </c>
      <c r="D75" s="423"/>
      <c r="E75" s="424"/>
      <c r="F75" s="425"/>
      <c r="G75" s="426"/>
      <c r="H75" s="427"/>
      <c r="I75" s="207" t="s">
        <v>79</v>
      </c>
      <c r="J75" s="192"/>
      <c r="K75" s="193">
        <v>4</v>
      </c>
      <c r="L75" s="194" t="s">
        <v>65</v>
      </c>
      <c r="M75" s="195">
        <f t="shared" si="9"/>
        <v>1148</v>
      </c>
      <c r="N75" s="196"/>
      <c r="O75" s="195"/>
      <c r="P75" s="197" t="s">
        <v>63</v>
      </c>
      <c r="Q75" s="435"/>
      <c r="R75" s="195"/>
      <c r="S75" s="197" t="s">
        <v>63</v>
      </c>
      <c r="T75" s="205">
        <f t="shared" si="2"/>
        <v>-1148</v>
      </c>
      <c r="U75" s="199"/>
      <c r="V75" s="199"/>
      <c r="W75" s="208"/>
      <c r="X75" s="198"/>
      <c r="Y75" s="437" t="s">
        <v>64</v>
      </c>
      <c r="Z75" s="231"/>
      <c r="AA75" s="232"/>
      <c r="AB75" s="439"/>
    </row>
    <row r="76" spans="1:32" s="55" customFormat="1" ht="69.95" customHeight="1" x14ac:dyDescent="0.15">
      <c r="A76" s="432"/>
      <c r="B76" s="204">
        <f>$I$6</f>
        <v>274</v>
      </c>
      <c r="C76" s="422" t="str">
        <f>$A$6</f>
        <v>CR</v>
      </c>
      <c r="D76" s="423"/>
      <c r="E76" s="424"/>
      <c r="F76" s="425"/>
      <c r="G76" s="426"/>
      <c r="H76" s="427"/>
      <c r="I76" s="207" t="s">
        <v>79</v>
      </c>
      <c r="J76" s="192"/>
      <c r="K76" s="193">
        <v>4</v>
      </c>
      <c r="L76" s="194" t="s">
        <v>65</v>
      </c>
      <c r="M76" s="195">
        <f t="shared" si="9"/>
        <v>1096</v>
      </c>
      <c r="N76" s="233"/>
      <c r="O76" s="195"/>
      <c r="P76" s="197" t="s">
        <v>63</v>
      </c>
      <c r="Q76" s="436"/>
      <c r="R76" s="195"/>
      <c r="S76" s="197" t="s">
        <v>63</v>
      </c>
      <c r="T76" s="198">
        <f t="shared" si="2"/>
        <v>-1096</v>
      </c>
      <c r="U76" s="199"/>
      <c r="V76" s="200"/>
      <c r="W76" s="195"/>
      <c r="X76" s="195"/>
      <c r="Y76" s="438"/>
      <c r="Z76" s="201"/>
      <c r="AA76" s="202"/>
      <c r="AB76" s="440"/>
      <c r="AC76" s="142"/>
      <c r="AD76" s="179"/>
      <c r="AE76" s="179"/>
      <c r="AF76" s="179"/>
    </row>
    <row r="77" spans="1:32" s="55" customFormat="1" ht="69.95" customHeight="1" x14ac:dyDescent="0.15">
      <c r="A77" s="431" t="s">
        <v>103</v>
      </c>
      <c r="B77" s="191">
        <f t="shared" ref="B77" si="13">$I$5</f>
        <v>287</v>
      </c>
      <c r="C77" s="422" t="str">
        <f t="shared" ref="C77" si="14">$A$5</f>
        <v>CG</v>
      </c>
      <c r="D77" s="423"/>
      <c r="E77" s="424"/>
      <c r="F77" s="425"/>
      <c r="G77" s="426"/>
      <c r="H77" s="427"/>
      <c r="I77" s="207"/>
      <c r="J77" s="192"/>
      <c r="K77" s="193"/>
      <c r="L77" s="194" t="s">
        <v>65</v>
      </c>
      <c r="M77" s="195">
        <f t="shared" si="9"/>
        <v>0</v>
      </c>
      <c r="N77" s="196"/>
      <c r="O77" s="195"/>
      <c r="P77" s="197" t="s">
        <v>65</v>
      </c>
      <c r="Q77" s="435"/>
      <c r="R77" s="195"/>
      <c r="S77" s="197" t="s">
        <v>65</v>
      </c>
      <c r="T77" s="205">
        <f t="shared" si="2"/>
        <v>0</v>
      </c>
      <c r="U77" s="199"/>
      <c r="V77" s="199"/>
      <c r="W77" s="208"/>
      <c r="X77" s="198"/>
      <c r="Y77" s="437" t="s">
        <v>94</v>
      </c>
      <c r="Z77" s="231"/>
      <c r="AA77" s="232"/>
      <c r="AB77" s="439"/>
    </row>
    <row r="78" spans="1:32" s="55" customFormat="1" ht="69.95" customHeight="1" x14ac:dyDescent="0.15">
      <c r="A78" s="432"/>
      <c r="B78" s="204">
        <f>$I$6</f>
        <v>274</v>
      </c>
      <c r="C78" s="422" t="str">
        <f>$A$6</f>
        <v>CR</v>
      </c>
      <c r="D78" s="423"/>
      <c r="E78" s="424"/>
      <c r="F78" s="425"/>
      <c r="G78" s="426"/>
      <c r="H78" s="427"/>
      <c r="I78" s="207"/>
      <c r="J78" s="192"/>
      <c r="K78" s="193"/>
      <c r="L78" s="194" t="s">
        <v>65</v>
      </c>
      <c r="M78" s="195">
        <f t="shared" si="9"/>
        <v>0</v>
      </c>
      <c r="N78" s="233"/>
      <c r="O78" s="195"/>
      <c r="P78" s="197" t="s">
        <v>65</v>
      </c>
      <c r="Q78" s="436"/>
      <c r="R78" s="195"/>
      <c r="S78" s="197" t="s">
        <v>65</v>
      </c>
      <c r="T78" s="198">
        <f t="shared" si="2"/>
        <v>0</v>
      </c>
      <c r="U78" s="199"/>
      <c r="V78" s="200"/>
      <c r="W78" s="195"/>
      <c r="X78" s="195"/>
      <c r="Y78" s="438"/>
      <c r="Z78" s="201"/>
      <c r="AA78" s="202"/>
      <c r="AB78" s="440"/>
      <c r="AC78" s="142"/>
      <c r="AD78" s="179"/>
      <c r="AE78" s="179"/>
      <c r="AF78" s="179"/>
    </row>
    <row r="79" spans="1:32" s="55" customFormat="1" ht="69.95" customHeight="1" x14ac:dyDescent="0.15">
      <c r="A79" s="431" t="s">
        <v>256</v>
      </c>
      <c r="B79" s="191">
        <f t="shared" ref="B79:B83" si="15">$I$5</f>
        <v>287</v>
      </c>
      <c r="C79" s="422" t="str">
        <f t="shared" ref="C79:C81" si="16">$A$5</f>
        <v>CG</v>
      </c>
      <c r="D79" s="423"/>
      <c r="E79" s="424"/>
      <c r="F79" s="425"/>
      <c r="G79" s="426"/>
      <c r="H79" s="427"/>
      <c r="I79" s="433" t="s">
        <v>102</v>
      </c>
      <c r="J79" s="192"/>
      <c r="K79" s="209">
        <v>0.96</v>
      </c>
      <c r="L79" s="194" t="s">
        <v>129</v>
      </c>
      <c r="M79" s="195">
        <f t="shared" si="3"/>
        <v>275.52</v>
      </c>
      <c r="N79" s="196"/>
      <c r="O79" s="195"/>
      <c r="P79" s="197" t="s">
        <v>63</v>
      </c>
      <c r="Q79" s="435"/>
      <c r="R79" s="195"/>
      <c r="S79" s="197" t="s">
        <v>63</v>
      </c>
      <c r="T79" s="205">
        <f t="shared" si="2"/>
        <v>-275.52</v>
      </c>
      <c r="U79" s="199"/>
      <c r="V79" s="199"/>
      <c r="W79" s="208"/>
      <c r="X79" s="198"/>
      <c r="Y79" s="437" t="s">
        <v>130</v>
      </c>
      <c r="Z79" s="231"/>
      <c r="AA79" s="232"/>
      <c r="AB79" s="439"/>
    </row>
    <row r="80" spans="1:32" s="55" customFormat="1" ht="69.95" customHeight="1" x14ac:dyDescent="0.15">
      <c r="A80" s="432"/>
      <c r="B80" s="204">
        <f>$I$6</f>
        <v>274</v>
      </c>
      <c r="C80" s="422" t="str">
        <f>$A$6</f>
        <v>CR</v>
      </c>
      <c r="D80" s="423"/>
      <c r="E80" s="424"/>
      <c r="F80" s="425"/>
      <c r="G80" s="426"/>
      <c r="H80" s="427"/>
      <c r="I80" s="434"/>
      <c r="J80" s="192"/>
      <c r="K80" s="209">
        <v>0.96</v>
      </c>
      <c r="L80" s="194" t="s">
        <v>129</v>
      </c>
      <c r="M80" s="195">
        <f t="shared" ref="M80:M179" si="17">K80*B80</f>
        <v>263.03999999999996</v>
      </c>
      <c r="N80" s="233"/>
      <c r="O80" s="195"/>
      <c r="P80" s="197" t="s">
        <v>63</v>
      </c>
      <c r="Q80" s="436"/>
      <c r="R80" s="195"/>
      <c r="S80" s="197" t="s">
        <v>63</v>
      </c>
      <c r="T80" s="198">
        <f t="shared" si="2"/>
        <v>-263.03999999999996</v>
      </c>
      <c r="U80" s="199"/>
      <c r="V80" s="200"/>
      <c r="W80" s="195"/>
      <c r="X80" s="195"/>
      <c r="Y80" s="438"/>
      <c r="Z80" s="201"/>
      <c r="AA80" s="202"/>
      <c r="AB80" s="440"/>
      <c r="AC80" s="142"/>
      <c r="AD80" s="179"/>
      <c r="AE80" s="179"/>
      <c r="AF80" s="179"/>
    </row>
    <row r="81" spans="1:32" s="206" customFormat="1" ht="69.95" customHeight="1" x14ac:dyDescent="0.15">
      <c r="A81" s="431" t="s">
        <v>120</v>
      </c>
      <c r="B81" s="191">
        <f t="shared" si="15"/>
        <v>287</v>
      </c>
      <c r="C81" s="422" t="str">
        <f t="shared" si="16"/>
        <v>CG</v>
      </c>
      <c r="D81" s="423"/>
      <c r="E81" s="424"/>
      <c r="F81" s="425"/>
      <c r="G81" s="426"/>
      <c r="H81" s="427"/>
      <c r="I81" s="433" t="s">
        <v>75</v>
      </c>
      <c r="J81" s="192"/>
      <c r="K81" s="193">
        <v>2</v>
      </c>
      <c r="L81" s="194" t="s">
        <v>63</v>
      </c>
      <c r="M81" s="195">
        <f t="shared" si="17"/>
        <v>574</v>
      </c>
      <c r="N81" s="196"/>
      <c r="O81" s="195"/>
      <c r="P81" s="197" t="s">
        <v>63</v>
      </c>
      <c r="Q81" s="435"/>
      <c r="R81" s="195"/>
      <c r="S81" s="197" t="s">
        <v>63</v>
      </c>
      <c r="T81" s="205">
        <f t="shared" si="2"/>
        <v>-574</v>
      </c>
      <c r="U81" s="199"/>
      <c r="V81" s="199"/>
      <c r="W81" s="208"/>
      <c r="X81" s="198"/>
      <c r="Y81" s="437" t="s">
        <v>64</v>
      </c>
      <c r="Z81" s="231"/>
      <c r="AA81" s="232"/>
      <c r="AB81" s="439"/>
    </row>
    <row r="82" spans="1:32" s="206" customFormat="1" ht="69.95" customHeight="1" x14ac:dyDescent="0.15">
      <c r="A82" s="432"/>
      <c r="B82" s="204">
        <f>$I$6</f>
        <v>274</v>
      </c>
      <c r="C82" s="422" t="str">
        <f>$A$6</f>
        <v>CR</v>
      </c>
      <c r="D82" s="423"/>
      <c r="E82" s="424"/>
      <c r="F82" s="425"/>
      <c r="G82" s="426"/>
      <c r="H82" s="427"/>
      <c r="I82" s="434"/>
      <c r="J82" s="192"/>
      <c r="K82" s="193">
        <v>2</v>
      </c>
      <c r="L82" s="194" t="s">
        <v>63</v>
      </c>
      <c r="M82" s="195">
        <f t="shared" si="17"/>
        <v>548</v>
      </c>
      <c r="N82" s="233"/>
      <c r="O82" s="195"/>
      <c r="P82" s="197" t="s">
        <v>63</v>
      </c>
      <c r="Q82" s="436"/>
      <c r="R82" s="195"/>
      <c r="S82" s="197" t="s">
        <v>63</v>
      </c>
      <c r="T82" s="198">
        <f t="shared" si="2"/>
        <v>-548</v>
      </c>
      <c r="U82" s="199"/>
      <c r="V82" s="200"/>
      <c r="W82" s="195"/>
      <c r="X82" s="195"/>
      <c r="Y82" s="438"/>
      <c r="Z82" s="201"/>
      <c r="AA82" s="202"/>
      <c r="AB82" s="440"/>
      <c r="AC82" s="234"/>
      <c r="AD82" s="230"/>
      <c r="AE82" s="230"/>
      <c r="AF82" s="230"/>
    </row>
    <row r="83" spans="1:32" s="206" customFormat="1" ht="69.95" customHeight="1" x14ac:dyDescent="0.15">
      <c r="A83" s="431" t="s">
        <v>266</v>
      </c>
      <c r="B83" s="191">
        <f t="shared" si="15"/>
        <v>287</v>
      </c>
      <c r="C83" s="422"/>
      <c r="D83" s="423"/>
      <c r="E83" s="424"/>
      <c r="F83" s="425"/>
      <c r="G83" s="426"/>
      <c r="H83" s="427"/>
      <c r="I83" s="215"/>
      <c r="J83" s="192"/>
      <c r="K83" s="304">
        <v>1.2</v>
      </c>
      <c r="L83" s="194" t="s">
        <v>264</v>
      </c>
      <c r="M83" s="321">
        <f t="shared" si="17"/>
        <v>344.4</v>
      </c>
      <c r="N83" s="233"/>
      <c r="O83" s="195"/>
      <c r="P83" s="197"/>
      <c r="Q83" s="435"/>
      <c r="R83" s="195"/>
      <c r="S83" s="197" t="s">
        <v>264</v>
      </c>
      <c r="T83" s="322">
        <f t="shared" si="2"/>
        <v>-344.4</v>
      </c>
      <c r="U83" s="199"/>
      <c r="V83" s="200"/>
      <c r="W83" s="195"/>
      <c r="X83" s="195"/>
      <c r="Y83" s="437" t="s">
        <v>140</v>
      </c>
      <c r="Z83" s="201"/>
      <c r="AA83" s="202"/>
      <c r="AB83" s="439"/>
      <c r="AC83" s="234"/>
      <c r="AD83" s="230"/>
      <c r="AE83" s="230"/>
      <c r="AF83" s="230"/>
    </row>
    <row r="84" spans="1:32" s="206" customFormat="1" ht="69.95" customHeight="1" x14ac:dyDescent="0.15">
      <c r="A84" s="432"/>
      <c r="B84" s="204">
        <f>$I$6</f>
        <v>274</v>
      </c>
      <c r="C84" s="422"/>
      <c r="D84" s="423"/>
      <c r="E84" s="424"/>
      <c r="F84" s="425"/>
      <c r="G84" s="426"/>
      <c r="H84" s="427"/>
      <c r="I84" s="215"/>
      <c r="J84" s="192"/>
      <c r="K84" s="304">
        <v>1.2</v>
      </c>
      <c r="L84" s="194" t="s">
        <v>264</v>
      </c>
      <c r="M84" s="321">
        <f t="shared" si="17"/>
        <v>328.8</v>
      </c>
      <c r="N84" s="233"/>
      <c r="O84" s="195"/>
      <c r="P84" s="197"/>
      <c r="Q84" s="436"/>
      <c r="R84" s="195"/>
      <c r="S84" s="197" t="s">
        <v>264</v>
      </c>
      <c r="T84" s="322">
        <f t="shared" si="2"/>
        <v>-328.8</v>
      </c>
      <c r="U84" s="199"/>
      <c r="V84" s="200"/>
      <c r="W84" s="195"/>
      <c r="X84" s="195"/>
      <c r="Y84" s="438"/>
      <c r="Z84" s="201"/>
      <c r="AA84" s="202"/>
      <c r="AB84" s="440"/>
      <c r="AC84" s="234"/>
      <c r="AD84" s="230"/>
      <c r="AE84" s="230"/>
      <c r="AF84" s="230"/>
    </row>
    <row r="85" spans="1:32" s="206" customFormat="1" ht="54.95" customHeight="1" x14ac:dyDescent="0.15">
      <c r="A85" s="92" t="s">
        <v>257</v>
      </c>
      <c r="B85" s="87">
        <f>I11</f>
        <v>561</v>
      </c>
      <c r="C85" s="368" t="s">
        <v>71</v>
      </c>
      <c r="D85" s="369"/>
      <c r="E85" s="370"/>
      <c r="F85" s="368"/>
      <c r="G85" s="369"/>
      <c r="H85" s="370"/>
      <c r="I85" s="93"/>
      <c r="J85" s="90"/>
      <c r="K85" s="156">
        <v>1</v>
      </c>
      <c r="L85" s="77" t="s">
        <v>63</v>
      </c>
      <c r="M85" s="88">
        <f t="shared" si="17"/>
        <v>561</v>
      </c>
      <c r="N85" s="91"/>
      <c r="O85" s="91"/>
      <c r="P85" s="88" t="s">
        <v>63</v>
      </c>
      <c r="Q85" s="318"/>
      <c r="R85" s="93"/>
      <c r="S85" s="88" t="s">
        <v>63</v>
      </c>
      <c r="T85" s="154">
        <f t="shared" si="2"/>
        <v>-561</v>
      </c>
      <c r="U85" s="91"/>
      <c r="V85" s="159"/>
      <c r="W85" s="159"/>
      <c r="X85" s="159"/>
      <c r="Y85" s="160" t="s">
        <v>72</v>
      </c>
      <c r="Z85" s="94"/>
      <c r="AA85" s="95"/>
      <c r="AB85" s="319"/>
    </row>
    <row r="86" spans="1:32" s="206" customFormat="1" ht="54.95" customHeight="1" x14ac:dyDescent="0.15">
      <c r="A86" s="92" t="s">
        <v>323</v>
      </c>
      <c r="B86" s="87">
        <f>I11</f>
        <v>561</v>
      </c>
      <c r="C86" s="368" t="s">
        <v>71</v>
      </c>
      <c r="D86" s="369"/>
      <c r="E86" s="370"/>
      <c r="F86" s="368"/>
      <c r="G86" s="369"/>
      <c r="H86" s="370"/>
      <c r="I86" s="93"/>
      <c r="J86" s="90"/>
      <c r="K86" s="156">
        <v>1</v>
      </c>
      <c r="L86" s="77" t="s">
        <v>63</v>
      </c>
      <c r="M86" s="88">
        <f t="shared" si="17"/>
        <v>561</v>
      </c>
      <c r="N86" s="91"/>
      <c r="O86" s="91"/>
      <c r="P86" s="88" t="s">
        <v>63</v>
      </c>
      <c r="Q86" s="318"/>
      <c r="R86" s="93"/>
      <c r="S86" s="88" t="s">
        <v>63</v>
      </c>
      <c r="T86" s="154">
        <f t="shared" si="2"/>
        <v>-561</v>
      </c>
      <c r="U86" s="91"/>
      <c r="V86" s="159"/>
      <c r="W86" s="159"/>
      <c r="X86" s="159"/>
      <c r="Y86" s="160" t="s">
        <v>72</v>
      </c>
      <c r="Z86" s="94"/>
      <c r="AA86" s="95"/>
      <c r="AB86" s="319"/>
    </row>
    <row r="87" spans="1:32" s="55" customFormat="1" ht="54.95" customHeight="1" x14ac:dyDescent="0.15">
      <c r="A87" s="386" t="s">
        <v>66</v>
      </c>
      <c r="B87" s="87">
        <f>C11</f>
        <v>361</v>
      </c>
      <c r="C87" s="389" t="e">
        <f>#REF!</f>
        <v>#REF!</v>
      </c>
      <c r="D87" s="390"/>
      <c r="E87" s="391"/>
      <c r="F87" s="368"/>
      <c r="G87" s="369"/>
      <c r="H87" s="370"/>
      <c r="I87" s="152"/>
      <c r="J87" s="75"/>
      <c r="K87" s="139">
        <v>1</v>
      </c>
      <c r="L87" s="77" t="s">
        <v>63</v>
      </c>
      <c r="M87" s="88">
        <f t="shared" si="17"/>
        <v>361</v>
      </c>
      <c r="N87" s="89"/>
      <c r="O87" s="153"/>
      <c r="P87" s="88" t="s">
        <v>63</v>
      </c>
      <c r="Q87" s="443"/>
      <c r="R87" s="153"/>
      <c r="S87" s="88" t="s">
        <v>63</v>
      </c>
      <c r="T87" s="154">
        <f t="shared" si="2"/>
        <v>-361</v>
      </c>
      <c r="U87" s="129"/>
      <c r="V87" s="155"/>
      <c r="W87" s="154"/>
      <c r="X87" s="154"/>
      <c r="Y87" s="401" t="s">
        <v>72</v>
      </c>
      <c r="Z87" s="401"/>
      <c r="AA87" s="401"/>
      <c r="AB87" s="579"/>
    </row>
    <row r="88" spans="1:32" s="55" customFormat="1" ht="54.95" customHeight="1" x14ac:dyDescent="0.15">
      <c r="A88" s="387"/>
      <c r="B88" s="87">
        <f>D11</f>
        <v>200</v>
      </c>
      <c r="C88" s="392"/>
      <c r="D88" s="393"/>
      <c r="E88" s="394"/>
      <c r="F88" s="368"/>
      <c r="G88" s="369"/>
      <c r="H88" s="370"/>
      <c r="I88" s="152"/>
      <c r="J88" s="75"/>
      <c r="K88" s="156">
        <v>1</v>
      </c>
      <c r="L88" s="77" t="s">
        <v>63</v>
      </c>
      <c r="M88" s="88">
        <f t="shared" si="17"/>
        <v>200</v>
      </c>
      <c r="N88" s="89"/>
      <c r="O88" s="153"/>
      <c r="P88" s="88" t="s">
        <v>63</v>
      </c>
      <c r="Q88" s="447"/>
      <c r="R88" s="153"/>
      <c r="S88" s="88" t="s">
        <v>63</v>
      </c>
      <c r="T88" s="154">
        <f t="shared" si="2"/>
        <v>-200</v>
      </c>
      <c r="U88" s="129"/>
      <c r="V88" s="155"/>
      <c r="W88" s="154"/>
      <c r="X88" s="154"/>
      <c r="Y88" s="402"/>
      <c r="Z88" s="402"/>
      <c r="AA88" s="402"/>
      <c r="AB88" s="580"/>
    </row>
    <row r="89" spans="1:32" s="55" customFormat="1" ht="54.95" customHeight="1" x14ac:dyDescent="0.15">
      <c r="A89" s="387"/>
      <c r="B89" s="87">
        <f>E11</f>
        <v>0</v>
      </c>
      <c r="C89" s="392"/>
      <c r="D89" s="393"/>
      <c r="E89" s="394"/>
      <c r="F89" s="368"/>
      <c r="G89" s="369"/>
      <c r="H89" s="370"/>
      <c r="I89" s="152"/>
      <c r="J89" s="75"/>
      <c r="K89" s="156">
        <v>1</v>
      </c>
      <c r="L89" s="77" t="s">
        <v>63</v>
      </c>
      <c r="M89" s="88">
        <f t="shared" si="17"/>
        <v>0</v>
      </c>
      <c r="N89" s="89"/>
      <c r="O89" s="153"/>
      <c r="P89" s="88" t="s">
        <v>63</v>
      </c>
      <c r="Q89" s="447"/>
      <c r="R89" s="153"/>
      <c r="S89" s="88" t="s">
        <v>63</v>
      </c>
      <c r="T89" s="154">
        <f t="shared" si="2"/>
        <v>0</v>
      </c>
      <c r="U89" s="129"/>
      <c r="V89" s="155"/>
      <c r="W89" s="154"/>
      <c r="X89" s="154"/>
      <c r="Y89" s="402"/>
      <c r="Z89" s="402"/>
      <c r="AA89" s="402"/>
      <c r="AB89" s="580"/>
    </row>
    <row r="90" spans="1:32" s="55" customFormat="1" ht="54.95" customHeight="1" x14ac:dyDescent="0.15">
      <c r="A90" s="387"/>
      <c r="B90" s="87">
        <f>F11</f>
        <v>0</v>
      </c>
      <c r="C90" s="392"/>
      <c r="D90" s="393"/>
      <c r="E90" s="394"/>
      <c r="F90" s="368"/>
      <c r="G90" s="369"/>
      <c r="H90" s="370"/>
      <c r="I90" s="152"/>
      <c r="J90" s="75"/>
      <c r="K90" s="156">
        <v>1</v>
      </c>
      <c r="L90" s="77" t="s">
        <v>63</v>
      </c>
      <c r="M90" s="88">
        <f t="shared" si="17"/>
        <v>0</v>
      </c>
      <c r="N90" s="89"/>
      <c r="O90" s="153"/>
      <c r="P90" s="88" t="s">
        <v>63</v>
      </c>
      <c r="Q90" s="447"/>
      <c r="R90" s="153"/>
      <c r="S90" s="88" t="s">
        <v>63</v>
      </c>
      <c r="T90" s="154">
        <f t="shared" si="2"/>
        <v>0</v>
      </c>
      <c r="U90" s="129"/>
      <c r="V90" s="155"/>
      <c r="W90" s="154"/>
      <c r="X90" s="154"/>
      <c r="Y90" s="402"/>
      <c r="Z90" s="402"/>
      <c r="AA90" s="402"/>
      <c r="AB90" s="580"/>
    </row>
    <row r="91" spans="1:32" s="55" customFormat="1" ht="54.95" customHeight="1" x14ac:dyDescent="0.15">
      <c r="A91" s="388"/>
      <c r="B91" s="87">
        <f>G11</f>
        <v>0</v>
      </c>
      <c r="C91" s="395"/>
      <c r="D91" s="396"/>
      <c r="E91" s="397"/>
      <c r="F91" s="368"/>
      <c r="G91" s="369"/>
      <c r="H91" s="370"/>
      <c r="I91" s="152"/>
      <c r="J91" s="75"/>
      <c r="K91" s="156">
        <v>1</v>
      </c>
      <c r="L91" s="77" t="s">
        <v>63</v>
      </c>
      <c r="M91" s="88">
        <f t="shared" si="17"/>
        <v>0</v>
      </c>
      <c r="N91" s="89"/>
      <c r="O91" s="153"/>
      <c r="P91" s="88" t="s">
        <v>63</v>
      </c>
      <c r="Q91" s="444"/>
      <c r="R91" s="153"/>
      <c r="S91" s="88" t="s">
        <v>63</v>
      </c>
      <c r="T91" s="154">
        <f t="shared" si="2"/>
        <v>0</v>
      </c>
      <c r="U91" s="129"/>
      <c r="V91" s="155"/>
      <c r="W91" s="154"/>
      <c r="X91" s="154"/>
      <c r="Y91" s="403"/>
      <c r="Z91" s="403"/>
      <c r="AA91" s="403"/>
      <c r="AB91" s="581"/>
    </row>
    <row r="92" spans="1:32" s="55" customFormat="1" ht="54.95" customHeight="1" x14ac:dyDescent="0.15">
      <c r="A92" s="386" t="s">
        <v>68</v>
      </c>
      <c r="B92" s="87">
        <f>C5</f>
        <v>187</v>
      </c>
      <c r="C92" s="461" t="str">
        <f>A5</f>
        <v>CG</v>
      </c>
      <c r="D92" s="461"/>
      <c r="E92" s="461"/>
      <c r="F92" s="368"/>
      <c r="G92" s="369"/>
      <c r="H92" s="370"/>
      <c r="I92" s="152"/>
      <c r="J92" s="152"/>
      <c r="K92" s="156">
        <v>1</v>
      </c>
      <c r="L92" s="77" t="s">
        <v>63</v>
      </c>
      <c r="M92" s="343">
        <f t="shared" si="17"/>
        <v>187</v>
      </c>
      <c r="N92" s="89"/>
      <c r="O92" s="153"/>
      <c r="P92" s="88" t="s">
        <v>63</v>
      </c>
      <c r="Q92" s="443"/>
      <c r="R92" s="153"/>
      <c r="S92" s="88" t="s">
        <v>63</v>
      </c>
      <c r="T92" s="154">
        <f t="shared" si="2"/>
        <v>-187</v>
      </c>
      <c r="U92" s="157"/>
      <c r="V92" s="158"/>
      <c r="W92" s="154"/>
      <c r="X92" s="154"/>
      <c r="Y92" s="582" t="s">
        <v>72</v>
      </c>
      <c r="Z92" s="582"/>
      <c r="AA92" s="582"/>
      <c r="AB92" s="601"/>
    </row>
    <row r="93" spans="1:32" s="55" customFormat="1" ht="54.95" customHeight="1" x14ac:dyDescent="0.15">
      <c r="A93" s="387"/>
      <c r="B93" s="87">
        <f>D5</f>
        <v>100</v>
      </c>
      <c r="C93" s="461"/>
      <c r="D93" s="461"/>
      <c r="E93" s="461"/>
      <c r="F93" s="368"/>
      <c r="G93" s="369"/>
      <c r="H93" s="370"/>
      <c r="I93" s="152"/>
      <c r="J93" s="152"/>
      <c r="K93" s="156">
        <v>1</v>
      </c>
      <c r="L93" s="77" t="s">
        <v>63</v>
      </c>
      <c r="M93" s="343">
        <f t="shared" si="17"/>
        <v>100</v>
      </c>
      <c r="N93" s="89"/>
      <c r="O93" s="153"/>
      <c r="P93" s="88" t="s">
        <v>63</v>
      </c>
      <c r="Q93" s="447"/>
      <c r="R93" s="153"/>
      <c r="S93" s="88" t="s">
        <v>63</v>
      </c>
      <c r="T93" s="154">
        <f t="shared" si="2"/>
        <v>-100</v>
      </c>
      <c r="U93" s="157"/>
      <c r="V93" s="158"/>
      <c r="W93" s="154"/>
      <c r="X93" s="154"/>
      <c r="Y93" s="582"/>
      <c r="Z93" s="582"/>
      <c r="AA93" s="582"/>
      <c r="AB93" s="602"/>
    </row>
    <row r="94" spans="1:32" s="55" customFormat="1" ht="54.95" customHeight="1" x14ac:dyDescent="0.15">
      <c r="A94" s="387"/>
      <c r="B94" s="87">
        <f>E5</f>
        <v>0</v>
      </c>
      <c r="C94" s="461"/>
      <c r="D94" s="461"/>
      <c r="E94" s="461"/>
      <c r="F94" s="368"/>
      <c r="G94" s="369"/>
      <c r="H94" s="370"/>
      <c r="I94" s="152"/>
      <c r="J94" s="152"/>
      <c r="K94" s="156">
        <v>1</v>
      </c>
      <c r="L94" s="77" t="s">
        <v>63</v>
      </c>
      <c r="M94" s="88">
        <f t="shared" si="17"/>
        <v>0</v>
      </c>
      <c r="N94" s="89"/>
      <c r="O94" s="153"/>
      <c r="P94" s="88" t="s">
        <v>63</v>
      </c>
      <c r="Q94" s="447"/>
      <c r="R94" s="153"/>
      <c r="S94" s="88" t="s">
        <v>63</v>
      </c>
      <c r="T94" s="154">
        <f t="shared" si="2"/>
        <v>0</v>
      </c>
      <c r="U94" s="157"/>
      <c r="V94" s="158"/>
      <c r="W94" s="154"/>
      <c r="X94" s="154"/>
      <c r="Y94" s="582"/>
      <c r="Z94" s="582"/>
      <c r="AA94" s="582"/>
      <c r="AB94" s="602"/>
    </row>
    <row r="95" spans="1:32" s="55" customFormat="1" ht="54.95" customHeight="1" x14ac:dyDescent="0.15">
      <c r="A95" s="387"/>
      <c r="B95" s="87">
        <f>C6</f>
        <v>174</v>
      </c>
      <c r="C95" s="461" t="str">
        <f>A6</f>
        <v>CR</v>
      </c>
      <c r="D95" s="461"/>
      <c r="E95" s="461"/>
      <c r="F95" s="368"/>
      <c r="G95" s="369"/>
      <c r="H95" s="370"/>
      <c r="I95" s="152"/>
      <c r="J95" s="152"/>
      <c r="K95" s="156">
        <v>1</v>
      </c>
      <c r="L95" s="77" t="s">
        <v>63</v>
      </c>
      <c r="M95" s="343">
        <f t="shared" si="17"/>
        <v>174</v>
      </c>
      <c r="N95" s="89"/>
      <c r="O95" s="153"/>
      <c r="P95" s="88" t="s">
        <v>63</v>
      </c>
      <c r="Q95" s="447"/>
      <c r="R95" s="77"/>
      <c r="S95" s="88" t="s">
        <v>63</v>
      </c>
      <c r="T95" s="154">
        <f t="shared" si="2"/>
        <v>-174</v>
      </c>
      <c r="U95" s="157"/>
      <c r="V95" s="158"/>
      <c r="W95" s="154"/>
      <c r="X95" s="154"/>
      <c r="Y95" s="582" t="s">
        <v>72</v>
      </c>
      <c r="Z95" s="582"/>
      <c r="AA95" s="582"/>
      <c r="AB95" s="602"/>
    </row>
    <row r="96" spans="1:32" s="55" customFormat="1" ht="54.95" customHeight="1" x14ac:dyDescent="0.15">
      <c r="A96" s="387"/>
      <c r="B96" s="87">
        <f>D6</f>
        <v>100</v>
      </c>
      <c r="C96" s="461"/>
      <c r="D96" s="461"/>
      <c r="E96" s="461"/>
      <c r="F96" s="368"/>
      <c r="G96" s="369"/>
      <c r="H96" s="370"/>
      <c r="I96" s="152"/>
      <c r="J96" s="152"/>
      <c r="K96" s="156">
        <v>1</v>
      </c>
      <c r="L96" s="77" t="s">
        <v>63</v>
      </c>
      <c r="M96" s="88">
        <f t="shared" si="17"/>
        <v>100</v>
      </c>
      <c r="N96" s="89"/>
      <c r="O96" s="153"/>
      <c r="P96" s="88" t="s">
        <v>63</v>
      </c>
      <c r="Q96" s="604"/>
      <c r="R96" s="77"/>
      <c r="S96" s="88" t="s">
        <v>63</v>
      </c>
      <c r="T96" s="154">
        <f t="shared" si="2"/>
        <v>-100</v>
      </c>
      <c r="U96" s="157"/>
      <c r="V96" s="158"/>
      <c r="W96" s="154"/>
      <c r="X96" s="154"/>
      <c r="Y96" s="582"/>
      <c r="Z96" s="582"/>
      <c r="AA96" s="582"/>
      <c r="AB96" s="602"/>
    </row>
    <row r="97" spans="1:28" s="55" customFormat="1" ht="54.95" customHeight="1" x14ac:dyDescent="0.15">
      <c r="A97" s="387"/>
      <c r="B97" s="87">
        <f>E6</f>
        <v>0</v>
      </c>
      <c r="C97" s="461"/>
      <c r="D97" s="461"/>
      <c r="E97" s="461"/>
      <c r="F97" s="368"/>
      <c r="G97" s="369"/>
      <c r="H97" s="370"/>
      <c r="I97" s="152"/>
      <c r="J97" s="152"/>
      <c r="K97" s="156">
        <v>1</v>
      </c>
      <c r="L97" s="77" t="s">
        <v>63</v>
      </c>
      <c r="M97" s="88">
        <f t="shared" si="17"/>
        <v>0</v>
      </c>
      <c r="N97" s="89"/>
      <c r="O97" s="153"/>
      <c r="P97" s="88" t="s">
        <v>63</v>
      </c>
      <c r="Q97" s="604"/>
      <c r="R97" s="153"/>
      <c r="S97" s="88" t="s">
        <v>63</v>
      </c>
      <c r="T97" s="154">
        <f>R97-M97</f>
        <v>0</v>
      </c>
      <c r="U97" s="157"/>
      <c r="V97" s="158"/>
      <c r="W97" s="154"/>
      <c r="X97" s="154"/>
      <c r="Y97" s="582"/>
      <c r="Z97" s="582"/>
      <c r="AA97" s="582"/>
      <c r="AB97" s="602"/>
    </row>
    <row r="98" spans="1:28" s="55" customFormat="1" ht="54.95" customHeight="1" x14ac:dyDescent="0.15">
      <c r="A98" s="387"/>
      <c r="B98" s="87">
        <f>C7</f>
        <v>0</v>
      </c>
      <c r="C98" s="392">
        <f>A7</f>
        <v>0</v>
      </c>
      <c r="D98" s="393"/>
      <c r="E98" s="394"/>
      <c r="F98" s="368"/>
      <c r="G98" s="369"/>
      <c r="H98" s="370"/>
      <c r="I98" s="152"/>
      <c r="J98" s="152"/>
      <c r="K98" s="156">
        <v>1</v>
      </c>
      <c r="L98" s="77" t="s">
        <v>63</v>
      </c>
      <c r="M98" s="343">
        <f t="shared" si="17"/>
        <v>0</v>
      </c>
      <c r="N98" s="89"/>
      <c r="O98" s="153"/>
      <c r="P98" s="88" t="s">
        <v>63</v>
      </c>
      <c r="Q98" s="604"/>
      <c r="R98" s="153"/>
      <c r="S98" s="88" t="s">
        <v>63</v>
      </c>
      <c r="T98" s="154">
        <f>R98-M98</f>
        <v>0</v>
      </c>
      <c r="U98" s="157"/>
      <c r="V98" s="158"/>
      <c r="W98" s="154"/>
      <c r="X98" s="154"/>
      <c r="Y98" s="582" t="s">
        <v>72</v>
      </c>
      <c r="Z98" s="582"/>
      <c r="AA98" s="582"/>
      <c r="AB98" s="602"/>
    </row>
    <row r="99" spans="1:28" s="55" customFormat="1" ht="54.95" customHeight="1" x14ac:dyDescent="0.15">
      <c r="A99" s="387"/>
      <c r="B99" s="87">
        <f>D7</f>
        <v>0</v>
      </c>
      <c r="C99" s="392"/>
      <c r="D99" s="393"/>
      <c r="E99" s="394"/>
      <c r="F99" s="368"/>
      <c r="G99" s="369"/>
      <c r="H99" s="370"/>
      <c r="I99" s="152"/>
      <c r="J99" s="152"/>
      <c r="K99" s="156">
        <v>1</v>
      </c>
      <c r="L99" s="77" t="s">
        <v>63</v>
      </c>
      <c r="M99" s="88">
        <f t="shared" si="17"/>
        <v>0</v>
      </c>
      <c r="N99" s="89"/>
      <c r="O99" s="153"/>
      <c r="P99" s="88" t="s">
        <v>63</v>
      </c>
      <c r="Q99" s="604"/>
      <c r="R99" s="153"/>
      <c r="S99" s="88" t="s">
        <v>63</v>
      </c>
      <c r="T99" s="154">
        <f>R99-M99</f>
        <v>0</v>
      </c>
      <c r="U99" s="157"/>
      <c r="V99" s="158"/>
      <c r="W99" s="154"/>
      <c r="X99" s="154"/>
      <c r="Y99" s="582"/>
      <c r="Z99" s="582"/>
      <c r="AA99" s="582"/>
      <c r="AB99" s="602"/>
    </row>
    <row r="100" spans="1:28" s="176" customFormat="1" ht="54.95" customHeight="1" x14ac:dyDescent="0.15">
      <c r="A100" s="387"/>
      <c r="B100" s="87">
        <f>E7</f>
        <v>0</v>
      </c>
      <c r="C100" s="392"/>
      <c r="D100" s="393"/>
      <c r="E100" s="394"/>
      <c r="F100" s="371"/>
      <c r="G100" s="372"/>
      <c r="H100" s="373"/>
      <c r="I100" s="276"/>
      <c r="J100" s="276"/>
      <c r="K100" s="167">
        <v>1</v>
      </c>
      <c r="L100" s="168" t="s">
        <v>63</v>
      </c>
      <c r="M100" s="169">
        <f t="shared" si="17"/>
        <v>0</v>
      </c>
      <c r="N100" s="171"/>
      <c r="O100" s="277"/>
      <c r="P100" s="169" t="s">
        <v>63</v>
      </c>
      <c r="Q100" s="605"/>
      <c r="R100" s="168"/>
      <c r="S100" s="169" t="s">
        <v>63</v>
      </c>
      <c r="T100" s="278">
        <f>R100-M100</f>
        <v>0</v>
      </c>
      <c r="U100" s="281"/>
      <c r="V100" s="282"/>
      <c r="W100" s="278"/>
      <c r="X100" s="278"/>
      <c r="Y100" s="582"/>
      <c r="Z100" s="582"/>
      <c r="AA100" s="582"/>
      <c r="AB100" s="603"/>
    </row>
    <row r="101" spans="1:28" s="176" customFormat="1" ht="54.95" customHeight="1" x14ac:dyDescent="0.15">
      <c r="A101" s="386" t="s">
        <v>69</v>
      </c>
      <c r="B101" s="164">
        <f>C5</f>
        <v>187</v>
      </c>
      <c r="C101" s="461" t="str">
        <f>A5</f>
        <v>CG</v>
      </c>
      <c r="D101" s="461"/>
      <c r="E101" s="461"/>
      <c r="F101" s="371"/>
      <c r="G101" s="372"/>
      <c r="H101" s="373"/>
      <c r="I101" s="276"/>
      <c r="J101" s="276"/>
      <c r="K101" s="167">
        <v>1</v>
      </c>
      <c r="L101" s="168" t="s">
        <v>63</v>
      </c>
      <c r="M101" s="169">
        <f t="shared" si="17"/>
        <v>187</v>
      </c>
      <c r="N101" s="171"/>
      <c r="O101" s="277"/>
      <c r="P101" s="169" t="s">
        <v>63</v>
      </c>
      <c r="Q101" s="376"/>
      <c r="R101" s="277"/>
      <c r="S101" s="169" t="s">
        <v>63</v>
      </c>
      <c r="T101" s="278">
        <f t="shared" si="2"/>
        <v>-187</v>
      </c>
      <c r="U101" s="281"/>
      <c r="V101" s="282"/>
      <c r="W101" s="278"/>
      <c r="X101" s="278"/>
      <c r="Y101" s="597" t="s">
        <v>67</v>
      </c>
      <c r="Z101" s="597"/>
      <c r="AA101" s="597"/>
      <c r="AB101" s="404"/>
    </row>
    <row r="102" spans="1:28" s="176" customFormat="1" ht="54.95" customHeight="1" x14ac:dyDescent="0.15">
      <c r="A102" s="387"/>
      <c r="B102" s="164">
        <f>D5</f>
        <v>100</v>
      </c>
      <c r="C102" s="461"/>
      <c r="D102" s="461"/>
      <c r="E102" s="461"/>
      <c r="F102" s="371"/>
      <c r="G102" s="372"/>
      <c r="H102" s="373"/>
      <c r="I102" s="276"/>
      <c r="J102" s="276"/>
      <c r="K102" s="167">
        <v>1</v>
      </c>
      <c r="L102" s="168" t="s">
        <v>63</v>
      </c>
      <c r="M102" s="169">
        <f t="shared" si="17"/>
        <v>100</v>
      </c>
      <c r="N102" s="171"/>
      <c r="O102" s="277"/>
      <c r="P102" s="169" t="s">
        <v>63</v>
      </c>
      <c r="Q102" s="377"/>
      <c r="R102" s="277"/>
      <c r="S102" s="169" t="s">
        <v>63</v>
      </c>
      <c r="T102" s="278">
        <f t="shared" si="2"/>
        <v>-100</v>
      </c>
      <c r="U102" s="281"/>
      <c r="V102" s="282"/>
      <c r="W102" s="278"/>
      <c r="X102" s="278"/>
      <c r="Y102" s="597"/>
      <c r="Z102" s="597"/>
      <c r="AA102" s="597"/>
      <c r="AB102" s="405"/>
    </row>
    <row r="103" spans="1:28" s="176" customFormat="1" ht="54.95" customHeight="1" x14ac:dyDescent="0.15">
      <c r="A103" s="387"/>
      <c r="B103" s="164">
        <f>E5</f>
        <v>0</v>
      </c>
      <c r="C103" s="461"/>
      <c r="D103" s="461"/>
      <c r="E103" s="461"/>
      <c r="F103" s="371"/>
      <c r="G103" s="372"/>
      <c r="H103" s="373"/>
      <c r="I103" s="276"/>
      <c r="J103" s="276"/>
      <c r="K103" s="167">
        <v>1</v>
      </c>
      <c r="L103" s="168" t="s">
        <v>63</v>
      </c>
      <c r="M103" s="169">
        <f t="shared" si="17"/>
        <v>0</v>
      </c>
      <c r="N103" s="171"/>
      <c r="O103" s="277"/>
      <c r="P103" s="169" t="s">
        <v>63</v>
      </c>
      <c r="Q103" s="377"/>
      <c r="R103" s="277"/>
      <c r="S103" s="169" t="s">
        <v>63</v>
      </c>
      <c r="T103" s="278">
        <f t="shared" si="2"/>
        <v>0</v>
      </c>
      <c r="U103" s="281"/>
      <c r="V103" s="282"/>
      <c r="W103" s="278"/>
      <c r="X103" s="278"/>
      <c r="Y103" s="597"/>
      <c r="Z103" s="597"/>
      <c r="AA103" s="597"/>
      <c r="AB103" s="405"/>
    </row>
    <row r="104" spans="1:28" s="176" customFormat="1" ht="54.95" customHeight="1" x14ac:dyDescent="0.15">
      <c r="A104" s="387"/>
      <c r="B104" s="164">
        <f>C6</f>
        <v>174</v>
      </c>
      <c r="C104" s="461" t="str">
        <f>A6</f>
        <v>CR</v>
      </c>
      <c r="D104" s="461"/>
      <c r="E104" s="461"/>
      <c r="F104" s="371"/>
      <c r="G104" s="372"/>
      <c r="H104" s="373"/>
      <c r="I104" s="276"/>
      <c r="J104" s="276"/>
      <c r="K104" s="167">
        <v>1</v>
      </c>
      <c r="L104" s="168" t="s">
        <v>63</v>
      </c>
      <c r="M104" s="169">
        <f t="shared" si="17"/>
        <v>174</v>
      </c>
      <c r="N104" s="171"/>
      <c r="O104" s="277"/>
      <c r="P104" s="169" t="s">
        <v>63</v>
      </c>
      <c r="Q104" s="377"/>
      <c r="R104" s="168"/>
      <c r="S104" s="169" t="s">
        <v>63</v>
      </c>
      <c r="T104" s="278">
        <f t="shared" si="2"/>
        <v>-174</v>
      </c>
      <c r="U104" s="281"/>
      <c r="V104" s="282"/>
      <c r="W104" s="278"/>
      <c r="X104" s="278"/>
      <c r="Y104" s="597" t="s">
        <v>67</v>
      </c>
      <c r="AA104" s="597"/>
      <c r="AB104" s="405"/>
    </row>
    <row r="105" spans="1:28" s="176" customFormat="1" ht="54.95" customHeight="1" x14ac:dyDescent="0.15">
      <c r="A105" s="387"/>
      <c r="B105" s="164">
        <f>D6</f>
        <v>100</v>
      </c>
      <c r="C105" s="461"/>
      <c r="D105" s="461"/>
      <c r="E105" s="461"/>
      <c r="F105" s="371"/>
      <c r="G105" s="372"/>
      <c r="H105" s="373"/>
      <c r="I105" s="276"/>
      <c r="J105" s="276"/>
      <c r="K105" s="167">
        <v>1</v>
      </c>
      <c r="L105" s="168" t="s">
        <v>63</v>
      </c>
      <c r="M105" s="169">
        <f t="shared" si="17"/>
        <v>100</v>
      </c>
      <c r="N105" s="171"/>
      <c r="O105" s="277"/>
      <c r="P105" s="169" t="s">
        <v>63</v>
      </c>
      <c r="Q105" s="377"/>
      <c r="R105" s="168"/>
      <c r="S105" s="169" t="s">
        <v>63</v>
      </c>
      <c r="T105" s="278">
        <f t="shared" si="2"/>
        <v>-100</v>
      </c>
      <c r="U105" s="281"/>
      <c r="V105" s="282"/>
      <c r="W105" s="278"/>
      <c r="X105" s="278"/>
      <c r="Y105" s="597"/>
      <c r="AA105" s="597"/>
      <c r="AB105" s="405"/>
    </row>
    <row r="106" spans="1:28" s="176" customFormat="1" ht="54.95" customHeight="1" x14ac:dyDescent="0.15">
      <c r="A106" s="387"/>
      <c r="B106" s="164">
        <f>E6</f>
        <v>0</v>
      </c>
      <c r="C106" s="461"/>
      <c r="D106" s="461"/>
      <c r="E106" s="461"/>
      <c r="F106" s="371"/>
      <c r="G106" s="372"/>
      <c r="H106" s="373"/>
      <c r="I106" s="276"/>
      <c r="J106" s="276"/>
      <c r="K106" s="167">
        <v>1</v>
      </c>
      <c r="L106" s="168" t="s">
        <v>63</v>
      </c>
      <c r="M106" s="169">
        <f t="shared" si="17"/>
        <v>0</v>
      </c>
      <c r="N106" s="171"/>
      <c r="O106" s="277"/>
      <c r="P106" s="169" t="s">
        <v>63</v>
      </c>
      <c r="Q106" s="377"/>
      <c r="R106" s="277"/>
      <c r="S106" s="169" t="s">
        <v>63</v>
      </c>
      <c r="T106" s="278">
        <f t="shared" si="2"/>
        <v>0</v>
      </c>
      <c r="U106" s="281"/>
      <c r="V106" s="282"/>
      <c r="W106" s="278"/>
      <c r="X106" s="278"/>
      <c r="Y106" s="597"/>
      <c r="AA106" s="597"/>
      <c r="AB106" s="405"/>
    </row>
    <row r="107" spans="1:28" s="176" customFormat="1" ht="54.95" customHeight="1" x14ac:dyDescent="0.15">
      <c r="A107" s="387"/>
      <c r="B107" s="164">
        <f>C7</f>
        <v>0</v>
      </c>
      <c r="C107" s="392">
        <f>A7</f>
        <v>0</v>
      </c>
      <c r="D107" s="393"/>
      <c r="E107" s="394"/>
      <c r="F107" s="371"/>
      <c r="G107" s="372"/>
      <c r="H107" s="373"/>
      <c r="I107" s="276"/>
      <c r="J107" s="276"/>
      <c r="K107" s="167">
        <v>1</v>
      </c>
      <c r="L107" s="168" t="s">
        <v>63</v>
      </c>
      <c r="M107" s="169">
        <f t="shared" si="17"/>
        <v>0</v>
      </c>
      <c r="N107" s="171"/>
      <c r="O107" s="277"/>
      <c r="P107" s="169" t="s">
        <v>63</v>
      </c>
      <c r="Q107" s="377"/>
      <c r="R107" s="277"/>
      <c r="S107" s="169" t="s">
        <v>63</v>
      </c>
      <c r="T107" s="278">
        <f t="shared" si="2"/>
        <v>0</v>
      </c>
      <c r="U107" s="281"/>
      <c r="V107" s="282"/>
      <c r="W107" s="278"/>
      <c r="X107" s="278"/>
      <c r="Y107" s="597" t="s">
        <v>67</v>
      </c>
      <c r="Z107" s="597"/>
      <c r="AA107" s="597"/>
      <c r="AB107" s="405"/>
    </row>
    <row r="108" spans="1:28" s="176" customFormat="1" ht="54.95" customHeight="1" x14ac:dyDescent="0.15">
      <c r="A108" s="387"/>
      <c r="B108" s="164">
        <f>D7</f>
        <v>0</v>
      </c>
      <c r="C108" s="392"/>
      <c r="D108" s="393"/>
      <c r="E108" s="394"/>
      <c r="F108" s="371"/>
      <c r="G108" s="372"/>
      <c r="H108" s="373"/>
      <c r="I108" s="276"/>
      <c r="J108" s="276"/>
      <c r="K108" s="167">
        <v>1</v>
      </c>
      <c r="L108" s="168" t="s">
        <v>63</v>
      </c>
      <c r="M108" s="169">
        <f t="shared" si="17"/>
        <v>0</v>
      </c>
      <c r="N108" s="171"/>
      <c r="O108" s="277"/>
      <c r="P108" s="169" t="s">
        <v>63</v>
      </c>
      <c r="Q108" s="377"/>
      <c r="R108" s="277"/>
      <c r="S108" s="169" t="s">
        <v>63</v>
      </c>
      <c r="T108" s="278">
        <f t="shared" si="2"/>
        <v>0</v>
      </c>
      <c r="U108" s="281"/>
      <c r="V108" s="282"/>
      <c r="W108" s="278"/>
      <c r="X108" s="278"/>
      <c r="Y108" s="597"/>
      <c r="Z108" s="597"/>
      <c r="AA108" s="597"/>
      <c r="AB108" s="405"/>
    </row>
    <row r="109" spans="1:28" s="176" customFormat="1" ht="54.95" customHeight="1" x14ac:dyDescent="0.15">
      <c r="A109" s="387"/>
      <c r="B109" s="164">
        <f>E7</f>
        <v>0</v>
      </c>
      <c r="C109" s="392"/>
      <c r="D109" s="393"/>
      <c r="E109" s="394"/>
      <c r="F109" s="371"/>
      <c r="G109" s="372"/>
      <c r="H109" s="373"/>
      <c r="I109" s="276"/>
      <c r="J109" s="276"/>
      <c r="K109" s="167">
        <v>1</v>
      </c>
      <c r="L109" s="168" t="s">
        <v>63</v>
      </c>
      <c r="M109" s="169">
        <f t="shared" si="17"/>
        <v>0</v>
      </c>
      <c r="N109" s="171"/>
      <c r="O109" s="277"/>
      <c r="P109" s="169" t="s">
        <v>63</v>
      </c>
      <c r="Q109" s="378"/>
      <c r="R109" s="168"/>
      <c r="S109" s="169" t="s">
        <v>63</v>
      </c>
      <c r="T109" s="278">
        <f t="shared" si="2"/>
        <v>0</v>
      </c>
      <c r="U109" s="281"/>
      <c r="V109" s="282"/>
      <c r="W109" s="278"/>
      <c r="X109" s="278"/>
      <c r="Y109" s="597"/>
      <c r="Z109" s="597"/>
      <c r="AA109" s="597"/>
      <c r="AB109" s="405"/>
    </row>
    <row r="110" spans="1:28" s="55" customFormat="1" ht="54.95" customHeight="1" x14ac:dyDescent="0.15">
      <c r="A110" s="386" t="s">
        <v>70</v>
      </c>
      <c r="B110" s="87">
        <f>C11</f>
        <v>361</v>
      </c>
      <c r="C110" s="389" t="s">
        <v>71</v>
      </c>
      <c r="D110" s="390"/>
      <c r="E110" s="391"/>
      <c r="F110" s="368"/>
      <c r="G110" s="369"/>
      <c r="H110" s="370"/>
      <c r="I110" s="152"/>
      <c r="J110" s="90"/>
      <c r="K110" s="156">
        <v>1</v>
      </c>
      <c r="L110" s="77" t="s">
        <v>63</v>
      </c>
      <c r="M110" s="88">
        <f t="shared" si="17"/>
        <v>361</v>
      </c>
      <c r="N110" s="89"/>
      <c r="O110" s="153"/>
      <c r="P110" s="88" t="s">
        <v>63</v>
      </c>
      <c r="Q110" s="398"/>
      <c r="R110" s="93"/>
      <c r="S110" s="88" t="s">
        <v>63</v>
      </c>
      <c r="T110" s="154">
        <f t="shared" si="2"/>
        <v>-361</v>
      </c>
      <c r="U110" s="91"/>
      <c r="V110" s="159"/>
      <c r="W110" s="159"/>
      <c r="X110" s="159"/>
      <c r="Y110" s="401" t="s">
        <v>258</v>
      </c>
      <c r="Z110" s="416"/>
      <c r="AA110" s="416"/>
      <c r="AB110" s="419"/>
    </row>
    <row r="111" spans="1:28" s="55" customFormat="1" ht="54.95" customHeight="1" x14ac:dyDescent="0.15">
      <c r="A111" s="387"/>
      <c r="B111" s="87">
        <f>D11</f>
        <v>200</v>
      </c>
      <c r="C111" s="392"/>
      <c r="D111" s="393"/>
      <c r="E111" s="394"/>
      <c r="F111" s="368"/>
      <c r="G111" s="369"/>
      <c r="H111" s="370"/>
      <c r="I111" s="152"/>
      <c r="J111" s="90"/>
      <c r="K111" s="156">
        <v>1</v>
      </c>
      <c r="L111" s="77" t="s">
        <v>63</v>
      </c>
      <c r="M111" s="88">
        <f t="shared" si="17"/>
        <v>200</v>
      </c>
      <c r="N111" s="89"/>
      <c r="O111" s="153"/>
      <c r="P111" s="88" t="s">
        <v>63</v>
      </c>
      <c r="Q111" s="399"/>
      <c r="R111" s="93"/>
      <c r="S111" s="88" t="s">
        <v>63</v>
      </c>
      <c r="T111" s="154">
        <f t="shared" si="2"/>
        <v>-200</v>
      </c>
      <c r="U111" s="91"/>
      <c r="V111" s="159"/>
      <c r="W111" s="159"/>
      <c r="X111" s="159"/>
      <c r="Y111" s="402"/>
      <c r="Z111" s="417"/>
      <c r="AA111" s="417"/>
      <c r="AB111" s="420"/>
    </row>
    <row r="112" spans="1:28" s="55" customFormat="1" ht="54.95" customHeight="1" x14ac:dyDescent="0.15">
      <c r="A112" s="387"/>
      <c r="B112" s="87">
        <f>E11</f>
        <v>0</v>
      </c>
      <c r="C112" s="392"/>
      <c r="D112" s="393"/>
      <c r="E112" s="394"/>
      <c r="F112" s="368"/>
      <c r="G112" s="369"/>
      <c r="H112" s="370"/>
      <c r="I112" s="152"/>
      <c r="J112" s="90"/>
      <c r="K112" s="156">
        <v>1</v>
      </c>
      <c r="L112" s="77" t="s">
        <v>63</v>
      </c>
      <c r="M112" s="88">
        <f t="shared" si="17"/>
        <v>0</v>
      </c>
      <c r="N112" s="89"/>
      <c r="O112" s="153"/>
      <c r="P112" s="88" t="s">
        <v>63</v>
      </c>
      <c r="Q112" s="399"/>
      <c r="R112" s="93"/>
      <c r="S112" s="88" t="s">
        <v>63</v>
      </c>
      <c r="T112" s="154">
        <f t="shared" si="2"/>
        <v>0</v>
      </c>
      <c r="U112" s="91"/>
      <c r="V112" s="159"/>
      <c r="W112" s="159"/>
      <c r="X112" s="159"/>
      <c r="Y112" s="402"/>
      <c r="Z112" s="417"/>
      <c r="AA112" s="417"/>
      <c r="AB112" s="420"/>
    </row>
    <row r="113" spans="1:29" s="55" customFormat="1" ht="54.95" customHeight="1" x14ac:dyDescent="0.15">
      <c r="A113" s="388"/>
      <c r="B113" s="87">
        <f>F11</f>
        <v>0</v>
      </c>
      <c r="C113" s="395"/>
      <c r="D113" s="396"/>
      <c r="E113" s="397"/>
      <c r="F113" s="368"/>
      <c r="G113" s="369"/>
      <c r="H113" s="370"/>
      <c r="I113" s="152"/>
      <c r="J113" s="90"/>
      <c r="K113" s="156"/>
      <c r="L113" s="77" t="s">
        <v>63</v>
      </c>
      <c r="M113" s="88">
        <f t="shared" si="17"/>
        <v>0</v>
      </c>
      <c r="N113" s="89"/>
      <c r="O113" s="153"/>
      <c r="P113" s="88" t="s">
        <v>63</v>
      </c>
      <c r="Q113" s="400"/>
      <c r="R113" s="162"/>
      <c r="S113" s="88" t="s">
        <v>63</v>
      </c>
      <c r="T113" s="154">
        <f t="shared" si="2"/>
        <v>0</v>
      </c>
      <c r="U113" s="91"/>
      <c r="V113" s="159"/>
      <c r="W113" s="159"/>
      <c r="X113" s="159"/>
      <c r="Y113" s="403"/>
      <c r="Z113" s="418"/>
      <c r="AA113" s="418"/>
      <c r="AB113" s="421"/>
    </row>
    <row r="114" spans="1:29" s="176" customFormat="1" ht="54.95" customHeight="1" x14ac:dyDescent="0.15">
      <c r="A114" s="92" t="s">
        <v>73</v>
      </c>
      <c r="B114" s="164">
        <f>I11</f>
        <v>561</v>
      </c>
      <c r="C114" s="371" t="s">
        <v>71</v>
      </c>
      <c r="D114" s="372"/>
      <c r="E114" s="373"/>
      <c r="F114" s="371"/>
      <c r="G114" s="372"/>
      <c r="H114" s="373"/>
      <c r="I114" s="165"/>
      <c r="J114" s="166"/>
      <c r="K114" s="167">
        <v>1</v>
      </c>
      <c r="L114" s="168" t="s">
        <v>63</v>
      </c>
      <c r="M114" s="88">
        <f t="shared" si="17"/>
        <v>561</v>
      </c>
      <c r="N114" s="170"/>
      <c r="O114" s="170"/>
      <c r="P114" s="169" t="s">
        <v>63</v>
      </c>
      <c r="Q114" s="363"/>
      <c r="R114" s="165"/>
      <c r="S114" s="169" t="s">
        <v>63</v>
      </c>
      <c r="T114" s="154">
        <f t="shared" si="2"/>
        <v>-561</v>
      </c>
      <c r="U114" s="170"/>
      <c r="V114" s="172"/>
      <c r="W114" s="172"/>
      <c r="X114" s="172"/>
      <c r="Y114" s="173" t="s">
        <v>72</v>
      </c>
      <c r="Z114" s="174"/>
      <c r="AA114" s="175"/>
      <c r="AB114" s="586"/>
    </row>
    <row r="115" spans="1:29" s="55" customFormat="1" ht="54.95" customHeight="1" x14ac:dyDescent="0.15">
      <c r="A115" s="92" t="s">
        <v>81</v>
      </c>
      <c r="B115" s="87">
        <f>I11</f>
        <v>561</v>
      </c>
      <c r="C115" s="368" t="s">
        <v>71</v>
      </c>
      <c r="D115" s="369"/>
      <c r="E115" s="370"/>
      <c r="F115" s="368"/>
      <c r="G115" s="369"/>
      <c r="H115" s="370"/>
      <c r="I115" s="93"/>
      <c r="J115" s="90"/>
      <c r="K115" s="156">
        <v>1</v>
      </c>
      <c r="L115" s="77" t="s">
        <v>63</v>
      </c>
      <c r="M115" s="88">
        <f>K115*B115</f>
        <v>561</v>
      </c>
      <c r="N115" s="91"/>
      <c r="O115" s="91"/>
      <c r="P115" s="88" t="s">
        <v>63</v>
      </c>
      <c r="Q115" s="364"/>
      <c r="R115" s="93"/>
      <c r="S115" s="88" t="s">
        <v>63</v>
      </c>
      <c r="T115" s="154">
        <f t="shared" si="2"/>
        <v>-561</v>
      </c>
      <c r="U115" s="91"/>
      <c r="V115" s="91"/>
      <c r="W115" s="91"/>
      <c r="X115" s="91"/>
      <c r="Y115" s="160" t="s">
        <v>72</v>
      </c>
      <c r="Z115" s="94"/>
      <c r="AA115" s="95"/>
      <c r="AB115" s="587"/>
    </row>
    <row r="116" spans="1:29" s="55" customFormat="1" ht="54.95" customHeight="1" x14ac:dyDescent="0.15">
      <c r="A116" s="96" t="s">
        <v>74</v>
      </c>
      <c r="B116" s="87">
        <f>I11</f>
        <v>561</v>
      </c>
      <c r="C116" s="368" t="s">
        <v>71</v>
      </c>
      <c r="D116" s="369"/>
      <c r="E116" s="370"/>
      <c r="F116" s="368"/>
      <c r="G116" s="369"/>
      <c r="H116" s="370"/>
      <c r="I116" s="93" t="s">
        <v>282</v>
      </c>
      <c r="J116" s="93"/>
      <c r="K116" s="156">
        <v>1</v>
      </c>
      <c r="L116" s="77" t="s">
        <v>63</v>
      </c>
      <c r="M116" s="88">
        <f t="shared" si="17"/>
        <v>561</v>
      </c>
      <c r="N116" s="91"/>
      <c r="O116" s="91"/>
      <c r="P116" s="89" t="s">
        <v>63</v>
      </c>
      <c r="Q116" s="365"/>
      <c r="R116" s="93"/>
      <c r="S116" s="89" t="s">
        <v>63</v>
      </c>
      <c r="T116" s="154">
        <f t="shared" si="2"/>
        <v>-561</v>
      </c>
      <c r="U116" s="91"/>
      <c r="V116" s="91"/>
      <c r="W116" s="91"/>
      <c r="X116" s="91"/>
      <c r="Y116" s="160" t="s">
        <v>72</v>
      </c>
      <c r="Z116" s="97"/>
      <c r="AA116" s="98"/>
      <c r="AB116" s="588"/>
    </row>
    <row r="117" spans="1:29" ht="13.5" customHeight="1" x14ac:dyDescent="0.15">
      <c r="A117" s="177"/>
      <c r="B117" s="366"/>
      <c r="C117" s="366"/>
      <c r="D117" s="177"/>
      <c r="E117" s="177"/>
      <c r="F117" s="100"/>
      <c r="G117" s="100"/>
      <c r="H117" s="100"/>
      <c r="I117" s="177"/>
      <c r="J117" s="177"/>
      <c r="K117" s="101"/>
      <c r="L117" s="102"/>
      <c r="M117" s="103"/>
      <c r="N117" s="104"/>
      <c r="O117" s="104"/>
      <c r="P117" s="177"/>
      <c r="Q117" s="105"/>
      <c r="R117" s="105"/>
      <c r="S117" s="106"/>
      <c r="T117" s="107"/>
      <c r="U117" s="108"/>
      <c r="V117" s="108"/>
      <c r="W117" s="109"/>
      <c r="X117" s="107"/>
      <c r="Y117" s="110"/>
      <c r="Z117" s="111"/>
      <c r="AA117" s="111"/>
    </row>
    <row r="118" spans="1:29" ht="13.5" customHeight="1" x14ac:dyDescent="0.15">
      <c r="A118" s="177"/>
      <c r="B118" s="366"/>
      <c r="C118" s="366"/>
      <c r="D118" s="177"/>
      <c r="E118" s="177"/>
      <c r="F118" s="367"/>
      <c r="G118" s="367"/>
      <c r="H118" s="367"/>
      <c r="I118" s="177"/>
      <c r="J118" s="177"/>
      <c r="K118" s="101"/>
      <c r="L118" s="102"/>
      <c r="M118" s="103"/>
      <c r="N118" s="104"/>
      <c r="O118" s="104"/>
      <c r="P118" s="177"/>
      <c r="Q118" s="105"/>
      <c r="R118" s="105"/>
      <c r="S118" s="106"/>
      <c r="T118" s="107"/>
      <c r="U118" s="108"/>
      <c r="V118" s="108"/>
      <c r="W118" s="109"/>
      <c r="X118" s="107"/>
      <c r="Y118" s="112"/>
      <c r="Z118" s="111"/>
      <c r="AA118" s="111"/>
    </row>
    <row r="119" spans="1:29" ht="13.5" customHeight="1" x14ac:dyDescent="0.15">
      <c r="J119" s="177"/>
    </row>
    <row r="120" spans="1:29" ht="13.5" customHeight="1" x14ac:dyDescent="0.15">
      <c r="J120" s="177"/>
    </row>
    <row r="127" spans="1:29" s="114" customFormat="1" x14ac:dyDescent="0.15">
      <c r="A127" s="1"/>
      <c r="B127" s="113"/>
      <c r="C127" s="1"/>
      <c r="D127" s="1"/>
      <c r="E127" s="1"/>
      <c r="F127" s="1"/>
      <c r="G127" s="1"/>
      <c r="H127" s="1"/>
      <c r="I127" s="1"/>
      <c r="J127" s="1"/>
      <c r="L127" s="115"/>
      <c r="M127" s="116"/>
      <c r="N127" s="117"/>
      <c r="O127" s="117"/>
      <c r="P127" s="1"/>
      <c r="Q127" s="118"/>
      <c r="R127" s="118"/>
      <c r="S127" s="115"/>
      <c r="T127" s="119"/>
      <c r="U127" s="1"/>
      <c r="V127" s="1"/>
      <c r="W127" s="120"/>
      <c r="X127" s="121"/>
      <c r="Y127" s="1"/>
      <c r="Z127" s="1"/>
      <c r="AA127" s="1"/>
      <c r="AB127" s="1"/>
      <c r="AC127" s="1"/>
    </row>
    <row r="128" spans="1:29" s="114" customFormat="1" x14ac:dyDescent="0.15">
      <c r="A128" s="1"/>
      <c r="B128" s="113"/>
      <c r="C128" s="1"/>
      <c r="D128" s="1"/>
      <c r="E128" s="1"/>
      <c r="F128" s="1"/>
      <c r="G128" s="1"/>
      <c r="H128" s="1"/>
      <c r="I128" s="1"/>
      <c r="J128" s="1"/>
      <c r="L128" s="115"/>
      <c r="M128" s="116"/>
      <c r="N128" s="117"/>
      <c r="O128" s="117"/>
      <c r="P128" s="1"/>
      <c r="Q128" s="118"/>
      <c r="R128" s="118"/>
      <c r="S128" s="115"/>
      <c r="T128" s="119"/>
      <c r="U128" s="1"/>
      <c r="V128" s="1"/>
      <c r="W128" s="120"/>
      <c r="X128" s="121"/>
      <c r="Y128" s="1"/>
      <c r="Z128" s="1"/>
      <c r="AA128" s="1"/>
      <c r="AB128" s="1"/>
      <c r="AC128" s="1"/>
    </row>
  </sheetData>
  <mergeCells count="425">
    <mergeCell ref="F115:H115"/>
    <mergeCell ref="C116:E116"/>
    <mergeCell ref="F116:H116"/>
    <mergeCell ref="B117:C117"/>
    <mergeCell ref="B118:C118"/>
    <mergeCell ref="F118:H118"/>
    <mergeCell ref="AA110:AA113"/>
    <mergeCell ref="AB110:AB113"/>
    <mergeCell ref="F111:H111"/>
    <mergeCell ref="F112:H112"/>
    <mergeCell ref="F113:H113"/>
    <mergeCell ref="C114:E114"/>
    <mergeCell ref="F114:H114"/>
    <mergeCell ref="Q114:Q116"/>
    <mergeCell ref="AB114:AB116"/>
    <mergeCell ref="C115:E115"/>
    <mergeCell ref="A110:A113"/>
    <mergeCell ref="C110:E113"/>
    <mergeCell ref="F110:H110"/>
    <mergeCell ref="Q110:Q113"/>
    <mergeCell ref="Y110:Y113"/>
    <mergeCell ref="Z110:Z113"/>
    <mergeCell ref="F106:H106"/>
    <mergeCell ref="C107:E109"/>
    <mergeCell ref="F107:H107"/>
    <mergeCell ref="Y107:Y109"/>
    <mergeCell ref="Z107:Z109"/>
    <mergeCell ref="AA107:AA109"/>
    <mergeCell ref="F108:H108"/>
    <mergeCell ref="F109:H109"/>
    <mergeCell ref="Z101:Z103"/>
    <mergeCell ref="AA101:AA103"/>
    <mergeCell ref="AB101:AB109"/>
    <mergeCell ref="F102:H102"/>
    <mergeCell ref="F103:H103"/>
    <mergeCell ref="C104:E106"/>
    <mergeCell ref="F104:H104"/>
    <mergeCell ref="Y104:Y106"/>
    <mergeCell ref="AA104:AA106"/>
    <mergeCell ref="F105:H105"/>
    <mergeCell ref="Y98:Y100"/>
    <mergeCell ref="Z98:Z100"/>
    <mergeCell ref="AA98:AA100"/>
    <mergeCell ref="F99:H99"/>
    <mergeCell ref="F100:H100"/>
    <mergeCell ref="A101:A109"/>
    <mergeCell ref="C101:E103"/>
    <mergeCell ref="F101:H101"/>
    <mergeCell ref="Q101:Q109"/>
    <mergeCell ref="Y101:Y103"/>
    <mergeCell ref="AA92:AA94"/>
    <mergeCell ref="AB92:AB100"/>
    <mergeCell ref="F93:H93"/>
    <mergeCell ref="F94:H94"/>
    <mergeCell ref="C95:E97"/>
    <mergeCell ref="F95:H95"/>
    <mergeCell ref="Y95:Y97"/>
    <mergeCell ref="Z95:Z97"/>
    <mergeCell ref="AA95:AA97"/>
    <mergeCell ref="F96:H96"/>
    <mergeCell ref="A92:A100"/>
    <mergeCell ref="C92:E94"/>
    <mergeCell ref="F92:H92"/>
    <mergeCell ref="Q92:Q95"/>
    <mergeCell ref="Y92:Y94"/>
    <mergeCell ref="Z92:Z94"/>
    <mergeCell ref="Q96:Q100"/>
    <mergeCell ref="F97:H97"/>
    <mergeCell ref="C98:E100"/>
    <mergeCell ref="F98:H98"/>
    <mergeCell ref="Y87:Y91"/>
    <mergeCell ref="Z87:Z91"/>
    <mergeCell ref="AA87:AA91"/>
    <mergeCell ref="AB87:AB91"/>
    <mergeCell ref="F88:H88"/>
    <mergeCell ref="F89:H89"/>
    <mergeCell ref="F90:H90"/>
    <mergeCell ref="F91:H91"/>
    <mergeCell ref="C86:E86"/>
    <mergeCell ref="F86:H86"/>
    <mergeCell ref="A87:A91"/>
    <mergeCell ref="C87:E91"/>
    <mergeCell ref="F87:H87"/>
    <mergeCell ref="Q87:Q91"/>
    <mergeCell ref="Y83:Y84"/>
    <mergeCell ref="AB83:AB84"/>
    <mergeCell ref="C84:E84"/>
    <mergeCell ref="F84:H84"/>
    <mergeCell ref="C85:E85"/>
    <mergeCell ref="F85:H85"/>
    <mergeCell ref="C82:E82"/>
    <mergeCell ref="F82:H82"/>
    <mergeCell ref="A83:A84"/>
    <mergeCell ref="C83:E83"/>
    <mergeCell ref="F83:H83"/>
    <mergeCell ref="Q83:Q84"/>
    <mergeCell ref="AB79:AB80"/>
    <mergeCell ref="C80:E80"/>
    <mergeCell ref="F80:H80"/>
    <mergeCell ref="A81:A82"/>
    <mergeCell ref="C81:E81"/>
    <mergeCell ref="F81:H81"/>
    <mergeCell ref="I81:I82"/>
    <mergeCell ref="Q81:Q82"/>
    <mergeCell ref="Y81:Y82"/>
    <mergeCell ref="AB81:AB82"/>
    <mergeCell ref="A79:A80"/>
    <mergeCell ref="C79:E79"/>
    <mergeCell ref="F79:H79"/>
    <mergeCell ref="I79:I80"/>
    <mergeCell ref="Q79:Q80"/>
    <mergeCell ref="Y79:Y80"/>
    <mergeCell ref="A77:A78"/>
    <mergeCell ref="C77:E77"/>
    <mergeCell ref="F77:H77"/>
    <mergeCell ref="Q77:Q78"/>
    <mergeCell ref="Y77:Y78"/>
    <mergeCell ref="AB77:AB78"/>
    <mergeCell ref="C78:E78"/>
    <mergeCell ref="F78:H78"/>
    <mergeCell ref="A75:A76"/>
    <mergeCell ref="C75:E75"/>
    <mergeCell ref="F75:H75"/>
    <mergeCell ref="Q75:Q76"/>
    <mergeCell ref="Y75:Y76"/>
    <mergeCell ref="AB75:AB76"/>
    <mergeCell ref="C76:E76"/>
    <mergeCell ref="F76:H76"/>
    <mergeCell ref="A72:A74"/>
    <mergeCell ref="C72:E72"/>
    <mergeCell ref="F72:H72"/>
    <mergeCell ref="Q72:Q74"/>
    <mergeCell ref="Y72:Y74"/>
    <mergeCell ref="AB72:AB74"/>
    <mergeCell ref="C73:E73"/>
    <mergeCell ref="F73:H73"/>
    <mergeCell ref="C74:E74"/>
    <mergeCell ref="F74:H74"/>
    <mergeCell ref="Y69:Y71"/>
    <mergeCell ref="AB69:AB71"/>
    <mergeCell ref="C70:E70"/>
    <mergeCell ref="F70:H70"/>
    <mergeCell ref="C71:E71"/>
    <mergeCell ref="F71:H71"/>
    <mergeCell ref="AB66:AB68"/>
    <mergeCell ref="C67:E67"/>
    <mergeCell ref="F67:H67"/>
    <mergeCell ref="C68:E68"/>
    <mergeCell ref="F68:H68"/>
    <mergeCell ref="A69:A71"/>
    <mergeCell ref="C69:E69"/>
    <mergeCell ref="F69:H69"/>
    <mergeCell ref="I69:I71"/>
    <mergeCell ref="Q69:Q71"/>
    <mergeCell ref="A66:A68"/>
    <mergeCell ref="C66:E66"/>
    <mergeCell ref="F66:H66"/>
    <mergeCell ref="I66:I68"/>
    <mergeCell ref="Q66:Q68"/>
    <mergeCell ref="Y66:Y68"/>
    <mergeCell ref="A64:A65"/>
    <mergeCell ref="C64:E64"/>
    <mergeCell ref="F64:H64"/>
    <mergeCell ref="Y64:Y65"/>
    <mergeCell ref="AB64:AB65"/>
    <mergeCell ref="C65:E65"/>
    <mergeCell ref="F65:H65"/>
    <mergeCell ref="A62:A63"/>
    <mergeCell ref="C62:E62"/>
    <mergeCell ref="F62:H62"/>
    <mergeCell ref="Q62:Q63"/>
    <mergeCell ref="Y62:Y63"/>
    <mergeCell ref="AB62:AB63"/>
    <mergeCell ref="C63:E63"/>
    <mergeCell ref="F63:H63"/>
    <mergeCell ref="A60:A61"/>
    <mergeCell ref="C60:E60"/>
    <mergeCell ref="F60:H60"/>
    <mergeCell ref="Q60:Q61"/>
    <mergeCell ref="Y60:Y61"/>
    <mergeCell ref="AB60:AB61"/>
    <mergeCell ref="C61:E61"/>
    <mergeCell ref="F61:H61"/>
    <mergeCell ref="AC57:AF57"/>
    <mergeCell ref="A58:A59"/>
    <mergeCell ref="C58:E58"/>
    <mergeCell ref="F58:H58"/>
    <mergeCell ref="I58:I59"/>
    <mergeCell ref="Q58:Q59"/>
    <mergeCell ref="Y58:Y59"/>
    <mergeCell ref="AB58:AB59"/>
    <mergeCell ref="C59:E59"/>
    <mergeCell ref="F59:H59"/>
    <mergeCell ref="AC55:AF55"/>
    <mergeCell ref="A56:A57"/>
    <mergeCell ref="C56:E56"/>
    <mergeCell ref="F56:H56"/>
    <mergeCell ref="I56:I57"/>
    <mergeCell ref="Q56:Q57"/>
    <mergeCell ref="Y56:Y57"/>
    <mergeCell ref="AB56:AB57"/>
    <mergeCell ref="C57:E57"/>
    <mergeCell ref="F57:H57"/>
    <mergeCell ref="A53:A55"/>
    <mergeCell ref="C53:E53"/>
    <mergeCell ref="F53:H53"/>
    <mergeCell ref="I53:I55"/>
    <mergeCell ref="Y53:Y55"/>
    <mergeCell ref="C54:E54"/>
    <mergeCell ref="F54:H54"/>
    <mergeCell ref="C55:E55"/>
    <mergeCell ref="F55:H55"/>
    <mergeCell ref="A50:A52"/>
    <mergeCell ref="C50:E50"/>
    <mergeCell ref="F50:H50"/>
    <mergeCell ref="I50:I52"/>
    <mergeCell ref="Y50:Y52"/>
    <mergeCell ref="C51:E51"/>
    <mergeCell ref="F51:H51"/>
    <mergeCell ref="C52:E52"/>
    <mergeCell ref="F52:H52"/>
    <mergeCell ref="AB47:AB55"/>
    <mergeCell ref="C48:E48"/>
    <mergeCell ref="F48:H48"/>
    <mergeCell ref="AC48:AF48"/>
    <mergeCell ref="C49:E49"/>
    <mergeCell ref="F49:H49"/>
    <mergeCell ref="AC49:AF49"/>
    <mergeCell ref="AC51:AF51"/>
    <mergeCell ref="AC52:AF52"/>
    <mergeCell ref="AC54:AF54"/>
    <mergeCell ref="AB45:AB46"/>
    <mergeCell ref="C46:E46"/>
    <mergeCell ref="F46:H46"/>
    <mergeCell ref="AC46:AF46"/>
    <mergeCell ref="A47:A49"/>
    <mergeCell ref="C47:E47"/>
    <mergeCell ref="F47:H47"/>
    <mergeCell ref="I47:I49"/>
    <mergeCell ref="Q47:Q55"/>
    <mergeCell ref="Y47:Y49"/>
    <mergeCell ref="AC43:AF43"/>
    <mergeCell ref="C44:E44"/>
    <mergeCell ref="F44:H44"/>
    <mergeCell ref="AC44:AF44"/>
    <mergeCell ref="A45:A46"/>
    <mergeCell ref="C45:E45"/>
    <mergeCell ref="F45:H45"/>
    <mergeCell ref="I45:I46"/>
    <mergeCell ref="Q45:Q46"/>
    <mergeCell ref="Y45:Y46"/>
    <mergeCell ref="A42:A44"/>
    <mergeCell ref="C42:E42"/>
    <mergeCell ref="F42:H42"/>
    <mergeCell ref="I42:I44"/>
    <mergeCell ref="Q42:Q44"/>
    <mergeCell ref="Y42:Y44"/>
    <mergeCell ref="C43:E43"/>
    <mergeCell ref="F43:H43"/>
    <mergeCell ref="C40:E40"/>
    <mergeCell ref="F40:H40"/>
    <mergeCell ref="AC40:AF40"/>
    <mergeCell ref="C41:E41"/>
    <mergeCell ref="F41:H41"/>
    <mergeCell ref="AC41:AF41"/>
    <mergeCell ref="AC37:AF37"/>
    <mergeCell ref="C38:E38"/>
    <mergeCell ref="F38:H38"/>
    <mergeCell ref="AC38:AF38"/>
    <mergeCell ref="A39:A41"/>
    <mergeCell ref="C39:E39"/>
    <mergeCell ref="F39:H39"/>
    <mergeCell ref="I39:I41"/>
    <mergeCell ref="Q39:Q41"/>
    <mergeCell ref="Y39:Y41"/>
    <mergeCell ref="AC35:AF35"/>
    <mergeCell ref="A36:A38"/>
    <mergeCell ref="C36:E36"/>
    <mergeCell ref="F36:H36"/>
    <mergeCell ref="I36:I38"/>
    <mergeCell ref="Q36:Q38"/>
    <mergeCell ref="Y36:Y38"/>
    <mergeCell ref="AB36:AB44"/>
    <mergeCell ref="C37:E37"/>
    <mergeCell ref="F37:H37"/>
    <mergeCell ref="I34:I35"/>
    <mergeCell ref="Q34:Q35"/>
    <mergeCell ref="Y34:Y35"/>
    <mergeCell ref="AB34:AB35"/>
    <mergeCell ref="C35:E35"/>
    <mergeCell ref="F35:H35"/>
    <mergeCell ref="C32:E32"/>
    <mergeCell ref="F32:H32"/>
    <mergeCell ref="C33:E33"/>
    <mergeCell ref="F33:H33"/>
    <mergeCell ref="A34:A35"/>
    <mergeCell ref="C34:E34"/>
    <mergeCell ref="F34:H34"/>
    <mergeCell ref="AB29:AB30"/>
    <mergeCell ref="C30:E30"/>
    <mergeCell ref="F30:H30"/>
    <mergeCell ref="A31:A33"/>
    <mergeCell ref="C31:E31"/>
    <mergeCell ref="F31:H31"/>
    <mergeCell ref="I31:I33"/>
    <mergeCell ref="Q31:Q33"/>
    <mergeCell ref="Y31:Y33"/>
    <mergeCell ref="AB31:AB33"/>
    <mergeCell ref="A29:A30"/>
    <mergeCell ref="C29:E29"/>
    <mergeCell ref="F29:H29"/>
    <mergeCell ref="I29:I30"/>
    <mergeCell ref="Q29:Q30"/>
    <mergeCell ref="Y29:Y30"/>
    <mergeCell ref="U26:U28"/>
    <mergeCell ref="Y26:Y28"/>
    <mergeCell ref="AB26:AB28"/>
    <mergeCell ref="C27:E27"/>
    <mergeCell ref="F27:H27"/>
    <mergeCell ref="C28:E28"/>
    <mergeCell ref="F28:H28"/>
    <mergeCell ref="AB23:AB25"/>
    <mergeCell ref="C24:E24"/>
    <mergeCell ref="F24:H24"/>
    <mergeCell ref="C25:E25"/>
    <mergeCell ref="F25:H25"/>
    <mergeCell ref="A26:A28"/>
    <mergeCell ref="C26:E26"/>
    <mergeCell ref="F26:H26"/>
    <mergeCell ref="I26:I28"/>
    <mergeCell ref="Q26:Q28"/>
    <mergeCell ref="AB20:AB22"/>
    <mergeCell ref="C21:E21"/>
    <mergeCell ref="F21:H21"/>
    <mergeCell ref="C22:E22"/>
    <mergeCell ref="F22:H22"/>
    <mergeCell ref="A23:A25"/>
    <mergeCell ref="C23:E23"/>
    <mergeCell ref="F23:H23"/>
    <mergeCell ref="Q23:Q25"/>
    <mergeCell ref="Y23:Y25"/>
    <mergeCell ref="A20:A22"/>
    <mergeCell ref="C20:E20"/>
    <mergeCell ref="F20:H20"/>
    <mergeCell ref="Q20:Q22"/>
    <mergeCell ref="U20:U22"/>
    <mergeCell ref="Y20:Y22"/>
    <mergeCell ref="A18:A19"/>
    <mergeCell ref="C18:E18"/>
    <mergeCell ref="F18:H18"/>
    <mergeCell ref="Q18:Q19"/>
    <mergeCell ref="Y18:Y19"/>
    <mergeCell ref="AB18:AB19"/>
    <mergeCell ref="C19:E19"/>
    <mergeCell ref="F19:H19"/>
    <mergeCell ref="AC15:AF15"/>
    <mergeCell ref="C16:E16"/>
    <mergeCell ref="F16:H16"/>
    <mergeCell ref="AC16:AF16"/>
    <mergeCell ref="C17:E17"/>
    <mergeCell ref="F17:H17"/>
    <mergeCell ref="AC17:AF17"/>
    <mergeCell ref="A15:A17"/>
    <mergeCell ref="C15:E15"/>
    <mergeCell ref="F15:H15"/>
    <mergeCell ref="Q15:Q17"/>
    <mergeCell ref="AB15:AB17"/>
    <mergeCell ref="AB13:AB14"/>
    <mergeCell ref="C14:E14"/>
    <mergeCell ref="F14:H14"/>
    <mergeCell ref="K14:L14"/>
    <mergeCell ref="O14:P14"/>
    <mergeCell ref="R14:S14"/>
    <mergeCell ref="V14:W14"/>
    <mergeCell ref="Q13:S13"/>
    <mergeCell ref="T13:T14"/>
    <mergeCell ref="U13:W13"/>
    <mergeCell ref="Y13:Y14"/>
    <mergeCell ref="Z13:Z14"/>
    <mergeCell ref="AA13:AA14"/>
    <mergeCell ref="A13:A14"/>
    <mergeCell ref="B13:B14"/>
    <mergeCell ref="C13:E13"/>
    <mergeCell ref="F13:H13"/>
    <mergeCell ref="K13:L13"/>
    <mergeCell ref="N13:P13"/>
    <mergeCell ref="A11:B11"/>
    <mergeCell ref="I11:J11"/>
    <mergeCell ref="Z11:AB11"/>
    <mergeCell ref="A12:B12"/>
    <mergeCell ref="I12:J12"/>
    <mergeCell ref="Y12:AB12"/>
    <mergeCell ref="Z8:AB8"/>
    <mergeCell ref="A9:B9"/>
    <mergeCell ref="I9:J9"/>
    <mergeCell ref="X9:Y9"/>
    <mergeCell ref="Z9:AB9"/>
    <mergeCell ref="A10:B10"/>
    <mergeCell ref="I10:J10"/>
    <mergeCell ref="Z10:AB10"/>
    <mergeCell ref="I6:J6"/>
    <mergeCell ref="A7:B7"/>
    <mergeCell ref="I7:J7"/>
    <mergeCell ref="P7:V8"/>
    <mergeCell ref="A8:B8"/>
    <mergeCell ref="H8:H10"/>
    <mergeCell ref="I8:J8"/>
    <mergeCell ref="B3:F3"/>
    <mergeCell ref="A4:B4"/>
    <mergeCell ref="I4:J4"/>
    <mergeCell ref="W4:X4"/>
    <mergeCell ref="A5:B5"/>
    <mergeCell ref="H5:H7"/>
    <mergeCell ref="I5:J5"/>
    <mergeCell ref="P5:T5"/>
    <mergeCell ref="W5:X5"/>
    <mergeCell ref="A6:B6"/>
    <mergeCell ref="A1:AB1"/>
    <mergeCell ref="B2:G2"/>
    <mergeCell ref="I2:L2"/>
    <mergeCell ref="M2:N2"/>
    <mergeCell ref="O2:S2"/>
    <mergeCell ref="T2:U2"/>
    <mergeCell ref="V2:X2"/>
    <mergeCell ref="Z2:AB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0" orientation="portrait" r:id="rId1"/>
  <headerFooter alignWithMargins="0"/>
  <rowBreaks count="1" manualBreakCount="1">
    <brk id="91" max="27" man="1"/>
  </rowBreaks>
  <colBreaks count="1" manualBreakCount="1">
    <brk id="2" max="4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48</vt:i4>
      </vt:variant>
      <vt:variant>
        <vt:lpstr>이름 지정된 범위</vt:lpstr>
      </vt:variant>
      <vt:variant>
        <vt:i4>38</vt:i4>
      </vt:variant>
    </vt:vector>
  </HeadingPairs>
  <TitlesOfParts>
    <vt:vector size="86" baseType="lpstr">
      <vt:lpstr>MB62SLM103Z</vt:lpstr>
      <vt:lpstr>MB62SLM104Z</vt:lpstr>
      <vt:lpstr>MB62SLM105Z</vt:lpstr>
      <vt:lpstr>MB64SLP103Z</vt:lpstr>
      <vt:lpstr>Sheet11</vt:lpstr>
      <vt:lpstr>MB63JKM105Z</vt:lpstr>
      <vt:lpstr>MB65SLP102Z</vt:lpstr>
      <vt:lpstr>MB65SLP121Z</vt:lpstr>
      <vt:lpstr>Sheet13</vt:lpstr>
      <vt:lpstr>MB64SLM123Z</vt:lpstr>
      <vt:lpstr>MB64SKM101Z</vt:lpstr>
      <vt:lpstr>MB64SKM102Z</vt:lpstr>
      <vt:lpstr>MB64SKM103Z</vt:lpstr>
      <vt:lpstr>MB64SLM124Z</vt:lpstr>
      <vt:lpstr>Sheet1</vt:lpstr>
      <vt:lpstr>MB66BLM127Z</vt:lpstr>
      <vt:lpstr>MB66SLM127Z</vt:lpstr>
      <vt:lpstr>MB66SLM131Z</vt:lpstr>
      <vt:lpstr>Sheet2</vt:lpstr>
      <vt:lpstr>MB6YHMM101Z</vt:lpstr>
      <vt:lpstr>MB6YHMP104Z</vt:lpstr>
      <vt:lpstr>MB6YHMM106Z</vt:lpstr>
      <vt:lpstr>Sheet4</vt:lpstr>
      <vt:lpstr>MB6YHMS107A</vt:lpstr>
      <vt:lpstr>MB68SLM101A</vt:lpstr>
      <vt:lpstr>MB68SLM107A</vt:lpstr>
      <vt:lpstr>MB68SKM101Z</vt:lpstr>
      <vt:lpstr>MB68SKM102Z</vt:lpstr>
      <vt:lpstr>MB68SKM103Z</vt:lpstr>
      <vt:lpstr>Sheet3</vt:lpstr>
      <vt:lpstr>MB6YHMS181A(재원)</vt:lpstr>
      <vt:lpstr>Sheet5</vt:lpstr>
      <vt:lpstr>MB6YHMP102Z-1</vt:lpstr>
      <vt:lpstr>MB6YHMP103Z</vt:lpstr>
      <vt:lpstr>MB6YSLM106Z</vt:lpstr>
      <vt:lpstr>MB6YSLM111Z</vt:lpstr>
      <vt:lpstr>Sheet7</vt:lpstr>
      <vt:lpstr>MBS6YSLM113Z</vt:lpstr>
      <vt:lpstr>MB6YJKM112Z</vt:lpstr>
      <vt:lpstr>MB6YJKM182Z</vt:lpstr>
      <vt:lpstr>MB6YJKM106Z</vt:lpstr>
      <vt:lpstr>MB6YSLP112Z</vt:lpstr>
      <vt:lpstr>MB6YSLM107Z</vt:lpstr>
      <vt:lpstr>MB6YJKM181Z</vt:lpstr>
      <vt:lpstr>MB6YSLM114Z</vt:lpstr>
      <vt:lpstr>MB6YSLM115Z</vt:lpstr>
      <vt:lpstr>Sheet8</vt:lpstr>
      <vt:lpstr>MB6YHMM181A</vt:lpstr>
      <vt:lpstr>MB62SLM103Z!Print_Area</vt:lpstr>
      <vt:lpstr>MB62SLM104Z!Print_Area</vt:lpstr>
      <vt:lpstr>MB62SLM105Z!Print_Area</vt:lpstr>
      <vt:lpstr>MB63JKM105Z!Print_Area</vt:lpstr>
      <vt:lpstr>MB64SKM101Z!Print_Area</vt:lpstr>
      <vt:lpstr>MB64SKM102Z!Print_Area</vt:lpstr>
      <vt:lpstr>MB64SKM103Z!Print_Area</vt:lpstr>
      <vt:lpstr>MB64SLM123Z!Print_Area</vt:lpstr>
      <vt:lpstr>MB64SLM124Z!Print_Area</vt:lpstr>
      <vt:lpstr>MB64SLP103Z!Print_Area</vt:lpstr>
      <vt:lpstr>MB65SLP102Z!Print_Area</vt:lpstr>
      <vt:lpstr>MB65SLP121Z!Print_Area</vt:lpstr>
      <vt:lpstr>MB66BLM127Z!Print_Area</vt:lpstr>
      <vt:lpstr>MB66SLM127Z!Print_Area</vt:lpstr>
      <vt:lpstr>MB66SLM131Z!Print_Area</vt:lpstr>
      <vt:lpstr>MB68SKM101Z!Print_Area</vt:lpstr>
      <vt:lpstr>MB68SKM102Z!Print_Area</vt:lpstr>
      <vt:lpstr>MB68SKM103Z!Print_Area</vt:lpstr>
      <vt:lpstr>MB68SLM101A!Print_Area</vt:lpstr>
      <vt:lpstr>MB68SLM107A!Print_Area</vt:lpstr>
      <vt:lpstr>MB6YHMM101Z!Print_Area</vt:lpstr>
      <vt:lpstr>MB6YHMM106Z!Print_Area</vt:lpstr>
      <vt:lpstr>MB6YHMM181A!Print_Area</vt:lpstr>
      <vt:lpstr>'MB6YHMP102Z-1'!Print_Area</vt:lpstr>
      <vt:lpstr>MB6YHMP104Z!Print_Area</vt:lpstr>
      <vt:lpstr>MB6YHMS107A!Print_Area</vt:lpstr>
      <vt:lpstr>'MB6YHMS181A(재원)'!Print_Area</vt:lpstr>
      <vt:lpstr>MB6YJKM106Z!Print_Area</vt:lpstr>
      <vt:lpstr>MB6YJKM112Z!Print_Area</vt:lpstr>
      <vt:lpstr>MB6YJKM181Z!Print_Area</vt:lpstr>
      <vt:lpstr>MB6YJKM182Z!Print_Area</vt:lpstr>
      <vt:lpstr>MB6YSLM106Z!Print_Area</vt:lpstr>
      <vt:lpstr>MB6YSLM107Z!Print_Area</vt:lpstr>
      <vt:lpstr>MB6YSLM111Z!Print_Area</vt:lpstr>
      <vt:lpstr>MB6YSLM114Z!Print_Area</vt:lpstr>
      <vt:lpstr>MB6YSLM115Z!Print_Area</vt:lpstr>
      <vt:lpstr>MB6YSLP112Z!Print_Area</vt:lpstr>
      <vt:lpstr>MBS6YSLM113Z!Print_Area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태일 .</cp:lastModifiedBy>
  <cp:lastPrinted>2025-09-25T04:11:07Z</cp:lastPrinted>
  <dcterms:created xsi:type="dcterms:W3CDTF">2013-05-10T09:12:57Z</dcterms:created>
  <dcterms:modified xsi:type="dcterms:W3CDTF">2026-07-21T09:10:44Z</dcterms:modified>
</cp:coreProperties>
</file>